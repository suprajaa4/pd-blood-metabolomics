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 info" sheetId="1" r:id="rId5"/>
    <sheet state="visible" name="pvals" sheetId="2" r:id="rId6"/>
    <sheet state="visible" name="33485385" sheetId="3" r:id="rId7"/>
    <sheet state="visible" name="metabolites_exp" sheetId="4" r:id="rId8"/>
    <sheet state="visible" name="Sheet9" sheetId="5" r:id="rId9"/>
    <sheet state="visible" name="new" sheetId="6" r:id="rId10"/>
    <sheet state="visible" name="removed_3" sheetId="7" r:id="rId11"/>
    <sheet state="visible" name="ST001814" sheetId="8" r:id="rId12"/>
  </sheets>
  <definedNames>
    <definedName hidden="1" localSheetId="3" name="_xlnm._FilterDatabase">metabolites_exp!$A$1:$Z$1</definedName>
    <definedName hidden="1" localSheetId="4" name="_xlnm._FilterDatabase">Sheet9!$A$1:$Z$3395</definedName>
  </definedNames>
  <calcPr/>
</workbook>
</file>

<file path=xl/sharedStrings.xml><?xml version="1.0" encoding="utf-8"?>
<sst xmlns="http://schemas.openxmlformats.org/spreadsheetml/2006/main" count="17155" uniqueCount="5416">
  <si>
    <t>Repository</t>
  </si>
  <si>
    <t>Name</t>
  </si>
  <si>
    <t>ID</t>
  </si>
  <si>
    <t>Description</t>
  </si>
  <si>
    <t>Type</t>
  </si>
  <si>
    <t>Link</t>
  </si>
  <si>
    <t>Plasma/Serum</t>
  </si>
  <si>
    <t xml:space="preserve"> metabolites</t>
  </si>
  <si>
    <t>Samples</t>
  </si>
  <si>
    <t>HMDB</t>
  </si>
  <si>
    <t>1,3-Diaminopropane</t>
  </si>
  <si>
    <t>HMDB0000002</t>
  </si>
  <si>
    <t>M/Z</t>
  </si>
  <si>
    <t>TXT</t>
  </si>
  <si>
    <t>plasma/serum</t>
  </si>
  <si>
    <t>37230 ?</t>
  </si>
  <si>
    <t>1-Methylhistidine</t>
  </si>
  <si>
    <t>HMDB0000001</t>
  </si>
  <si>
    <t>MetaboloLights</t>
  </si>
  <si>
    <t>treatment with proteinase K</t>
  </si>
  <si>
    <t>MTBLS670</t>
  </si>
  <si>
    <t>MAF</t>
  </si>
  <si>
    <t>https://www.ebi.ac.uk/metabolights/editor/MTBLS670/metabolites</t>
  </si>
  <si>
    <t>plasma</t>
  </si>
  <si>
    <t>many unnamed</t>
  </si>
  <si>
    <t>MetaboLights</t>
  </si>
  <si>
    <t>MTBLS1219</t>
  </si>
  <si>
    <t>RT INCLUDED</t>
  </si>
  <si>
    <t>tsv</t>
  </si>
  <si>
    <t>https://www.ebi.ac.uk/metabolights/editor/MTBLS1219/metabolites</t>
  </si>
  <si>
    <t>NIST SRM 150</t>
  </si>
  <si>
    <t>STANDARD</t>
  </si>
  <si>
    <t>pdf</t>
  </si>
  <si>
    <t>https://tsapps.nist.gov/srmext/certificates/1950.pdf</t>
  </si>
  <si>
    <t>Analysis of Human Plasma Metabolites across Different Liquid Chromatography - Mass Spectrometry Platforms: Cross-platform Transferable Chemical Signatures - PMC</t>
  </si>
  <si>
    <t>Metabolights</t>
  </si>
  <si>
    <t>MTBLS11987</t>
  </si>
  <si>
    <t>M/Z AND RT INCLUDED</t>
  </si>
  <si>
    <t>https://www.ebi.ac.uk/metabolights/editor/MTBLS11987/metabolites</t>
  </si>
  <si>
    <t>serum</t>
  </si>
  <si>
    <t>MTBLS13031</t>
  </si>
  <si>
    <t>https://www.ebi.ac.uk/metabolights/editor/MTBLS13031/metabolites</t>
  </si>
  <si>
    <t>MTBLS13030</t>
  </si>
  <si>
    <t>https://www.ebi.ac.uk/metabolights/editor/MTBLS13030/metabolites</t>
  </si>
  <si>
    <t>Metabolomics Workbench</t>
  </si>
  <si>
    <t>ST001814</t>
  </si>
  <si>
    <t>https://www.metabolomicsworkbench.org/data/show_metabolites_by_study.php?STUDY_ID=ST001814&amp;SEARCH_TYPE=KNOWN&amp;STUDY_TYPE=MS&amp;RESULT_TYPE=5</t>
  </si>
  <si>
    <t>ST003159</t>
  </si>
  <si>
    <t>https://www.metabolomicsworkbench.org/data/DRCCStudySummary.php?Mode=SetupRawDataDownload&amp;StudyID=ST003159</t>
  </si>
  <si>
    <t>ST004058</t>
  </si>
  <si>
    <t>https://www.metabolomicsworkbench.org/data/show_metabolites_by_study.php?STUDY_ID=ST004058&amp;SEARCH_TYPE=KNOWN&amp;STUDY_TYPE=MS&amp;RESULT_TYPE=1</t>
  </si>
  <si>
    <t>500- various modes</t>
  </si>
  <si>
    <t>rat</t>
  </si>
  <si>
    <t>MTBLS2421</t>
  </si>
  <si>
    <t>https://www.ebi.ac.uk/metabolights/editor/MTBLS2421/overview</t>
  </si>
  <si>
    <t>14-unknown</t>
  </si>
  <si>
    <t>PUBMED</t>
  </si>
  <si>
    <t>PMID: 38115046</t>
  </si>
  <si>
    <t>m/z and rt -</t>
  </si>
  <si>
    <t>xls</t>
  </si>
  <si>
    <t>~17,000</t>
  </si>
  <si>
    <t>pubmed</t>
  </si>
  <si>
    <t>PMID: 41516425</t>
  </si>
  <si>
    <t>glycans</t>
  </si>
  <si>
    <t>PMID: 24167579</t>
  </si>
  <si>
    <t>slow vs rapid disease progresion</t>
  </si>
  <si>
    <t>excel</t>
  </si>
  <si>
    <t>https://doi.org/10.1371/journal.pone.0077629</t>
  </si>
  <si>
    <t> PMID: 28779141</t>
  </si>
  <si>
    <t>Decreased long-chain acylcarnitines from insufficient β-oxidation as potential early diagnostic markers for Parkinson’s disease - PMC</t>
  </si>
  <si>
    <t>PMID: 17031479</t>
  </si>
  <si>
    <t>no access</t>
  </si>
  <si>
    <t>PMID: 40649871</t>
  </si>
  <si>
    <t>ambroxol</t>
  </si>
  <si>
    <t>LC-MS/MS-Based Determination of Ambroxol in Human Plasma and Cerebrospinal Fluid: Validation and Applicability in a Phase II Study on GBA-Associated Parkinson’s Disease Patients - PMC</t>
  </si>
  <si>
    <t>Enrichment of extracellular vesicles using Mag-Net for the analysis of the plasma proteome.</t>
  </si>
  <si>
    <t>Enrichment of extracellular vesicles using Mag-Net for the analysis of the plasma proteome | Nature Communications</t>
  </si>
  <si>
    <t>Metabolomic profiling reveals altered phenylalanine metabolism in Parkinson's disease in an Egyptian cohort.</t>
  </si>
  <si>
    <t>Studying the Parkinson's disease metabolome and exposome in biological samples through different analytical and cheminformatics approaches: a pilot study.</t>
  </si>
  <si>
    <t>Lower water-soluble vitamins and higher homocysteine are associated with neurodegenerative diseases.</t>
  </si>
  <si>
    <t>Discovery of plasma biomarkers for Parkinson's disease diagnoses based on metabolomics and lipidomics</t>
  </si>
  <si>
    <r>
      <rPr>
        <color rgb="FF1155CC"/>
        <u/>
      </rPr>
      <t>LC/MS analysis of plasma samples from PPMI - Aligning Science Across Parkinson's</t>
    </r>
  </si>
  <si>
    <t>Diagnosing Parkinson’s disease and monitoring its progression: Biomarkers from combined GC-TOF MS and LC-MS/MS untargeted metabolomics</t>
  </si>
  <si>
    <t>organophosphate exposure</t>
  </si>
  <si>
    <t>https://pubs.acs.org/doi/10.1021/acs.jproteome.4c00995</t>
  </si>
  <si>
    <t>High Performance Liquid Chromatography-Mass Spectrometry (LC-MS) Based Quantitative Lipidomics Study of Ganglioside-NANA-3 Plasma to Establish Its Association with Parkinson's Disease Patients</t>
  </si>
  <si>
    <r>
      <rPr>
        <color rgb="FF1155CC"/>
        <u/>
      </rPr>
      <t>High Performance Liquid Chromatography-Mass Spectrometry (LC-MS) Based Quantitative Lipidomics Study of Ganglioside-NANA-3 Plasma to Establish Its Association with Parkinson's Disease Patients - PubMed</t>
    </r>
  </si>
  <si>
    <t>olink not lcms</t>
  </si>
  <si>
    <r>
      <rPr>
        <color rgb="FF1155CC"/>
        <u/>
      </rPr>
      <t>Comprehensive proteomics of CSF, plasma, and urine identify DDC and other biomarkers of early Parkinson’s disease - PMC</t>
    </r>
  </si>
  <si>
    <t>lc/ms</t>
  </si>
  <si>
    <r>
      <rPr>
        <color rgb="FF1155CC"/>
        <u/>
      </rPr>
      <t>Potential biomarkers of Parkinson's disease revealed by plasma metabolic profiling - ScienceDirect</t>
    </r>
  </si>
  <si>
    <r>
      <rPr>
        <color rgb="FF1155CC"/>
        <u/>
      </rPr>
      <t>A new liquid chromatography/tandem mass spectrometry method for quantification of gangliosides in human plasma - ScienceDirect</t>
    </r>
  </si>
  <si>
    <t>gsd not measurable, normAL CONC PRESENT</t>
  </si>
  <si>
    <r>
      <rPr>
        <color rgb="FF1155CC"/>
        <u/>
      </rPr>
      <t>Comprehensive Serum Lipidomics for Detecting Incipient Dementia in Parkinson’s Disease | Journal of Proteome Research</t>
    </r>
  </si>
  <si>
    <t>by lipid subclasss</t>
  </si>
  <si>
    <t>nape</t>
  </si>
  <si>
    <t>protein chain info</t>
  </si>
  <si>
    <t>pmid</t>
  </si>
  <si>
    <t>metabolite</t>
  </si>
  <si>
    <t>p/value</t>
  </si>
  <si>
    <t>fold change</t>
  </si>
  <si>
    <t>formula</t>
  </si>
  <si>
    <t>mz</t>
  </si>
  <si>
    <t>hmdb id</t>
  </si>
  <si>
    <t>control int</t>
  </si>
  <si>
    <t>PD int</t>
  </si>
  <si>
    <t>CINNAMYL ALCOHOL</t>
  </si>
  <si>
    <t>DL-Glyceraldehyde 3-phosphate</t>
  </si>
  <si>
    <t>Guanosine</t>
  </si>
  <si>
    <t>L-beta-homotryptophan-HCl</t>
  </si>
  <si>
    <t>N-Acetylneuraminate</t>
  </si>
  <si>
    <t>Phosphoenolpyruvate</t>
  </si>
  <si>
    <t>Pyridoxamine</t>
  </si>
  <si>
    <t>trans-Cinnamate</t>
  </si>
  <si>
    <t>trans-Zeatin</t>
  </si>
  <si>
    <t>INDOLE</t>
  </si>
  <si>
    <t>Anserine</t>
  </si>
  <si>
    <t>GAMMA-TERPINENE</t>
  </si>
  <si>
    <t>L-beta-Homoproline</t>
  </si>
  <si>
    <t>Sinapyl aldehyde</t>
  </si>
  <si>
    <t>7-HYDROXY-4-METHYLCOUMARIN</t>
  </si>
  <si>
    <t>(+-)-Jasmonic acid</t>
  </si>
  <si>
    <t>1,16-Hexadecanediol</t>
  </si>
  <si>
    <t>12-Oxo-10,15(Z)-Phytodienoic Acid</t>
  </si>
  <si>
    <t>16-Hydroxyhexadecanoic acid</t>
  </si>
  <si>
    <t>2-METHYLLACTIC ACID</t>
  </si>
  <si>
    <t>2'-Deoxyinosine 5'-monophosphate</t>
  </si>
  <si>
    <t>beta-Nicotinamide mononucleotide</t>
  </si>
  <si>
    <t>Citrulline</t>
  </si>
  <si>
    <t>Cytidine</t>
  </si>
  <si>
    <t>D-Glucosyl-beta1-1'-D-erythoro-Sphingosine</t>
  </si>
  <si>
    <t>DL-Cystathionine</t>
  </si>
  <si>
    <t>Histamine</t>
  </si>
  <si>
    <t>L-Gln</t>
  </si>
  <si>
    <t>METHYL OCTADECANOATE</t>
  </si>
  <si>
    <t>Nicotine</t>
  </si>
  <si>
    <t>Phytol</t>
  </si>
  <si>
    <t>Quercetin</t>
  </si>
  <si>
    <t>Sorbitol 6-phosphate</t>
  </si>
  <si>
    <t>Sarsasapogenin</t>
  </si>
  <si>
    <t>Phenylalanine</t>
  </si>
  <si>
    <t>C9H11NO2 + H+</t>
  </si>
  <si>
    <t>HMDB0000159</t>
  </si>
  <si>
    <t>Vanillactic acid</t>
  </si>
  <si>
    <t>C10H12O5-H2O + H+</t>
  </si>
  <si>
    <t>HMDB0000913</t>
  </si>
  <si>
    <t>3b–Hydroxy-5-cholenoic acid</t>
  </si>
  <si>
    <t>C24H38O3-H2O + H+</t>
  </si>
  <si>
    <t>HMDB0000308</t>
  </si>
  <si>
    <t>Glycoursodeoxycholic acid</t>
  </si>
  <si>
    <t>−11.8</t>
  </si>
  <si>
    <t>C26H43NO5 + H+</t>
  </si>
  <si>
    <t>HMDB0000708</t>
  </si>
  <si>
    <t>Glycerol phospholipid metabolites</t>
  </si>
  <si>
    <t>LysoPC(18:2)</t>
  </si>
  <si>
    <t>C26H50NO7P + Na+</t>
  </si>
  <si>
    <t>HMDB0010386</t>
  </si>
  <si>
    <t>PA(18:2/15:0)</t>
  </si>
  <si>
    <t>C31H60NO8P-2H2O + H+</t>
  </si>
  <si>
    <t>HMDB0114948</t>
  </si>
  <si>
    <t>Valeric acid</t>
  </si>
  <si>
    <t>−1.3</t>
  </si>
  <si>
    <t>C5H10O2 + NH4+</t>
  </si>
  <si>
    <t>HMDB0000892</t>
  </si>
  <si>
    <t>2-Octenoic acid</t>
  </si>
  <si>
    <t>C8H14O2 + NH4+</t>
  </si>
  <si>
    <t>HMDB0000392</t>
  </si>
  <si>
    <t>Docosene</t>
  </si>
  <si>
    <t>−1.8</t>
  </si>
  <si>
    <t>C22H44 + Na+</t>
  </si>
  <si>
    <t>HMDB0062602</t>
  </si>
  <si>
    <t>Carnitine</t>
  </si>
  <si>
    <t>−4.5</t>
  </si>
  <si>
    <t>C7H15NO3-H2O + H+</t>
  </si>
  <si>
    <t>HMDB0000062</t>
  </si>
  <si>
    <t>2-Methylbutyroylcarnitine</t>
  </si>
  <si>
    <t>−1.6</t>
  </si>
  <si>
    <t>C12H23NO4 + H+</t>
  </si>
  <si>
    <t>HMDB0000378</t>
  </si>
  <si>
    <t>4-Hydroxybenzaldehyde</t>
  </si>
  <si>
    <t>C7H6O2-H2O + H+</t>
  </si>
  <si>
    <t>HMDB0011718</t>
  </si>
  <si>
    <t>Adrenochrome</t>
  </si>
  <si>
    <t>C9H9NO3 + H+</t>
  </si>
  <si>
    <t>HMDB0012884</t>
  </si>
  <si>
    <t>Leukotriene B3</t>
  </si>
  <si>
    <t>C20H34O4 + NH4+</t>
  </si>
  <si>
    <t>−</t>
  </si>
  <si>
    <t>Cytidine 2′,3′-cyclic phosphate</t>
  </si>
  <si>
    <t>C9H12N3O7P + H+</t>
  </si>
  <si>
    <t>HMDB0011691</t>
  </si>
  <si>
    <t>3-Methylene-indolenine</t>
  </si>
  <si>
    <t>C9H7N + H+</t>
  </si>
  <si>
    <t>HMDB0011664</t>
  </si>
  <si>
    <t>Heptanoylcholine</t>
  </si>
  <si>
    <t>−3.3</t>
  </si>
  <si>
    <t>C12H26NO2-H2O + H+</t>
  </si>
  <si>
    <t xml:space="preserve">estron (E1) </t>
  </si>
  <si>
    <t>U = 60.5; p = 0.52</t>
  </si>
  <si>
    <t>0.79 ng/ml</t>
  </si>
  <si>
    <t>2-hydroxyestrone (2-OH-E1)</t>
  </si>
  <si>
    <t>U = 0; p &lt; 0.001</t>
  </si>
  <si>
    <t>2-methoxyestrone (2-ME1)</t>
  </si>
  <si>
    <t>U = 44.5; p = 0.12</t>
  </si>
  <si>
    <t>estradiol (E2)</t>
  </si>
  <si>
    <t>U = 26; p = 0.009</t>
  </si>
  <si>
    <t>2-hydroxyestradiol (2-OH-E2)</t>
  </si>
  <si>
    <t>2-methoxyestradiol (2-ME2)</t>
  </si>
  <si>
    <t>U = 4; p &lt; 0.001</t>
  </si>
  <si>
    <t>vitamin B12</t>
  </si>
  <si>
    <t>Homocysteine</t>
  </si>
  <si>
    <t>Methylmalonic Acid</t>
  </si>
  <si>
    <t>Phenylacetyl-L-glutamine</t>
  </si>
  <si>
    <t>ESI+</t>
  </si>
  <si>
    <t>(n = 460, 223 PD, 169 healthy controls (HCs) and 68 PD-unrelated neurological disease controls)</t>
  </si>
  <si>
    <t>Kynurenine</t>
  </si>
  <si>
    <t>Indolelactic acid</t>
  </si>
  <si>
    <t>ESI-</t>
  </si>
  <si>
    <t>N-Acetyl-L-methionine</t>
  </si>
  <si>
    <t>Proline</t>
  </si>
  <si>
    <t>p-Cresol glucuronide</t>
  </si>
  <si>
    <t>p-Cresol sulfate</t>
  </si>
  <si>
    <t>FFA 11:1</t>
  </si>
  <si>
    <t>FFA 19:1</t>
  </si>
  <si>
    <t>FFA 14:1</t>
  </si>
  <si>
    <t>FFA 10:0</t>
  </si>
  <si>
    <t>FFA 12:0</t>
  </si>
  <si>
    <t>FFA 18:0</t>
  </si>
  <si>
    <t>FFA 16:2</t>
  </si>
  <si>
    <t>FFA 22:5</t>
  </si>
  <si>
    <t>FFA 18:1</t>
  </si>
  <si>
    <t>FFA 18:2</t>
  </si>
  <si>
    <t>FFA 18:3</t>
  </si>
  <si>
    <t>FFA 20:5</t>
  </si>
  <si>
    <t>FFA 20:2</t>
  </si>
  <si>
    <t>FFA 22:6</t>
  </si>
  <si>
    <t>FFA 20:0</t>
  </si>
  <si>
    <t>FFA 20:3</t>
  </si>
  <si>
    <t>FFA 20:4</t>
  </si>
  <si>
    <t>carnitine 10:1</t>
  </si>
  <si>
    <t>carnitine 12:0</t>
  </si>
  <si>
    <t>carnitine 12:1</t>
  </si>
  <si>
    <t>carnitine 14:2</t>
  </si>
  <si>
    <t>carnitine 14:3</t>
  </si>
  <si>
    <t>FFAD 20:0</t>
  </si>
  <si>
    <t>FFAD 20:1</t>
  </si>
  <si>
    <t>FFAD 22:0</t>
  </si>
  <si>
    <t>FFAD 22:1</t>
  </si>
  <si>
    <t>PC 32:2</t>
  </si>
  <si>
    <t>PC 32:3</t>
  </si>
  <si>
    <t>PC 34:2</t>
  </si>
  <si>
    <t>PC 34:3</t>
  </si>
  <si>
    <t>PC 34:4</t>
  </si>
  <si>
    <t>SM 32:2</t>
  </si>
  <si>
    <t>Cortisol</t>
  </si>
  <si>
    <t>Aldosterone</t>
  </si>
  <si>
    <t>Corticosterone</t>
  </si>
  <si>
    <t>Trigonelline</t>
  </si>
  <si>
    <t>Ubiquinone 1</t>
  </si>
  <si>
    <t>Pantothenic acid</t>
  </si>
  <si>
    <t>cis-Aconitic acid</t>
  </si>
  <si>
    <t>Uridine</t>
  </si>
  <si>
    <t>Biliverdin</t>
  </si>
  <si>
    <t>Phosphate</t>
  </si>
  <si>
    <t>Myoinositol</t>
  </si>
  <si>
    <t>Ceramide</t>
  </si>
  <si>
    <t>C16:0</t>
  </si>
  <si>
    <t>C18:0</t>
  </si>
  <si>
    <t>C20:0</t>
  </si>
  <si>
    <t>C22:0</t>
  </si>
  <si>
    <t>C24:0</t>
  </si>
  <si>
    <t>C26:0</t>
  </si>
  <si>
    <t>C22:1</t>
  </si>
  <si>
    <t>C24:1</t>
  </si>
  <si>
    <t>C26:1</t>
  </si>
  <si>
    <r>
      <t xml:space="preserve">Monohexylceramides (Glucosylceramides and Galactosylceramides) </t>
    </r>
    <r>
      <rPr>
        <rFont val="revert"/>
        <b/>
        <color rgb="FF1155CC"/>
        <sz val="13.0"/>
        <u/>
      </rPr>
      <t>*</t>
    </r>
  </si>
  <si>
    <t>C16:1</t>
  </si>
  <si>
    <t>Lactosylceramides</t>
  </si>
  <si>
    <t>Retention time (min)</t>
  </si>
  <si>
    <t>Metabolite</t>
  </si>
  <si>
    <t>Mass of metabolite (Da)</t>
  </si>
  <si>
    <t>HMDB ID</t>
  </si>
  <si>
    <t>Fold change</t>
  </si>
  <si>
    <t>q-value</t>
  </si>
  <si>
    <t>5-Acetylamino-6 amino-3-methyluracil</t>
  </si>
  <si>
    <t>HMDB04400</t>
  </si>
  <si>
    <t>Putative</t>
  </si>
  <si>
    <t>Inosine</t>
  </si>
  <si>
    <t>HMDB00195</t>
  </si>
  <si>
    <t>Biopterin</t>
  </si>
  <si>
    <t>HMDB00468</t>
  </si>
  <si>
    <t>HMDB00904</t>
  </si>
  <si>
    <t>Library</t>
  </si>
  <si>
    <t>Methionine Sulfoxide</t>
  </si>
  <si>
    <t>HMDB02005</t>
  </si>
  <si>
    <t>Methionine Sulfoxide - Isomer</t>
  </si>
  <si>
    <t>Ornithine [+CO2]</t>
  </si>
  <si>
    <t>HMDB00214</t>
  </si>
  <si>
    <t>L-Threo-3-Phenylserine</t>
  </si>
  <si>
    <t>HMDB02184</t>
  </si>
  <si>
    <t>Isoleucyl-Alanine</t>
  </si>
  <si>
    <t>HMDB28900</t>
  </si>
  <si>
    <t>1-Amino-propan-2-ol</t>
  </si>
  <si>
    <t>HMDB12136</t>
  </si>
  <si>
    <t>Norophthalmic acid [-CO2]</t>
  </si>
  <si>
    <t>HMDB05766</t>
  </si>
  <si>
    <t>HMDB00210</t>
  </si>
  <si>
    <t>Glycyl-Valine</t>
  </si>
  <si>
    <t>HMDB28854</t>
  </si>
  <si>
    <t>Aminoacetone</t>
  </si>
  <si>
    <t>HMDB02134</t>
  </si>
  <si>
    <t>4-Hydroxy benzenepropanedioate</t>
  </si>
  <si>
    <t>HMDB59809</t>
  </si>
  <si>
    <t>Methylxanthine</t>
  </si>
  <si>
    <t>HMDB10738</t>
  </si>
  <si>
    <t>3-Methylxanthine</t>
  </si>
  <si>
    <t>HMDB01866</t>
  </si>
  <si>
    <t>L-Cysteinylglycine disulfide</t>
  </si>
  <si>
    <t>HMDB00709</t>
  </si>
  <si>
    <t>Vanillylmandelic acid</t>
  </si>
  <si>
    <t>HMDB00291</t>
  </si>
  <si>
    <t>L-Pipecolic acid</t>
  </si>
  <si>
    <t>HMDB00716</t>
  </si>
  <si>
    <t>Glycylproline [+C2H4]</t>
  </si>
  <si>
    <t>HMDB00721</t>
  </si>
  <si>
    <t>Isovanillymandelic acid</t>
  </si>
  <si>
    <t>NA</t>
  </si>
  <si>
    <t>Theophylline</t>
  </si>
  <si>
    <t>HMDB01889</t>
  </si>
  <si>
    <t>Aspartylysine [-H2O]</t>
  </si>
  <si>
    <t>HMDB04985</t>
  </si>
  <si>
    <t>4-Hydroxybenzoic acid</t>
  </si>
  <si>
    <t>HMDB00500</t>
  </si>
  <si>
    <t>Vanillic acid</t>
  </si>
  <si>
    <t>HMDB00484</t>
  </si>
  <si>
    <t>p-Hydroxyphenylacetic acid [+C2H4]</t>
  </si>
  <si>
    <t>HMDB00020</t>
  </si>
  <si>
    <t>Cyclohexylamine</t>
  </si>
  <si>
    <t>HMDB31404</t>
  </si>
  <si>
    <t>Capsaicin</t>
  </si>
  <si>
    <t>HMDB02227</t>
  </si>
  <si>
    <t>N(6)-Methyllysine</t>
  </si>
  <si>
    <t>HMDB02038</t>
  </si>
  <si>
    <t>Tryptamine [+2H]</t>
  </si>
  <si>
    <t>HMDB00303</t>
  </si>
  <si>
    <t>Vanillin</t>
  </si>
  <si>
    <t>HMDB12308</t>
  </si>
  <si>
    <t>5-Hydroxyindoleacetic acid [+NH3]</t>
  </si>
  <si>
    <t>HMDB00763</t>
  </si>
  <si>
    <t>Histidinyl-Glycine</t>
  </si>
  <si>
    <t>HMDB28885</t>
  </si>
  <si>
    <t>Hydroxykynurenine</t>
  </si>
  <si>
    <t>HMDB00732</t>
  </si>
  <si>
    <t>L-Homocysteine sulfonic acid [+NH3]</t>
  </si>
  <si>
    <t>HMDB02238</t>
  </si>
  <si>
    <t>6,8-Dihydroxypurine</t>
  </si>
  <si>
    <t>HMDB01182</t>
  </si>
  <si>
    <t>Dopamine [-NH3]</t>
  </si>
  <si>
    <t>HMDB00073</t>
  </si>
  <si>
    <t>Valyl-Valine</t>
  </si>
  <si>
    <t>HMDB00074</t>
  </si>
  <si>
    <t>Serotonin</t>
  </si>
  <si>
    <t>HMDB00259</t>
  </si>
  <si>
    <t>a-Methyldopa</t>
  </si>
  <si>
    <t>HMDB11754</t>
  </si>
  <si>
    <t>Vanillic acid [-CO]</t>
  </si>
  <si>
    <t>Methylguanine</t>
  </si>
  <si>
    <t>HMDB03282</t>
  </si>
  <si>
    <t>3,4 Dihydroxyphenylacetone</t>
  </si>
  <si>
    <t>HMDB31132</t>
  </si>
  <si>
    <t>Name 2</t>
  </si>
  <si>
    <t>Accurate mass (Da)</t>
  </si>
  <si>
    <t>Dansylated mass (Da)</t>
  </si>
  <si>
    <t>Library retention time (min)</t>
  </si>
  <si>
    <t>Average Peak Pair Ratio (Control)</t>
  </si>
  <si>
    <t>Average Peak Pair Ratio (PD)</t>
  </si>
  <si>
    <t>p value</t>
  </si>
  <si>
    <t>Hypoxanthine + H2O</t>
  </si>
  <si>
    <t>HMDB00157</t>
  </si>
  <si>
    <t>HMDB00001</t>
  </si>
  <si>
    <t>Taurine</t>
  </si>
  <si>
    <t>HMDB00251</t>
  </si>
  <si>
    <t>L-Arginine</t>
  </si>
  <si>
    <t>HMDB00517</t>
  </si>
  <si>
    <t>L-Asparagine</t>
  </si>
  <si>
    <t>HMDB00168</t>
  </si>
  <si>
    <t>L-Glutamine</t>
  </si>
  <si>
    <t>HMDB00641</t>
  </si>
  <si>
    <t>L-Homoserine</t>
  </si>
  <si>
    <t>HMDB00719</t>
  </si>
  <si>
    <t>L-Serine</t>
  </si>
  <si>
    <t>HMDB00187</t>
  </si>
  <si>
    <t>L-Glutamic Acid</t>
  </si>
  <si>
    <t>HMDB00148</t>
  </si>
  <si>
    <t>L-Aspartic Acid</t>
  </si>
  <si>
    <t>HMDB00191</t>
  </si>
  <si>
    <t>Trans-4-Hydroxyl L-Proline</t>
  </si>
  <si>
    <t>HMDB00725</t>
  </si>
  <si>
    <t>N6-Acetyl-L Lysine</t>
  </si>
  <si>
    <t>HMDB00206</t>
  </si>
  <si>
    <t>L-Threonine</t>
  </si>
  <si>
    <t>HMDB00167</t>
  </si>
  <si>
    <t>Aminoadipic acid</t>
  </si>
  <si>
    <t>HMDB00510</t>
  </si>
  <si>
    <t>Ethanolamine</t>
  </si>
  <si>
    <t>HMDB00149</t>
  </si>
  <si>
    <t>Glycine</t>
  </si>
  <si>
    <t>HMDB00123</t>
  </si>
  <si>
    <t>L-Alanine</t>
  </si>
  <si>
    <t>HMDB00161</t>
  </si>
  <si>
    <t>Gamma Aminobutyric acid</t>
  </si>
  <si>
    <t>HMDB00112</t>
  </si>
  <si>
    <t>HMDB00296</t>
  </si>
  <si>
    <t>Hypoxanthine</t>
  </si>
  <si>
    <t>2-Aminoisobutyric acid</t>
  </si>
  <si>
    <t>HMDB01906</t>
  </si>
  <si>
    <t>Uridine - H2O</t>
  </si>
  <si>
    <t>Xanthine</t>
  </si>
  <si>
    <t>HMDB00292</t>
  </si>
  <si>
    <t>L-Alpha aminobutyric acid</t>
  </si>
  <si>
    <t>HMDB00452</t>
  </si>
  <si>
    <t>L-Glutamic Acid - H2O</t>
  </si>
  <si>
    <t>Methylamine</t>
  </si>
  <si>
    <t>HMDB00164</t>
  </si>
  <si>
    <t>L-Aspartyl-L phenylalanine</t>
  </si>
  <si>
    <t>HMDB00706</t>
  </si>
  <si>
    <t>L-Proline</t>
  </si>
  <si>
    <t>HMDB00162</t>
  </si>
  <si>
    <t>L-Valine</t>
  </si>
  <si>
    <t>HMDB00883</t>
  </si>
  <si>
    <t>L-Methionine</t>
  </si>
  <si>
    <t>HMDB00696</t>
  </si>
  <si>
    <t>L-Tryptophan</t>
  </si>
  <si>
    <t>HMDB00929</t>
  </si>
  <si>
    <t>L-Kynurenine</t>
  </si>
  <si>
    <t>HMDB00684</t>
  </si>
  <si>
    <t>Glycyl Phenylalanine</t>
  </si>
  <si>
    <t>HMDB28848</t>
  </si>
  <si>
    <t>L-Phenylalanine</t>
  </si>
  <si>
    <t>HMDB00159</t>
  </si>
  <si>
    <t>L-Isoleucine</t>
  </si>
  <si>
    <t>HMDB00172</t>
  </si>
  <si>
    <t>L-leucine</t>
  </si>
  <si>
    <t>HMDB00687</t>
  </si>
  <si>
    <t>Urocanic acid</t>
  </si>
  <si>
    <t>HMDB00301</t>
  </si>
  <si>
    <t>L-Cystathionine - Isomer</t>
  </si>
  <si>
    <t>HMDB00099</t>
  </si>
  <si>
    <t>5-Hydroxylysine</t>
  </si>
  <si>
    <t>HMDB00450</t>
  </si>
  <si>
    <t>L-Cystine</t>
  </si>
  <si>
    <t>HMDB00192</t>
  </si>
  <si>
    <t>Phenyl-Leucine</t>
  </si>
  <si>
    <t>Ornithine</t>
  </si>
  <si>
    <t>Aminoisobutanoic acid - H2O</t>
  </si>
  <si>
    <t>HMDB03911</t>
  </si>
  <si>
    <t>Phenylalanylphenylalanine</t>
  </si>
  <si>
    <t>HMDB13302</t>
  </si>
  <si>
    <t>3 Hydroxyphenylacetic acid</t>
  </si>
  <si>
    <t>HMDB00440</t>
  </si>
  <si>
    <t>p Hydroxyphenylacetic acid</t>
  </si>
  <si>
    <t>L-Lysine</t>
  </si>
  <si>
    <t>HMDB00182</t>
  </si>
  <si>
    <t>Desaminotyrosine</t>
  </si>
  <si>
    <t>HMDB02199</t>
  </si>
  <si>
    <t>L-Histidine</t>
  </si>
  <si>
    <t>HMDB00177</t>
  </si>
  <si>
    <t>Indole-3-carboxylic acid</t>
  </si>
  <si>
    <t>HMDB03320</t>
  </si>
  <si>
    <t>1,4-diaminobutane</t>
  </si>
  <si>
    <t>HMDB01414</t>
  </si>
  <si>
    <t>3 Hydroxymandelic acid - COOH</t>
  </si>
  <si>
    <t>HMDB00750</t>
  </si>
  <si>
    <t>L-Tyrosine</t>
  </si>
  <si>
    <t>HMDB00158</t>
  </si>
  <si>
    <t>Phenol</t>
  </si>
  <si>
    <t>HMDB00228</t>
  </si>
  <si>
    <t>p val</t>
  </si>
  <si>
    <t>Pathway</t>
  </si>
  <si>
    <t>m/z</t>
  </si>
  <si>
    <t>tR/min</t>
  </si>
  <si>
    <t>Detection mode</t>
  </si>
  <si>
    <t>FDR</t>
  </si>
  <si>
    <t>VIP value</t>
  </si>
  <si>
    <t>Amino acid metabolism</t>
  </si>
  <si>
    <t>Tryptophan metabolism</t>
  </si>
  <si>
    <t>Methionine metabolism</t>
  </si>
  <si>
    <t>Proline metabolism</t>
  </si>
  <si>
    <t>Tyrosine biotransformation</t>
  </si>
  <si>
    <t>FFA metabolism</t>
  </si>
  <si>
    <t>FFA biosynthesis</t>
  </si>
  <si>
    <t>Biosynthesis of unsaturated FFA</t>
  </si>
  <si>
    <t>Linoleic acid metabolism</t>
  </si>
  <si>
    <t>(Table S4 continued)</t>
  </si>
  <si>
    <t>Arachidonic acid metabolism</t>
  </si>
  <si>
    <t>Beta oxidation of FFAs</t>
  </si>
  <si>
    <t>Fatty acid amide metabolism</t>
  </si>
  <si>
    <t>Lipids metabolism</t>
  </si>
  <si>
    <t>Glycerophospholipid metabolism</t>
  </si>
  <si>
    <t>Sphingolipid metabolism</t>
  </si>
  <si>
    <t>Steroid hormone biosynthesis</t>
  </si>
  <si>
    <t>Others</t>
  </si>
  <si>
    <t>Caffeine metabolism</t>
  </si>
  <si>
    <t>Ubiquinone Biosynthesis</t>
  </si>
  <si>
    <t>Pantothenate and CoA biosynthesis</t>
  </si>
  <si>
    <t>Citrate cycle (TCA cycle)</t>
  </si>
  <si>
    <t>Pyrimidine metabolism</t>
  </si>
  <si>
    <t>Redox metabolism</t>
  </si>
  <si>
    <t>Multiple biological pathways, like alanine metabolism, etc.</t>
  </si>
  <si>
    <t>Inositol Metabolism</t>
  </si>
  <si>
    <t>lasma log lipid</t>
  </si>
  <si>
    <t>Control (n = 5) median (range)</t>
  </si>
  <si>
    <t>PD-NC (n = 26) median (range)</t>
  </si>
  <si>
    <t>PD-MCI (n = 14) median (range)</t>
  </si>
  <si>
    <t>PDD (n = 12) median (range)</t>
  </si>
  <si>
    <t>All PD vs. control P value</t>
  </si>
  <si>
    <t>PD-NC vs. PD-MCI/PDD P value</t>
  </si>
  <si>
    <t>11.00 (10.78, 11.24)</t>
  </si>
  <si>
    <t>11.48 (10.93, 12.26)</t>
  </si>
  <si>
    <t>11.66 (11.27, 11.95)</t>
  </si>
  <si>
    <t>11.67 (11.39, 12.79)</t>
  </si>
  <si>
    <t>10.76 (10.43, 11.27)</t>
  </si>
  <si>
    <t>10.98 (10.24, 12.24)</t>
  </si>
  <si>
    <t>11.21 (10.44, 11.77)</t>
  </si>
  <si>
    <t>11.17 (10.93, 12.54)</t>
  </si>
  <si>
    <t>11.48 (11.23, 12.40)</t>
  </si>
  <si>
    <t>12.21 (11.32, 13.58)</t>
  </si>
  <si>
    <t>12.50 (11.80, 13.27)</t>
  </si>
  <si>
    <t>12.54 (11.99, 14.10)</t>
  </si>
  <si>
    <t>13.00 (12.86, 13.69)</t>
  </si>
  <si>
    <t>13.63 (12.83, 14.77)</t>
  </si>
  <si>
    <t>13.95 (12.67, 15.09)</t>
  </si>
  <si>
    <t>13.90 (13.47, 16.14)</t>
  </si>
  <si>
    <t>15.40 (14.69, 15.92)</t>
  </si>
  <si>
    <t>15.73 (14.37, 16.85)</t>
  </si>
  <si>
    <t>15.89 (14.17, 17.07)</t>
  </si>
  <si>
    <t>16.03 (14.55, 18.00)</t>
  </si>
  <si>
    <t>11.57 (11.18, 12.19)</t>
  </si>
  <si>
    <t>11.94 (9.68, 12.84)</t>
  </si>
  <si>
    <t>12.16 (10.61, 13.51)</t>
  </si>
  <si>
    <t>12.08 (9.70, 14.07)</t>
  </si>
  <si>
    <t>9.21 (9.01, 10.10)</t>
  </si>
  <si>
    <t>9.86 (8.83, 10.60)</t>
  </si>
  <si>
    <t>9.97 (9.51, 10.78)</t>
  </si>
  <si>
    <t>9.91 (9.43, 11.92)</t>
  </si>
  <si>
    <t>12.50 (12.49, 13.29)</t>
  </si>
  <si>
    <t>13.23 (12.34, 14.83)</t>
  </si>
  <si>
    <t>13.57 (12.67, 14.40)</t>
  </si>
  <si>
    <t>13.37 (13.22, 15.32)</t>
  </si>
  <si>
    <t>9.19 (8.92, 9.59)</t>
  </si>
  <si>
    <t>9.70 (8.46, 11.05)</t>
  </si>
  <si>
    <t>9.87 (8.92, 10.74)</t>
  </si>
  <si>
    <t>9.91 (8.87, 11.77)</t>
  </si>
  <si>
    <r>
      <t xml:space="preserve">Monohexylceramides (Glucosylceramides and Galactosylceramides) </t>
    </r>
    <r>
      <rPr>
        <rFont val="revert"/>
        <b/>
        <color rgb="FF1155CC"/>
        <sz val="13.0"/>
        <u/>
      </rPr>
      <t>*</t>
    </r>
  </si>
  <si>
    <t>11.21 (10.97, 11.67)</t>
  </si>
  <si>
    <t>11.92 (11.03, 12.79)</t>
  </si>
  <si>
    <t>12.09 (11.36, 12.78)</t>
  </si>
  <si>
    <t>12.14 (11.52, 14.29)</t>
  </si>
  <si>
    <t>8.62 (8.45, 9.04)</t>
  </si>
  <si>
    <t>9.11 (8.40, 10.15)</t>
  </si>
  <si>
    <t>9.20 (8.33, 9.92)</t>
  </si>
  <si>
    <t>9.15 (8.90, 10.80)</t>
  </si>
  <si>
    <t>10.19 (9.90, 10.26)</t>
  </si>
  <si>
    <t>10.48 (9.79, 11.31)</t>
  </si>
  <si>
    <t>10.69 (10.07, 11.33)</t>
  </si>
  <si>
    <t>10.73 (10.10, 12.11)</t>
  </si>
  <si>
    <t>13.16 (12.74, 13.36)</t>
  </si>
  <si>
    <t>13.75 (12.97, 14.61)</t>
  </si>
  <si>
    <t>13.88 (13.18, 14.68)</t>
  </si>
  <si>
    <t>14.03 (13.30, 15.52)</t>
  </si>
  <si>
    <t>13.64 (13.22, 13.89)</t>
  </si>
  <si>
    <t>14.17 (13.15, 15.49)</t>
  </si>
  <si>
    <t>14.56 (13.26, 15.29)</t>
  </si>
  <si>
    <t>14.53 (13.57, 16.32)</t>
  </si>
  <si>
    <t>9.74 (9.37, 10.19)</t>
  </si>
  <si>
    <t>10.20 (8.82, 11.16)</t>
  </si>
  <si>
    <t>10.14 (8.41, 11.23)</t>
  </si>
  <si>
    <t>10.35 (8.17, 12.28)</t>
  </si>
  <si>
    <t>9.15 (8.58, 9.50)</t>
  </si>
  <si>
    <t>9.50 (8.67, 9.99)</t>
  </si>
  <si>
    <t>9.73 (9.12, 10.34)</t>
  </si>
  <si>
    <t>9.49 (9.21, 11.72)</t>
  </si>
  <si>
    <t>9.41 (9.11, 10.26)</t>
  </si>
  <si>
    <t>9.94 (9.02, 10.59)</t>
  </si>
  <si>
    <t>9.96 (9.00, 10.70)</t>
  </si>
  <si>
    <t>10.02 (9.43, 11.88)</t>
  </si>
  <si>
    <t>9.69 (9.30, 13.30)</t>
  </si>
  <si>
    <t>10.02 (8.48, 11.06)</t>
  </si>
  <si>
    <t>10.03 (9.26, 11.30)</t>
  </si>
  <si>
    <t>10.15 (9.27, 12.48)</t>
  </si>
  <si>
    <t>13.40 (13.26, 13.51)</t>
  </si>
  <si>
    <t>13.72 (12.86, 14.59)</t>
  </si>
  <si>
    <t>13.53 (13.40, 14.17)</t>
  </si>
  <si>
    <t>13.76 (13.29, 15.16)</t>
  </si>
  <si>
    <t>8.75 (8.37, 8.95)</t>
  </si>
  <si>
    <t>9.03 (8.18, 9.70)</t>
  </si>
  <si>
    <t>9.24 (8.76, 9.65)</t>
  </si>
  <si>
    <t>9.24 (8.59, 10.35)</t>
  </si>
  <si>
    <t>11.03 (10.35, 11.13)</t>
  </si>
  <si>
    <t>11.40 (10.84, 12.25)</t>
  </si>
  <si>
    <t>11.53 (11.13, 12.19)</t>
  </si>
  <si>
    <t>11.64 (10.89, 12.74)</t>
  </si>
  <si>
    <t>10.61 (10.07, 10.76)</t>
  </si>
  <si>
    <t>10.95 (10.44, 12.14)</t>
  </si>
  <si>
    <t>11.16 (10.41, 12.05)</t>
  </si>
  <si>
    <t>11.13 (10.40, 12.54)</t>
  </si>
  <si>
    <t>12.10 (11.70, 12.25)</t>
  </si>
  <si>
    <t>12.57 (11.38, 13.40)</t>
  </si>
  <si>
    <t>12.72 (12.09, 13.15)</t>
  </si>
  <si>
    <t>12.71 (11.94, 13.84)</t>
  </si>
  <si>
    <t>PD-NC, Parkinson's disease-Normal Cognition; PD-MCI, Parkinson's disease-Mild Cognitive Impairment; PDD, Parkinson's disease-dementia.</t>
  </si>
  <si>
    <t>Repo</t>
  </si>
  <si>
    <t>study</t>
  </si>
  <si>
    <t>phase</t>
  </si>
  <si>
    <t>mode</t>
  </si>
  <si>
    <t>m/z ratio</t>
  </si>
  <si>
    <t>RT</t>
  </si>
  <si>
    <t>Samples control</t>
  </si>
  <si>
    <t>Intensity mean control</t>
  </si>
  <si>
    <t>Intensity median control</t>
  </si>
  <si>
    <t>Intensity mean PD</t>
  </si>
  <si>
    <t>Median Intensity</t>
  </si>
  <si>
    <t>smiles</t>
  </si>
  <si>
    <t>inCHIkey</t>
  </si>
  <si>
    <t xml:space="preserve">PD </t>
  </si>
  <si>
    <t>LC-MS_hilic</t>
  </si>
  <si>
    <t>negative</t>
  </si>
  <si>
    <t>tryptophan-d5</t>
  </si>
  <si>
    <t>no</t>
  </si>
  <si>
    <t>glucose</t>
  </si>
  <si>
    <t>C6H12O6</t>
  </si>
  <si>
    <t>palmitic acid</t>
  </si>
  <si>
    <t>C16H32O2</t>
  </si>
  <si>
    <t>CCCCCCCCCCCCCCCC(O)=O</t>
  </si>
  <si>
    <t>1S/C16H32O2/c1-2-3-4-5-6-7-8-9-10-11-12-13-14-15-16(17)18/h2-15H2,1H3,(H,17,18)</t>
  </si>
  <si>
    <t>LC-MS_reverse-phase</t>
  </si>
  <si>
    <t>positive</t>
  </si>
  <si>
    <t>creatinine</t>
  </si>
  <si>
    <t>C4H7N3O</t>
  </si>
  <si>
    <t>CN1CC(=O)NC1=N</t>
  </si>
  <si>
    <t>phosphatidylcholine</t>
  </si>
  <si>
    <t>C40H80NO6P</t>
  </si>
  <si>
    <t>P(OCC[N+](C)(C)C)(OC[C@H](O/C=C\CCCCCCCCCCCCCC)CO/C=C\CCCCCCCCCCCCCC)([O-])=O</t>
  </si>
  <si>
    <t>LC-MS_reverse phase</t>
  </si>
  <si>
    <t>(3'-5')-adenylyladenosine*</t>
  </si>
  <si>
    <t>(3'-5')-adenylyluridine</t>
  </si>
  <si>
    <t>(N(1) + N(8))-acetylspermidine</t>
  </si>
  <si>
    <t>1-(1-enyl-oleoyl)-GPE (P-18:1)*</t>
  </si>
  <si>
    <t>1-(1-enyl-palmitoyl)-2-oleoyl-GPC (P-16:0/18:1)*</t>
  </si>
  <si>
    <t>1-(1-enyl-palmitoyl)-GPE (P-16:0)*</t>
  </si>
  <si>
    <t>C21H44NO6P</t>
  </si>
  <si>
    <t>P(OC[C@@H](CO/C=C/CCCCCCCCCCCCCC)O)(=O)(OCC[NH3+])[O-]</t>
  </si>
  <si>
    <t>InChI=1S/C21H44NO6P/c1-2-3-4-5-6-7-8-9-10-11-12-13-14-15-17-26-19-21(23)20-28-29(24,25)27-18-16-22/h15,17,21,23H,2-14,16,18-20,22H2,1H3,(H,24,25)/b17-15+/t21-/m1/s1</t>
  </si>
  <si>
    <t>1-(1-enyl-stearoyl)-2-arachidonoyl-GPE (P-18:0/20:4)*</t>
  </si>
  <si>
    <t>HMDB05779</t>
  </si>
  <si>
    <t>1-(1-enyl-stearoyl)-2-linoleoyl-GPE (P-18:0/18:2)*</t>
  </si>
  <si>
    <t>C41H78NO7P</t>
  </si>
  <si>
    <t>P(OC[C@@H](CO/C=C\CCCCCCCCCCCCCCCC)OC(=O)CCCCCCC/C=C\C/C=C\CCCCC)(=O)(OCCN)O</t>
  </si>
  <si>
    <t>InChI=1S/C41H78NO7P/c1-3-5-7-9-11-13-15-17-19-21-23-25-27-29-31-33-36-46-38-40(39-48-50(44,45)47-37-35-42)49-41(43)34-32-30-28-26-24-22-20-18-16-14-12-10-8-6-4-2/h12,14,18,20,33,36,40H,3-11,13,15-17,19,21-32,34-35,37-39,42H2,1-2H3,(H,44,45)/b14-12-,20-18-,36-33-/t40-/m1/s1</t>
  </si>
  <si>
    <t>HMDB11376</t>
  </si>
  <si>
    <t>1-(1-enyl-stearoyl)-GPE (P-18:0)*</t>
  </si>
  <si>
    <t>C23H48NO6P</t>
  </si>
  <si>
    <t>C(CCCCCCCCCCCCCCCC)=COC[C@H](COP(=O)(OCC[NH3+])[O-])O</t>
  </si>
  <si>
    <t>InChI=1S/C23H48NO6P/c1-2-3-4-5-6-7-8-9-10-11-12-13-14-15-16-17-19-28-21-23(25)22-30-31(26,27)29-20-18-24/h17,19,23,25H,2-16,18,20-22,24H2,1H3,(H,26,27)/t23-/m1/s1</t>
  </si>
  <si>
    <t>1,2,3-benzenetriol sulfate (2)</t>
  </si>
  <si>
    <t>1,2-dilinolenoyl-galactosylglycerol (18:3/18:3)*</t>
  </si>
  <si>
    <t>1,2-dilinoleoyl-digalactosylglycerol (18:2/18:2)*</t>
  </si>
  <si>
    <t>1,2-dilinoleoyl-galactosylglycerol (18:2/18:2)*</t>
  </si>
  <si>
    <t>1,2-dilinoleoyl-GPC (18:2/18:2)</t>
  </si>
  <si>
    <t>HMDB08138</t>
  </si>
  <si>
    <t>1,2-dipalmitoyl-GPC (16:0/16:0)</t>
  </si>
  <si>
    <t>HMDB00564</t>
  </si>
  <si>
    <t>10-heptadecenoate (17:1n7)</t>
  </si>
  <si>
    <t>HMDB60038</t>
  </si>
  <si>
    <t>10-hydroxydecanoic acid</t>
  </si>
  <si>
    <t>C10H20O3</t>
  </si>
  <si>
    <t>OCCCCCCCCCC(O)=O</t>
  </si>
  <si>
    <t>InChI=1S/C10H20O3/c11-9-7-5-3-1-2-4-6-8-10(12)13/h11H,1-9H2,(H,12,13)</t>
  </si>
  <si>
    <t>10-hydroxystearate</t>
  </si>
  <si>
    <t>C18H36O3</t>
  </si>
  <si>
    <t>OC(=O)CCCCCCCCC(CCCCCCCC)O</t>
  </si>
  <si>
    <t>InChI=1S/C18H36O3/c1-2-3-4-5-8-11-14-17(19)15-12-9-6-7-10-13-16-18(20)21/h17,19H,2-16H2,1H3,(H,20,21)</t>
  </si>
  <si>
    <t>HMDB37396</t>
  </si>
  <si>
    <t>10-nonadecenoate (19:1n9)</t>
  </si>
  <si>
    <t>HMDB13622</t>
  </si>
  <si>
    <t>11-ketoetiocholanolone sulfate</t>
  </si>
  <si>
    <t>12,13-DiHOME</t>
  </si>
  <si>
    <t>C18H34O4</t>
  </si>
  <si>
    <t>CCCCCC(O)C(O)C\C=C/CCCCCCCC(O)=O</t>
  </si>
  <si>
    <t>InChI=1S/C18H34O4/c1-2-3-10-13-16(19)17(20)14-11-8-6-4-5-7-9-12-15-18(21)22/h8,11,16-17,19-20H,2-7,9-10,12-15H2,1H3,(H,21,22)/b11-8-</t>
  </si>
  <si>
    <t>HMDB04705</t>
  </si>
  <si>
    <t>12-dehydrocholate</t>
  </si>
  <si>
    <t>C24H38O5</t>
  </si>
  <si>
    <t>[H][C@@]12C[C@H](O)CC[C@]1(C)[C@@]1([H])CC(=O)[C@]3(C)[C@]([H])(CC[C@@]3([H])[C@]1([H])[C@H](O)C2)[C@H](C)CCC(O)=O</t>
  </si>
  <si>
    <t>InChI=1S/C24H38O5/c1-13(4-7-21(28)29)16-5-6-17-22-18(12-20(27)24(16,17)3)23(2)9-8-15(25)10-14(23)11-19(22)26/h13-19,22,25-26H,4-12H2,1-3H3,(H,28,29)/t13-,14+,15-,16-,17+,18+,19-,22+,23+,24-/m1/s1</t>
  </si>
  <si>
    <t>HMDB00400</t>
  </si>
  <si>
    <t>12-methyltridecanoate (i14:0)</t>
  </si>
  <si>
    <t>13-HODE + 9-HODE</t>
  </si>
  <si>
    <t>13-methylmyristate (i15:0)</t>
  </si>
  <si>
    <t>15-methylpalmitate (i17:0)</t>
  </si>
  <si>
    <t>17-methylstearate (i19:0)</t>
  </si>
  <si>
    <t>HMDB37397</t>
  </si>
  <si>
    <t>1-arachidonoyl-GPE (20:4n6)*</t>
  </si>
  <si>
    <t>HMDB11517</t>
  </si>
  <si>
    <t>1-arachidonylglycerol (20:4)</t>
  </si>
  <si>
    <t>HMDB11549</t>
  </si>
  <si>
    <t>1-carboxyethylisoleucine</t>
  </si>
  <si>
    <t>1-carboxyethylleucine</t>
  </si>
  <si>
    <t>1-carboxyethylphenylalanine</t>
  </si>
  <si>
    <t>1-carboxyethyltyrosine</t>
  </si>
  <si>
    <t>1-carboxyethylvaline</t>
  </si>
  <si>
    <t>1-dihomo-linolenylglycerol (20:3)</t>
  </si>
  <si>
    <t>1-dihomo-linoleoylglycerol (20:2)</t>
  </si>
  <si>
    <t>1-docosahexaenoylglycerol (22:6)</t>
  </si>
  <si>
    <t>HMDB11587</t>
  </si>
  <si>
    <t>1H-quinolin-2-one</t>
  </si>
  <si>
    <t>C9H7NO</t>
  </si>
  <si>
    <t>Oc1ccc2ccccc2n1</t>
  </si>
  <si>
    <t>InChI=1S/C9H7NO/c11-9-6-5-7-3-1-2-4-8(7)10-9/h1-6H,(H,10,11)</t>
  </si>
  <si>
    <t>1-linolenoylglycerol (18:3)</t>
  </si>
  <si>
    <t>HMDB11569</t>
  </si>
  <si>
    <t>1-linoleoyl-2-arachidonoyl-GPC (18:2/20:4n6)*</t>
  </si>
  <si>
    <t>C46H80NO8P</t>
  </si>
  <si>
    <t>C(C[N+](C)(C)C)OP(=O)([O-])OC[C@H](OC(=O)CCC/C=C\C/C=C\C/C=C\C/C=C\CCCCC)COC(=O)CCCCCCC/C=C\C/C=C\CCCCC</t>
  </si>
  <si>
    <t>InChI=1S/C46H80NO8P/c1-6-8-10-12-14-16-18-20-22-23-25-27-29-31-33-35-37-39-46(49)55-44(43-54-56(50,51)53-41-40-47(3,4)5)42-52-45(48)38-36-34-32-30-28-26-24-21-19-17-15-13-11-9-7-2/h14-17,20-22,24-25,27,31,33,44H,6-13,18-19,23,26,28-30,32,34-43H2,1-5H3/b16-14-,17-15-,22-20-,24-21-,27-25-,33-31-/t44-/m1/s1</t>
  </si>
  <si>
    <t>HMDB08147</t>
  </si>
  <si>
    <t>1-linoleoylglycerol (18:2)</t>
  </si>
  <si>
    <t>1-linoleoyl-GPC (18:2)</t>
  </si>
  <si>
    <t>C26H50NO7P</t>
  </si>
  <si>
    <t>CCCCC\C=C/C\C=C/CCCCCCCC(=O)OC[C@@H](O)COP([O-])(=O)OCC[N+](C)(C)C</t>
  </si>
  <si>
    <t>InChI=1S/C26H50NO7P/c1-5-6-7-8-9-10-11-12-13-14-15-16-17-18-19-20-26(29)32-23-25(28)24-34-35(30,31)33-22-21-27(2,3)4/h9-10,12-13,25,28H,5-8,11,14-24H2,1-4H3/b10-9-,13-12-/t25-/m1/s1</t>
  </si>
  <si>
    <t>HMDB10386</t>
  </si>
  <si>
    <t>1-linoleoyl-GPE (18:2)*</t>
  </si>
  <si>
    <t>C23H44NO7P</t>
  </si>
  <si>
    <t>O(C(=O)CCCCCCC/C=C\C/C=C\CCCCC)C[C@H](COP(OCCN)(=O)O)O</t>
  </si>
  <si>
    <t>InChI=1S/C23H44NO7P/c1-2-3-4-5-6-7-8-9-10-11-12-13-14-15-16-17-23(26)29-20-22(25)21-31-32(27,28)30-19-18-24/h6-7,9-10,22,25H,2-5,8,11-21,24H2,1H3,(H,27,28)/b7-6-,10-9-/t22-/m1/s1</t>
  </si>
  <si>
    <t>HMDB11507</t>
  </si>
  <si>
    <t>1-linoleoyl-GPG (18:2)*</t>
  </si>
  <si>
    <t>1-margaroylglycerol (17:0)</t>
  </si>
  <si>
    <t>1-methyl-4-imidazoleacetate</t>
  </si>
  <si>
    <t>C6H8N2O2</t>
  </si>
  <si>
    <t>OC(=O)CC=1N=CN(C)C1</t>
  </si>
  <si>
    <t>InChI=1S/C6H8N2O2/c1-8-3-5(7-4-8)2-6(9)10/h3-4H,2H2,1H3,(H,9,10)</t>
  </si>
  <si>
    <t>HMDB02820</t>
  </si>
  <si>
    <t>1-methyladenine</t>
  </si>
  <si>
    <t>C6H7N5</t>
  </si>
  <si>
    <t>Cn1cnc2ncnc2c1N</t>
  </si>
  <si>
    <t>InChI=1S/C6H7N5/c1-11-3-10-6-4(5(11)7)8-2-9-6/h2-3H,7H2,1H3</t>
  </si>
  <si>
    <t>HMDB11599</t>
  </si>
  <si>
    <t>1-methyl-beta-carboline-3-carboxylic acid</t>
  </si>
  <si>
    <t>1-methylguanidine</t>
  </si>
  <si>
    <t>C2H7N3</t>
  </si>
  <si>
    <t>CNC(N)=N</t>
  </si>
  <si>
    <t>InChI=1S/C2H7N3/c1-5-2(3)4/h1H3,(H4,3,4,5)</t>
  </si>
  <si>
    <t>HMDB01522</t>
  </si>
  <si>
    <t>1-methylhistamine</t>
  </si>
  <si>
    <t>C6H11N3</t>
  </si>
  <si>
    <t>Cn1cnc(CCN)c1</t>
  </si>
  <si>
    <t>InChI=1S/C6H11N3/c1-9-4-6(2-3-7)8-5-9/h4-5H,2-3,7H2,1H3</t>
  </si>
  <si>
    <t>HMDB00898</t>
  </si>
  <si>
    <t>1-methylhistidine</t>
  </si>
  <si>
    <t>C7H11N3O2</t>
  </si>
  <si>
    <t>Cn1cnc(CC(N)C(O)=O)c1</t>
  </si>
  <si>
    <t>InChI=1S/C7H11N3O2/c1-10-3-5(9-4-10)2-6(8)7(11)12/h3-4,6H,2,8H2,1H3,(H,11,12)</t>
  </si>
  <si>
    <t>1-methylnicotinamide</t>
  </si>
  <si>
    <t>C7H9N2O+</t>
  </si>
  <si>
    <t>C[n+]1cccc(c1)C(N)=O</t>
  </si>
  <si>
    <t>InChI=1S/C7H8N2O/c1-9-4-2-3-6(5-9)7(8)10/h2-5H,1H3,(H-,8,10)/p+1</t>
  </si>
  <si>
    <t>HMDB00699</t>
  </si>
  <si>
    <t>1-methylurate</t>
  </si>
  <si>
    <t>C6H6N4O3</t>
  </si>
  <si>
    <t>Cn1c(=O)[nH]c2[nH]c(=O)[nH]c2c1=O</t>
  </si>
  <si>
    <t>InChI=1S/C6H6N4O3/c1-10-4(11)2-3(9-6(10)13)8-5(12)7-2/h1H3,(H,9,13)(H2,7,8,12)</t>
  </si>
  <si>
    <t>HMDB03099</t>
  </si>
  <si>
    <t>1-methylxanthine</t>
  </si>
  <si>
    <t>C6H6N4O2</t>
  </si>
  <si>
    <t>1-myristoylglycerol (14:0)</t>
  </si>
  <si>
    <t>HMDB11561</t>
  </si>
  <si>
    <t>1-oleoyl-2-linoleoyl-GPC (18:1/18:2)*</t>
  </si>
  <si>
    <t>C44H82NO8P</t>
  </si>
  <si>
    <t>CCCCCCCC\C=C/CCCCCCCC(=O)OC[C@H](COP([O-])(=O)OCC[N+](C)(C)C)OC(=O)CCCCCCC\C=C/C\C=C/CCCCC</t>
  </si>
  <si>
    <t>InChI=1S/C44H82NO8P/c1-6-8-10-12-14-16-18-20-22-24-26-28-30-32-34-36-43(46)50-40-42(41-52-54(48,49)51-39-38-45(3,4)5)53-44(47)37-35-33-31-29-27-25-23-21-19-17-15-13-11-9-7-2/h15,17,20-23,42H,6-14,16,18-19,24-41H2,1-5H3/b17-15-,22-20-,23-21-/t42-/m1/s1</t>
  </si>
  <si>
    <t>1-oleoylglycerol (18:1)</t>
  </si>
  <si>
    <t>HMDB11567</t>
  </si>
  <si>
    <t>1-oleoyl-GPC (18:1)</t>
  </si>
  <si>
    <t>HMDB02815</t>
  </si>
  <si>
    <t>1-oleoyl-GPE (18:1)</t>
  </si>
  <si>
    <t>HMDB11506</t>
  </si>
  <si>
    <t>1-oleoyl-GPG (18:1)*</t>
  </si>
  <si>
    <t>1-oleoyl-GPI (18:1)*</t>
  </si>
  <si>
    <t>C27H51O12P</t>
  </si>
  <si>
    <t>CCCCCCCC\C=C/CCCCCCCC(=O)OC[C@@H](O)COP(O)(=O)O[C@H]1[C@H](O)[C@@H](O)[C@H](O)[C@@H](O)[C@H]1O</t>
  </si>
  <si>
    <t>InChI=1S/C27H51O12P/c1-2-3-4-5-6-7-8-9-10-11-12-13-14-15-16-17-21(29)37-18-20(28)19-38-40(35,36)39-27-25(33)23(31)22(30)24(32)26(27)34/h9-10,20,22-28,30-34H,2-8,11-19H2,1H3,(H,35,36)/b10-9-/t20-,22-,23-,24+,25-,26-,27-/m1/s1</t>
  </si>
  <si>
    <t>1-oleoyl-sn-glycero-2',3'-cyclic phosphate</t>
  </si>
  <si>
    <t>1-palmitoleoylglycerol (16:1)*</t>
  </si>
  <si>
    <t>HMDB11565</t>
  </si>
  <si>
    <t>1-palmitoyl-2-arachidonoyl-GPC (16:0/20:4n6)</t>
  </si>
  <si>
    <t>HMDB07982</t>
  </si>
  <si>
    <t>1-palmitoyl-2-docosahexaenoyl-GPC (16:0/22:6)</t>
  </si>
  <si>
    <t>CCCCCCCCCCCCCCCC(=O)OC[C@H](COP([O-])(=O)OCC[N+](C)(C)C)OC(=O)CC\C=C/C\C=C/C\C=C/C\C=C/C\C=C/C\C=C/CC</t>
  </si>
  <si>
    <t>InChI=1S/C46H80NO8P/c1-6-8-10-12-14-16-18-20-21-22-23-24-25-27-29-31-33-35-37-39-46(49)55-44(43-54-56(50,51)53-41-40-47(3,4)5)42-52-45(48)38-36-34-32-30-28-26-19-17-15-13-11-9-7-2/h8,10,14,16,20-21,23-24,27,29,33,35,44H,6-7,9,11-13,15,17-19,22,25-26,28,30-32,34,36-43H2,1-5H3/b10-8-,16-14-,21-20-,24-23-,29-27-,35-33-/t44-/m1/s1</t>
  </si>
  <si>
    <t>HMDB07991</t>
  </si>
  <si>
    <t>1-palmitoyl-2-linoleoyl-digalactosylglycerol (16:0/18:2)*</t>
  </si>
  <si>
    <t>1-palmitoyl-2-linoleoyl-galactosylglycerol (16:0/18:2)*</t>
  </si>
  <si>
    <t>1-palmitoyl-2-linoleoyl-GPC (16:0/18:2)</t>
  </si>
  <si>
    <t>C42H80NO8P</t>
  </si>
  <si>
    <t>C(C[N+](C)(C)C)OP(=O)([O-])OC[C@H](OC(CCCCCCC/C=C\C/C=C\CCCCC)=O)COC(=O)CCCCCCCCCCCCCCC</t>
  </si>
  <si>
    <t>InChI=1S/C42H80NO8P/c1-6-8-10-12-14-16-18-20-21-23-25-27-29-31-33-35-42(45)51-40(39-50-52(46,47)49-37-36-43(3,4)5)38-48-41(44)34-32-30-28-26-24-22-19-17-15-13-11-9-7-2/h14,16,20-21,40H,6-13,15,17-19,22-39H2,1-5H3/b16-14-,21-20-/t40-/m1/s1</t>
  </si>
  <si>
    <t>HMDB07973</t>
  </si>
  <si>
    <t>1-palmitoyl-2-linoleoyl-GPE (16:0/18:2)</t>
  </si>
  <si>
    <t>C39H74NO8P</t>
  </si>
  <si>
    <t>[H][C@@](COC(=O)CCCCCCCCCCCCCCC)(COP([O-])(=O)OCC[NH3+])OC(=O)CCCCCCC\C=C/C\C=C/CCCCC</t>
  </si>
  <si>
    <t>InChI=1S/C39H74NO8P/c1-3-5-7-9-11-13-15-17-18-20-22-24-26-28-30-32-39(42)48-37(36-47-49(43,44)46-34-33-40)35-45-38(41)31-29-27-25-23-21-19-16-14-12-10-8-6-4-2/h11,13,17-18,37H,3-10,12,14-16,19-36,40H2,1-2H3,(H,43,44)/b13-11-,18-17-/t37-/m1/s1</t>
  </si>
  <si>
    <t>HMDB05322</t>
  </si>
  <si>
    <t>1-palmitoyl-2-oleoyl-GPC (16:0/18:1)</t>
  </si>
  <si>
    <t>C42H82NO8P</t>
  </si>
  <si>
    <t>C(OP(=O)(OCC[N+](C)(C)C)[O-])[C@@H](COC(CCCCCCCCCCCCCCC)=O)OC(CCCCCCC/C=C\CCCCCCCC)=O</t>
  </si>
  <si>
    <t>InChI=1S/C42H82NO8P/c1-6-8-10-12-14-16-18-20-21-23-25-27-29-31-33-35-42(45)51-40(39-50-52(46,47)49-37-36-43(3,4)5)38-48-41(44)34-32-30-28-26-24-22-19-17-15-13-11-9-7-2/h20-21,40H,6-19,22-39H2,1-5H3/b21-20-/t40-/m1/s1</t>
  </si>
  <si>
    <t>HMDB07972</t>
  </si>
  <si>
    <t>1-palmitoyl-2-oleoyl-GPE (16:0/18:1)</t>
  </si>
  <si>
    <t>HMDB05320</t>
  </si>
  <si>
    <t>1-palmitoyl-2-palmitoleoyl-GPC (16:0/16:1)*</t>
  </si>
  <si>
    <t>C40H78NO8P</t>
  </si>
  <si>
    <t>O(C(=O)CCCCCCC/C=C\CCCCCC)[C@H](COC(CCCCCCCCCCCCCCC)=O)COP(=O)([O-])OCC[N+](C)(C)C</t>
  </si>
  <si>
    <t>InChI=1S/C40H78NO8P/c1-6-8-10-12-14-16-18-20-22-24-26-28-30-32-39(42)46-36-38(37-48-50(44,45)47-35-34-41(3,4)5)49-40(43)33-31-29-27-25-23-21-19-17-15-13-11-9-7-2/h17,19,38H,6-16,18,20-37H2,1-5H3/b19-17-/t38-/m1/s1</t>
  </si>
  <si>
    <t>HMDB07969</t>
  </si>
  <si>
    <t>1-palmitoyl-2-stearoyl-GPC (16:0/18:0)</t>
  </si>
  <si>
    <t>C42H84NO8P</t>
  </si>
  <si>
    <t>[H][C@@](COC(=O)CCCCCCCCCCCCCCC)(COP([O-])(=O)OCC[N+](C)(C)C)OC(=O)CCCCCCCCCCCCCCCCC</t>
  </si>
  <si>
    <t>InChI=1S/C42H84NO8P/c1-6-8-10-12-14-16-18-20-21-23-25-27-29-31-33-35-42(45)51-40(39-50-52(46,47)49-37-36-43(3,4)5)38-48-41(44)34-32-30-28-26-24-22-19-17-15-13-11-9-7-2/h40H,6-39H2,1-5H3/t40-/m1/s1</t>
  </si>
  <si>
    <t>HMDB07970</t>
  </si>
  <si>
    <t>1-palmitoylglycerol (16:0)</t>
  </si>
  <si>
    <t>HMDB31074</t>
  </si>
  <si>
    <t>1-palmitoyl-GPC (16:0)</t>
  </si>
  <si>
    <t>C24H50NO7P</t>
  </si>
  <si>
    <t>[C@@H](COC(=O)CCCCCCCCCCCCCCC)(COP(OCC[N+](C)(C)C)(=O)[O-])O</t>
  </si>
  <si>
    <t>InChI=1S/C24H50NO7P/c1-5-6-7-8-9-10-11-12-13-14-15-16-17-18-24(27)30-21-23(26)22-32-33(28,29)31-20-19-25(2,3)4/h23,26H,5-22H2,1-4H3/t23-/m1/s1</t>
  </si>
  <si>
    <t>HMDB10382</t>
  </si>
  <si>
    <t>1-palmitoyl-GPE (16:0)</t>
  </si>
  <si>
    <t>C21H44NO7P</t>
  </si>
  <si>
    <t>[C@@H](COC(=O)CCCCCCCCCCCCCCC)(COP(OCC[NH3+])(=O)[O-])O</t>
  </si>
  <si>
    <t>InChI=1S/C21H44NO7P/c1-2-3-4-5-6-7-8-9-10-11-12-13-14-15-21(24)27-18-20(23)19-29-30(25,26)28-17-16-22/h20,23H,2-19,22H2,1H3,(H,25,26)/t20-/m1/s1</t>
  </si>
  <si>
    <t>HMDB11503</t>
  </si>
  <si>
    <t>1-palmitoyl-GPG (16:0)*</t>
  </si>
  <si>
    <t>1-palmitoyl-GPI (16:0)</t>
  </si>
  <si>
    <t>C25H49O12P</t>
  </si>
  <si>
    <t>CCCCCCCCCCCCCCCC(=O)OC[C@@H](O)COP(O)(=O)O[C@H]1[C@H](O)[C@@H](O)[C@H](O)[C@@H](O)[C@H]1O</t>
  </si>
  <si>
    <t>InChI=1S/C25H49O12P/c1-2-3-4-5-6-7-8-9-10-11-12-13-14-15-19(27)35-16-18(26)17-36-38(33,34)37-25-23(31)21(29)20(28)22(30)24(25)32/h18,20-26,28-32H,2-17H2,1H3,(H,33,34)/t18-,20-,21-,22+,23-,24-,25-/m1/s1</t>
  </si>
  <si>
    <t>HMDB61695</t>
  </si>
  <si>
    <t>1-pentadecanoylglycerol (15:0)</t>
  </si>
  <si>
    <t>1-ribosyl-imidazoleacetate*</t>
  </si>
  <si>
    <t>HMDB02331</t>
  </si>
  <si>
    <t>1-stearoyl-2-arachidonoyl-GPC (18:0/20:4)</t>
  </si>
  <si>
    <t>C46H84NO8P</t>
  </si>
  <si>
    <t>O=C(CCC/C=C\C/C=C\C/C=C\C/C=C\CCCCC)O[C@@H](COP(OCC[N+](C)(C)C)(=O)[O-])COC(=O)CCCCCCCCCCCCCCCCC</t>
  </si>
  <si>
    <t>InChI=1S/C46H84NO8P/c1-6-8-10-12-14-16-18-20-22-23-25-27-29-31-33-35-37-39-46(49)55-44(43-54-56(50,51)53-41-40-47(3,4)5)42-52-45(48)38-36-34-32-30-28-26-24-21-19-17-15-13-11-9-7-2/h14,16,20,22,25,27,31,33,44H,6-13,15,17-19,21,23-24,26,28-30,32,34-43H2,1-5H3/b16-14-,22-20-,27-25-,33-31-/t44-/m1/s1</t>
  </si>
  <si>
    <t>HMDB08048</t>
  </si>
  <si>
    <t>1-stearoyl-2-arachidonoyl-GPE (18:0/20:4)</t>
  </si>
  <si>
    <t>C43H78NO8P</t>
  </si>
  <si>
    <t>CCCCCCCCCCCCCCCCCC(=O)OC[C@H](COP([O-])(=O)OCC[NH3+])OC(=O)CCC\C=C/C\C=C/C\C=C/C\C=C/CCCCC</t>
  </si>
  <si>
    <t>InChI=1S/C43H78NO8P/c1-3-5-7-9-11-13-15-17-19-20-22-24-26-28-30-32-34-36-43(46)52-41(40-51-53(47,48)50-38-37-44)39-49-42(45)35-33-31-29-27-25-23-21-18-16-14-12-10-8-6-4-2/h11,13,17,19,22,24,28,30,41H,3-10,12,14-16,18,20-21,23,25-27,29,31-40,44H2,1-2H3,(H,47,48)/b13-11-,19-17-,24-22-,30-28-/t41-/m1/s1</t>
  </si>
  <si>
    <t>HMDB09003</t>
  </si>
  <si>
    <t>1-stearoyl-2-arachidonoyl-GPI (18:0/20:4)</t>
  </si>
  <si>
    <t>HMDB09815</t>
  </si>
  <si>
    <t>1-stearoyl-2-docosahexaenoyl-GPC (18:0/22:6)</t>
  </si>
  <si>
    <t>C48H84NO8P</t>
  </si>
  <si>
    <t>CCCCCCCCCCCCCCCCCC(=O)OC[C@H](COP([O-])(=O)OCC[N+](C)(C)C)OC(=O)CC\C=C/C\C=C/C\C=C/C\C=C/C\C=C/C\C=C/CC</t>
  </si>
  <si>
    <t>InChI=1S/C48H84NO8P/c1-6-8-10-12-14-16-18-20-22-23-24-25-27-29-31-33-35-37-39-41-48(51)57-46(45-56-58(52,53)55-43-42-49(3,4)5)44-54-47(50)40-38-36-34-32-30-28-26-21-19-17-15-13-11-9-7-2/h8,10,14,16,20,22,24-25,29,31,35,37,46H,6-7,9,11-13,15,17-19,21,23,26-28,30,32-34,36,38-45H2,1-5H3/b10-8-,16-14-,22-20-,25-24-,31-29-,37-35-/t46-/m1/s1</t>
  </si>
  <si>
    <t>HMDB08057</t>
  </si>
  <si>
    <t>1-stearoyl-2-oleoyl-GPC (18:0/18:1)</t>
  </si>
  <si>
    <t>C44H86NO8P</t>
  </si>
  <si>
    <t>O(P(OC[C@@H](COC(CCCCCCCCCCCCCCCCC)=O)OC(CCCCCCC/C=C\CCCCCCCC)=O)(=O)[O-])CC[N+](C)(C)C</t>
  </si>
  <si>
    <t>InChI=1S/C44H86NO8P/c1-6-8-10-12-14-16-18-20-22-24-26-28-30-32-34-36-43(46)50-40-42(41-52-54(48,49)51-39-38-45(3,4)5)53-44(47)37-35-33-31-29-27-25-23-21-19-17-15-13-11-9-7-2/h21,23,42H,6-20,22,24-41H2,1-5H3/b23-21-/t42-/m1/s1</t>
  </si>
  <si>
    <t>HMDB08038</t>
  </si>
  <si>
    <t>1-stearoyl-GPC (18:0)</t>
  </si>
  <si>
    <t>HMDB10384</t>
  </si>
  <si>
    <t>1-stearoyl-GPE (18:0)</t>
  </si>
  <si>
    <t>HMDB11130</t>
  </si>
  <si>
    <t>1-stearoyl-GPG (18:0)</t>
  </si>
  <si>
    <t>1-stearoyl-GPI (18:0)</t>
  </si>
  <si>
    <t>HMDB61696</t>
  </si>
  <si>
    <t>1-stearoyl-GPS (18:0)*</t>
  </si>
  <si>
    <t>2-(4-hydroxyphenyl)propionate</t>
  </si>
  <si>
    <t>C9H10O3</t>
  </si>
  <si>
    <t>CC(C(O)=O)c1ccc(O)cc1</t>
  </si>
  <si>
    <t>InChI=1S/C9H10O3/c1-6(9(11)12)7-2-4-8(10)5-3-7/h2-6,10H,1H3,(H,11,12)</t>
  </si>
  <si>
    <t>HMDB41683</t>
  </si>
  <si>
    <t>2,3-dihydroxy-2-methylbutyrate</t>
  </si>
  <si>
    <t>HMDB29576</t>
  </si>
  <si>
    <t>2,3-dihydroxyisovalerate</t>
  </si>
  <si>
    <t>C5H10O4</t>
  </si>
  <si>
    <t>CC(C)(O)C(O)C(O)=O</t>
  </si>
  <si>
    <t>InChI=1S/C5H10O4/c1-5(2,9)3(6)4(7)8/h3,6,9H,1-2H3,(H,7,8)</t>
  </si>
  <si>
    <t>HMDB12141</t>
  </si>
  <si>
    <t>2,4,6-trihydroxybenzoate</t>
  </si>
  <si>
    <t>HMDB29649</t>
  </si>
  <si>
    <t>21-hydroxypregnanolone disulfate</t>
  </si>
  <si>
    <t>21-hydroxypregnanolone monosulfate (1)</t>
  </si>
  <si>
    <t>21-hydroxypregnenolone monosulfate (1)</t>
  </si>
  <si>
    <t>2-acetamidobutanoate</t>
  </si>
  <si>
    <t>2-aminoadipate</t>
  </si>
  <si>
    <t>C6H11NO4</t>
  </si>
  <si>
    <t>NC(CCCC(O)=O)C(O)=O</t>
  </si>
  <si>
    <t>InChI=1S/C6H11NO4/c7-4(6(10)11)2-1-3-5(8)9/h4H,1-3,7H2,(H,8,9)(H,10,11)</t>
  </si>
  <si>
    <t>2-aminoheptanoate</t>
  </si>
  <si>
    <t>C7H15NO2</t>
  </si>
  <si>
    <t>C(C(CCCCC)[NH3+])([O-])=O</t>
  </si>
  <si>
    <t>InChI=1S/C7H15NO2/c1-2-3-4-5-6(8)7(9)10/h6H,2-5,8H2,1H3,(H,9,10)</t>
  </si>
  <si>
    <t>2-aminophenol</t>
  </si>
  <si>
    <t>C6H7NO</t>
  </si>
  <si>
    <t>Nc1ccccc1O</t>
  </si>
  <si>
    <t>InChI=1S/C6H7NO/c7-5-3-1-2-4-6(5)8/h1-4,8H,7H2</t>
  </si>
  <si>
    <t>2-aminophenol sulfate</t>
  </si>
  <si>
    <t>C6H7NO4S</t>
  </si>
  <si>
    <t>C=1C=CC=C(C1N)OS(O)(=O)=O</t>
  </si>
  <si>
    <t>InChI=1S/C6H7NO4S/c7-5-3-1-2-4-6(5)11-12(8,9)10/h1-4H,7H2,(H,8,9,10)</t>
  </si>
  <si>
    <t>HMDB61116</t>
  </si>
  <si>
    <t>2'-deoxyadenosine</t>
  </si>
  <si>
    <t>C10H13N5O3</t>
  </si>
  <si>
    <t>Nc1ncnc2n(cnc12)[C@H]1C[C@H](O)[C@@H](CO)O1</t>
  </si>
  <si>
    <t>InChI=1S/C10H13N5O3/c11-9-8-10(13-3-12-9)15(4-14-8)7-1-5(17)6(2-16)18-7/h3-7,16-17H,1-2H2,(H2,11,12,13)/t5-,6+,7+/m0/s1</t>
  </si>
  <si>
    <t>HMDB00101</t>
  </si>
  <si>
    <t>2'-deoxyadenosine 5'-monophosphate</t>
  </si>
  <si>
    <t>C10H14N5O6P</t>
  </si>
  <si>
    <t>Nc1ncnc2n(cnc12)[C@H]1C[C@H](O)[C@@H](COP(O)(O)=O)O1</t>
  </si>
  <si>
    <t>InChI=1S/C10H14N5O6P/c11-9-8-10(13-3-12-9)15(4-14-8)7-1-5(16)6(21-7)2-20-22(17,18)19/h3-7,16H,1-2H2,(H2,11,12,13)(H2,17,18,19)/t5-,6+,7+/m0/s1</t>
  </si>
  <si>
    <t>HMDB00905</t>
  </si>
  <si>
    <t>2'-deoxycytidine</t>
  </si>
  <si>
    <t>C9H13N3O4</t>
  </si>
  <si>
    <t>Nc1ccn([C@H]2C[C@H](O)[C@@H](CO)O2)c(=O)n1</t>
  </si>
  <si>
    <t>InChI=1S/C9H13N3O4/c10-7-1-2-12(9(15)11-7)8-3-5(14)6(4-13)16-8/h1-2,5-6,8,13-14H,3-4H2,(H2,10,11,15)/t5-,6+,8+/m0/s1</t>
  </si>
  <si>
    <t>HMDB00014</t>
  </si>
  <si>
    <t>2'-deoxyguanosine</t>
  </si>
  <si>
    <t>C10H13N5O4</t>
  </si>
  <si>
    <t>Nc1nc2n(cnc2c(=O)[nH]1)[C@H]1C[C@H](O)[C@@H](CO)O1</t>
  </si>
  <si>
    <t>InChI=1S/C10H13N5O4/c11-10-13-8-7(9(18)14-10)12-3-15(8)6-1-4(17)5(2-16)19-6/h3-6,16-17H,1-2H2,(H3,11,13,14,18)/t4-,5+,6+/m0/s1</t>
  </si>
  <si>
    <t>HMDB00085</t>
  </si>
  <si>
    <t>2'-deoxyinosine</t>
  </si>
  <si>
    <t>C10H12N4O4</t>
  </si>
  <si>
    <t>OC[C@H]1O[C@H](C[C@@H]1O)n1cnc2c1nc[nH]c2=O</t>
  </si>
  <si>
    <t>InChI=1S/C10H12N4O4/c15-2-6-5(16)1-7(18-6)14-4-13-8-9(14)11-3-12-10(8)17/h3-7,15-16H,1-2H2,(H,11,12,17)/t5-,6+,7+/m0/s1</t>
  </si>
  <si>
    <t>HMDB00071</t>
  </si>
  <si>
    <t>2'-deoxyuridine</t>
  </si>
  <si>
    <t>C9H12N2O5</t>
  </si>
  <si>
    <t>OC[C@H]1O[C@H](C[C@@H]1O)n1ccc(=O)[nH]c1=O</t>
  </si>
  <si>
    <t>InChI=1S/C9H12N2O5/c12-4-6-5(13)3-8(16-6)11-2-1-7(14)10-9(11)15/h1-2,5-6,8,12-13H,3-4H2,(H,10,14,15)/t5-,6+,8+/m0/s1</t>
  </si>
  <si>
    <t>HMDB00012</t>
  </si>
  <si>
    <t>2-hydroxy-3-methylvalerate</t>
  </si>
  <si>
    <t>C6H12O3</t>
  </si>
  <si>
    <t>O[C@H]([C@@H](CC)C)C(O)=O</t>
  </si>
  <si>
    <t>InChI=1S/C6H12O3/c1-3-4(2)5(7)6(8)9/h4-5,7H,3H2,1-2H3,(H,8,9)/t4-,5-/m1/s1</t>
  </si>
  <si>
    <t>HMDB00317</t>
  </si>
  <si>
    <t>2-hydroxyadipate</t>
  </si>
  <si>
    <t>C6H10O5</t>
  </si>
  <si>
    <t>OC(CCCC(O)=O)C(O)=O</t>
  </si>
  <si>
    <t>InChI=1S/C6H10O5/c7-4(6(10)11)2-1-3-5(8)9/h4,7H,1-3H2,(H,8,9)(H,10,11)</t>
  </si>
  <si>
    <t>HMDB00321</t>
  </si>
  <si>
    <t>2-hydroxyarachidate*</t>
  </si>
  <si>
    <t>C20H40O3</t>
  </si>
  <si>
    <t>CCCCCCCCCCCCCCCCCCC(O)C(O)=O</t>
  </si>
  <si>
    <t>InChI=1S/C20H40O3/c1-2-3-4-5-6-7-8-9-10-11-12-13-14-15-16-17-18-19(21)20(22)23/h19,21H,2-18H2,1H3,(H,22,23)</t>
  </si>
  <si>
    <t>2-hydroxybehenate</t>
  </si>
  <si>
    <t>C22H44O3</t>
  </si>
  <si>
    <t>CCCCCCCCCCCCCCCCCCCCC(O)C(O)=O</t>
  </si>
  <si>
    <t>InChI=1S/C22H44O3/c1-2-3-4-5-6-7-8-9-10-11-12-13-14-15-16-17-18-19-20-21(23)22(24)25/h21,23H,2-20H2,1H3,(H,24,25)</t>
  </si>
  <si>
    <t>2-hydroxybutyrate/2-hydroxyisobutyrate</t>
  </si>
  <si>
    <t>C4H8O3</t>
  </si>
  <si>
    <t>CC(C)(O)C(O)=O</t>
  </si>
  <si>
    <t>InChI=1S/C4H8O3/c1-4(2,7)3(5)6/h7H,1-2H3,(H,5,6)</t>
  </si>
  <si>
    <t>2-hydroxydecanoate</t>
  </si>
  <si>
    <t>C(CCCCCC)CC(C(=O)O)O</t>
  </si>
  <si>
    <t>InChI=1S/C10H20O3/c1-2-3-4-5-6-7-8-9(11)10(12)13/h9,11H,2-8H2,1H3,(H,12,13)</t>
  </si>
  <si>
    <t>2-hydroxyglutarate</t>
  </si>
  <si>
    <t>C5H8O5</t>
  </si>
  <si>
    <t>OC(CCC(O)=O)C(O)=O</t>
  </si>
  <si>
    <t>InChI=1S/C5H8O5/c6-3(5(9)10)1-2-4(7)8/h3,6H,1-2H2,(H,7,8)(H,9,10)</t>
  </si>
  <si>
    <t>HMDB00606</t>
  </si>
  <si>
    <t>2-hydroxyheptanoate*</t>
  </si>
  <si>
    <t>2-hydroxyhippurate (salicylurate)</t>
  </si>
  <si>
    <t>HMDB00840</t>
  </si>
  <si>
    <t>2-hydroxymyristate</t>
  </si>
  <si>
    <t>C14H28O3</t>
  </si>
  <si>
    <t>CCCCCCCCCCCCC(O)C(O)=O</t>
  </si>
  <si>
    <t>InChI=1S/C14H28O3/c1-2-3-4-5-6-7-8-9-10-11-12-13(15)14(16)17/h13,15H,2-12H2,1H3,(H,16,17)</t>
  </si>
  <si>
    <t>HMDB02261</t>
  </si>
  <si>
    <t>2-hydroxynervonate*</t>
  </si>
  <si>
    <t>C24H45O3</t>
  </si>
  <si>
    <t>CCCCCCCC\C=C/CCCCCCCCCCCCC(O)C([O-])=O</t>
  </si>
  <si>
    <t>InChI=1S/C24H46O3/c1-2-3-4-5-6-7-8-9-10-11-12-13-14-15-16-17-18-19-20-21-22-23(25)24(26)27/h9-10,23,25H,2-8,11-22H2,1H3,(H,26,27)/p-1/b10-9-</t>
  </si>
  <si>
    <t>2-hydroxyoleate</t>
  </si>
  <si>
    <t>C18H34O3</t>
  </si>
  <si>
    <t>C(\CCCCCCC(C(=O)O)O)=C\CCCCCCCC</t>
  </si>
  <si>
    <t>InChI=1S/C18H34O3/c1-2-3-4-5-6-7-8-9-10-11-12-13-14-15-16-17(19)18(20)21/h9-10,17,19H,2-8,11-16H2,1H3,(H,20,21)/b10-9-</t>
  </si>
  <si>
    <t>2-hydroxypalmitate</t>
  </si>
  <si>
    <t>C16H32O3</t>
  </si>
  <si>
    <t>CCCCCCCCCCCCCCC(O)C(O)=O</t>
  </si>
  <si>
    <t>InChI=1S/C16H32O3/c1-2-3-4-5-6-7-8-9-10-11-12-13-14-15(17)16(18)19/h15,17H,2-14H2,1H3,(H,18,19)</t>
  </si>
  <si>
    <t>HMDB31057</t>
  </si>
  <si>
    <t>2-hydroxyphenylacetate</t>
  </si>
  <si>
    <t>C8H8O3</t>
  </si>
  <si>
    <t>OC(=O)Cc1ccccc1O</t>
  </si>
  <si>
    <t>InChI=1S/C8H8O3/c9-7-4-2-1-3-6(7)5-8(10)11/h1-4,9H,5H2,(H,10,11)</t>
  </si>
  <si>
    <t>HMDB00669</t>
  </si>
  <si>
    <t>2-hydroxystearate</t>
  </si>
  <si>
    <t>CCCCCCCCCCCCCCCCC(O)C(O)=O</t>
  </si>
  <si>
    <t>InChI=1S/C18H36O3/c1-2-3-4-5-6-7-8-9-10-11-12-13-14-15-16-17(19)18(20)21/h17,19H,2-16H2,1H3,(H,20,21)</t>
  </si>
  <si>
    <t>2-isopropylmalate</t>
  </si>
  <si>
    <t>C7H12O5</t>
  </si>
  <si>
    <t>C(C(=O)O)C(C(=O)O)(O)C(C)C</t>
  </si>
  <si>
    <t>InChI=1S/C7H12O5/c1-4(2)7(12,6(10)11)3-5(8)9/h4,12H,3H2,1-2H3,(H,8,9)(H,10,11)</t>
  </si>
  <si>
    <t>HMDB00402</t>
  </si>
  <si>
    <t>2-linoleoylglycerol (18:2)</t>
  </si>
  <si>
    <t>HMDB11538</t>
  </si>
  <si>
    <t>2-methylbutyrylcarnitine (C5)</t>
  </si>
  <si>
    <t>HMDB00378</t>
  </si>
  <si>
    <t>2-methylcitrate/homocitrate</t>
  </si>
  <si>
    <t>2-methylserine</t>
  </si>
  <si>
    <t>C4H9NO3</t>
  </si>
  <si>
    <t>C(C(N)(C)CO)(O)=O</t>
  </si>
  <si>
    <t>InChI=1S/C4H9NO3/c1-4(5,2-6)3(7)8/h6H,2,5H2,1H3,(H,7,8)</t>
  </si>
  <si>
    <t>2-myristoylglycerol (14:0)</t>
  </si>
  <si>
    <t>HMDB11530</t>
  </si>
  <si>
    <t>2-oleoylglycerol (18:1)</t>
  </si>
  <si>
    <t>HMDB11537</t>
  </si>
  <si>
    <t>2'-O-methyluridine</t>
  </si>
  <si>
    <t>C10H14N2O6</t>
  </si>
  <si>
    <t>CO[C@@H]1[C@H](O)[C@@H](CO)O[C@H]1n1ccc(=O)[nH]c1=O</t>
  </si>
  <si>
    <t>InChI=1S/C10H14N2O6/c1-17-8-7(15)5(4-13)18-9(8)12-3-2-6(14)11-10(12)16/h2-3,5,7-9,13,15H,4H2,1H3,(H,11,14,16)/t5-,7-,8-,9-/m1/s1</t>
  </si>
  <si>
    <t>2-oxindole-3-acetate</t>
  </si>
  <si>
    <t>C10H9NO3</t>
  </si>
  <si>
    <t>C=1C=CC=C2NC(C(C12)CC(=O)O)=O</t>
  </si>
  <si>
    <t>InChI=1S/C10H9NO3/c12-9(13)5-7-6-3-1-2-4-8(6)11-10(7)14/h1-4,7H,5H2,(H,11,14)(H,12,13)</t>
  </si>
  <si>
    <t>HMDB35514</t>
  </si>
  <si>
    <t>2-oxoarginine*</t>
  </si>
  <si>
    <t>C6H11N3O3</t>
  </si>
  <si>
    <t>OC(=O)C(CCCNC(=N)N)=O</t>
  </si>
  <si>
    <t>InChI=1S/C6H11N3O3/c7-6(8)9-3-1-2-4(10)5(11)12/h1-3H2,(H,11,12)(H4,7,8,9)</t>
  </si>
  <si>
    <t>HMDB04225</t>
  </si>
  <si>
    <t>2-palmitoleoylglycerol (16:1)*</t>
  </si>
  <si>
    <t>2-palmitoylglycerol (16:0)</t>
  </si>
  <si>
    <t>HMDB11533</t>
  </si>
  <si>
    <t>2-piperidinone</t>
  </si>
  <si>
    <t>C5H9NO</t>
  </si>
  <si>
    <t>O=C1CCCCN1</t>
  </si>
  <si>
    <t>InChI=1S/C5H9NO/c7-5-3-1-2-4-6-5/h1-4H2,(H,6,7)</t>
  </si>
  <si>
    <t>HMDB11749</t>
  </si>
  <si>
    <t>2-stearoyl-GPE (18:0)*</t>
  </si>
  <si>
    <t>C23H48NO7P</t>
  </si>
  <si>
    <t>P(OC[C@@H](CO)OC(CCCCCCCCCCCCCCCCC)=O)(=O)(OCC[NH3+])[O-]</t>
  </si>
  <si>
    <t>InChI=1S/C23H48NO7P/c1-2-3-4-5-6-7-8-9-10-11-12-13-14-15-16-17-23(26)31-22(20-25)21-30-32(27,28)29-19-18-24/h22,25H,2-21,24H2,1H3,(H,27,28)/t22-/m1/s1</t>
  </si>
  <si>
    <t>HMDB11129</t>
  </si>
  <si>
    <t>3-(2-hydroxyphenyl)propionate</t>
  </si>
  <si>
    <t>OC(=O)CCc1ccccc1O</t>
  </si>
  <si>
    <t>InChI=1S/C9H10O3/c10-8-4-2-1-3-7(8)5-6-9(11)12/h1-4,10H,5-6H2,(H,11,12)</t>
  </si>
  <si>
    <t>HMDB33752</t>
  </si>
  <si>
    <t>3-(3-hydroxyphenyl)propionate</t>
  </si>
  <si>
    <t>OC(=O)CCc1cccc(O)c1</t>
  </si>
  <si>
    <t>InChI=1S/C9H10O3/c10-8-3-1-2-7(6-8)4-5-9(11)12/h1-3,6,10H,4-5H2,(H,11,12)</t>
  </si>
  <si>
    <t>HMDB00375</t>
  </si>
  <si>
    <t>3-(3-hydroxyphenyl)propionate sulfate</t>
  </si>
  <si>
    <t>3-(4-hydroxyphenyl)lactate</t>
  </si>
  <si>
    <t>C9H10O4</t>
  </si>
  <si>
    <t>OC(Cc1ccc(O)cc1)C(O)=O</t>
  </si>
  <si>
    <t>InChI=1S/C9H10O4/c10-7-3-1-6(2-4-7)5-8(11)9(12)13/h1-4,8,10-11H,5H2,(H,12,13)</t>
  </si>
  <si>
    <t>HMDB00755</t>
  </si>
  <si>
    <t>3-(4-hydroxyphenyl)propionate</t>
  </si>
  <si>
    <t>OC(=O)CCc1ccc(O)cc1</t>
  </si>
  <si>
    <t>InChI=1S/C9H10O3/c10-8-4-1-7(2-5-8)3-6-9(11)12/h1-2,4-5,10H,3,6H2,(H,11,12)</t>
  </si>
  <si>
    <t>3,4-dihydroxyphenylacetate</t>
  </si>
  <si>
    <t>C8H8O4</t>
  </si>
  <si>
    <t>OC(=O)Cc1ccc(O)c(O)c1</t>
  </si>
  <si>
    <t>InChI=1S/C8H8O4/c9-6-2-1-5(3-7(6)10)4-8(11)12/h1-3,9-10H,4H2,(H,11,12)</t>
  </si>
  <si>
    <t>HMDB01336</t>
  </si>
  <si>
    <t>3alpha,7alpha,12alpha-trihydroxy-5beta-cholestane</t>
  </si>
  <si>
    <t>C27H48O3</t>
  </si>
  <si>
    <t>[H][C@@]12C[C@H](O)CC[C@]1(C)[C@@]1([H])C[C@H](O)[C@]3(C)[C@]([H])(CC[C@@]3([H])[C@]1([H])[C@H](O)C2)[C@H](C)CCCC(C)C</t>
  </si>
  <si>
    <t>InChI=1S/C27H48O3/c1-16(2)7-6-8-17(3)20-9-10-21-25-22(15-24(30)27(20,21)5)26(4)12-11-19(28)13-18(26)14-23(25)29/h16-25,28-30H,6-15H2,1-5H3/t17-,18+,19-,20-,21+,22+,23-,24+,25+,26+,27-/m1/s1</t>
  </si>
  <si>
    <t>3-aminoisobutyrate</t>
  </si>
  <si>
    <t>C4H9NO2</t>
  </si>
  <si>
    <t>CC(CN)C(O)=O</t>
  </si>
  <si>
    <t>InChI=1S/C4H9NO2/c1-3(2-5)4(6)7/h3H,2,5H2,1H3,(H,6,7)</t>
  </si>
  <si>
    <t>3beta,7alpha-dihydroxy-5-cholestenoate</t>
  </si>
  <si>
    <t>C27H44O4</t>
  </si>
  <si>
    <t>C[C@H](CCCC(C)C(O)=O)[C@H]1CC[C@H]2[C@@H]3[C@H](O)C=C4C[C@@H](O)CC[C@]4(C)[C@H]3CC[C@]12C</t>
  </si>
  <si>
    <t>InChI=1S/C27H44O4/c1-16(6-5-7-17(2)25(30)31)20-8-9-21-24-22(11-13-27(20,21)4)26(3)12-10-19(28)14-18(26)15-23(24)29/h15-17,19-24,28-29H,5-14H2,1-4H3,(H,30,31)/t16-,17?,19+,20-,21+,22+,23-,24+,26+,27-/m1/s1</t>
  </si>
  <si>
    <t>3beta,7beta-dihydroxy-5-cholestenoate</t>
  </si>
  <si>
    <t>3beta-hydroxy-5-cholestenoate</t>
  </si>
  <si>
    <t>C27H44O3</t>
  </si>
  <si>
    <t>[H][C@@]1(CC[C@@]2([H])[C@]3([H])CC=C4C[C@@H](O)CC[C@]4(C)[C@@]3([H])CC[C@]12C)[C@H](C)CCC[C@H](C)C(O)=O</t>
  </si>
  <si>
    <t>InChI=1S/C27H44O3/c1-17(6-5-7-18(2)25(29)30)22-10-11-23-21-9-8-19-16-20(28)12-14-26(19,3)24(21)13-15-27(22,23)4/h8,17-18,20-24,28H,5-7,9-16H2,1-4H3,(H,29,30)/t17-,18+,20+,21+,22-,23+,24+,26+,27-/m1/s1</t>
  </si>
  <si>
    <t>3-dehydrocholate</t>
  </si>
  <si>
    <t>HMDB00502</t>
  </si>
  <si>
    <t>3-hydroxy-2-ethylpropionate</t>
  </si>
  <si>
    <t>C5H10O3</t>
  </si>
  <si>
    <t>CCC(CO)C(O)=O</t>
  </si>
  <si>
    <t>InChI=1S/C5H10O3/c1-2-4(3-6)5(7)8/h4,6H,2-3H2,1H3,(H,7,8)</t>
  </si>
  <si>
    <t>HMDB00396</t>
  </si>
  <si>
    <t>3-hydroxy-3-methylglutarate</t>
  </si>
  <si>
    <t>CC(O)(CC(O)=O)CC(O)=O</t>
  </si>
  <si>
    <t>InChI=1S/C6H10O5/c1-6(11,2-4(7)8)3-5(9)10/h11H,2-3H2,1H3,(H,7,8)(H,9,10)</t>
  </si>
  <si>
    <t>HMDB00355</t>
  </si>
  <si>
    <t>3-hydroxyadipate*</t>
  </si>
  <si>
    <t>OC(CCC(O)=O)CC(O)=O</t>
  </si>
  <si>
    <t>InChI=1S/C6H10O5/c7-4(3-6(10)11)1-2-5(8)9/h4,7H,1-3H2,(H,8,9)(H,10,11)</t>
  </si>
  <si>
    <t>HMDB00345</t>
  </si>
  <si>
    <t>3-hydroxybutyrate (BHBA)</t>
  </si>
  <si>
    <t>HMDB00357</t>
  </si>
  <si>
    <t>3-hydroxycinnamate</t>
  </si>
  <si>
    <t>C9H8O3</t>
  </si>
  <si>
    <t>OC(=O)\C=C\c1cccc(O)c1</t>
  </si>
  <si>
    <t>InChI=1S/C9H8O3/c10-8-3-1-2-7(6-8)4-5-9(11)12/h1-6,10H,(H,11,12)/b5-4+</t>
  </si>
  <si>
    <t>HMDB01713</t>
  </si>
  <si>
    <t>3-hydroxycinnamate sulfate</t>
  </si>
  <si>
    <t>C9H8O6S</t>
  </si>
  <si>
    <t>S(OC=1C=C(C=CC1)/C=C/C(O)=O)(O)(=O)=O</t>
  </si>
  <si>
    <t>InChI=1S/C9H8O6S/c10-9(11)5-4-7-2-1-3-8(6-7)15-16(12,13)14/h1-6H,(H,10,11)(H,12,13,14)/b5-4+</t>
  </si>
  <si>
    <t>3-hydroxyhexanoate</t>
  </si>
  <si>
    <t>CCCC(O)CC(O)=O</t>
  </si>
  <si>
    <t>InChI=1S/C6H12O3/c1-2-3-5(7)4-6(8)9/h5,7H,2-4H2,1H3,(H,8,9)</t>
  </si>
  <si>
    <t>3-hydroxyisobutyrate</t>
  </si>
  <si>
    <t>CC(CO)C(O)=O</t>
  </si>
  <si>
    <t>InChI=1S/C4H8O3/c1-3(2-5)4(6)7/h3,5H,2H2,1H3,(H,6,7)</t>
  </si>
  <si>
    <t>HMDB00336</t>
  </si>
  <si>
    <t>3-hydroxylaurate</t>
  </si>
  <si>
    <t>C12H24O3</t>
  </si>
  <si>
    <t>CCCCCCCCCC(O)CC(O)=O</t>
  </si>
  <si>
    <t>InChI=1S/C12H24O3/c1-2-3-4-5-6-7-8-9-11(13)10-12(14)15/h11,13H,2-10H2,1H3,(H,14,15)</t>
  </si>
  <si>
    <t>HMDB00387</t>
  </si>
  <si>
    <t>3-hydroxymyristate</t>
  </si>
  <si>
    <t>CCCCCCCCCCCC(O)CC(O)=O</t>
  </si>
  <si>
    <t>InChI=1S/C14H28O3/c1-2-3-4-5-6-7-8-9-10-11-13(15)12-14(16)17/h13,15H,2-12H2,1H3,(H,16,17)</t>
  </si>
  <si>
    <t>3-hydroxyoctanoate</t>
  </si>
  <si>
    <t>C8H16O3</t>
  </si>
  <si>
    <t>CCCCCC(O)CC(O)=O</t>
  </si>
  <si>
    <t>InChI=1S/C8H16O3/c1-2-3-4-5-7(9)6-8(10)11/h7,9H,2-6H2,1H3,(H,10,11)</t>
  </si>
  <si>
    <t>HMDB01954</t>
  </si>
  <si>
    <t>3-hydroxyoleate*</t>
  </si>
  <si>
    <t>3-hydroxypalmitate</t>
  </si>
  <si>
    <t>CCCCCCCCCCCCCC(O)CC(O)=O</t>
  </si>
  <si>
    <t>InChI=1S/C16H32O3/c1-2-3-4-5-6-7-8-9-10-11-12-13-15(17)14-16(18)19/h15,17H,2-14H2,1H3,(H,18,19)</t>
  </si>
  <si>
    <t>HMDB10734</t>
  </si>
  <si>
    <t>3-hydroxyphenylacetate</t>
  </si>
  <si>
    <t>OC(=O)Cc1cccc(O)c1</t>
  </si>
  <si>
    <t>InChI=1S/C8H8O3/c9-7-3-1-2-6(4-7)5-8(10)11/h1-4,9H,5H2,(H,10,11)</t>
  </si>
  <si>
    <t>3-hydroxypropanoate</t>
  </si>
  <si>
    <t>C3H6O3</t>
  </si>
  <si>
    <t>OCCC(O)=O</t>
  </si>
  <si>
    <t>InChI=1S/C3H6O3/c4-2-1-3(5)6/h4H,1-2H2,(H,5,6)</t>
  </si>
  <si>
    <t>HMDB00700</t>
  </si>
  <si>
    <t>3-hydroxypyridine sulfate</t>
  </si>
  <si>
    <t>C5H5NO4S</t>
  </si>
  <si>
    <t>C=1C=NC=C(C1)OS(O)(=O)=O</t>
  </si>
  <si>
    <t>InChI=1S/C5H5NO4S/c7-11(8,9)10-5-2-1-3-6-4-5/h1-4H,(H,7,8,9)</t>
  </si>
  <si>
    <t>3-hydroxysebacate</t>
  </si>
  <si>
    <t>C10H18O5</t>
  </si>
  <si>
    <t>OC(CCCCCCC(O)=O)CC(O)=O</t>
  </si>
  <si>
    <t>InChI=1S/C10H18O5/c11-8(7-10(14)15)5-3-1-2-4-6-9(12)13/h8,11H,1-7H2,(H,12,13)(H,14,15)</t>
  </si>
  <si>
    <t>HMDB00350</t>
  </si>
  <si>
    <t>3-hydroxystachydrine*</t>
  </si>
  <si>
    <t>C7H13NO3</t>
  </si>
  <si>
    <t>C[N+]1(C)CCC(O)[C@H]1C([O-])=O</t>
  </si>
  <si>
    <t>InChI=1S/C7H13NO3/c1-8(2)4-3-5(9)6(8)7(10)11/h5-6,9H,3-4H2,1-2H3/t5?,6-/m0/s1</t>
  </si>
  <si>
    <t>3-hydroxystearate</t>
  </si>
  <si>
    <t>CCCCCCCCCCCCCCCC(O)CC(O)=O</t>
  </si>
  <si>
    <t>InChI=1S/C18H36O3/c1-2-3-4-5-6-7-8-9-10-11-12-13-14-15-17(19)16-18(20)21/h17,19H,2-16H2,1H3,(H,20,21)</t>
  </si>
  <si>
    <t>3-hydroxysuberate</t>
  </si>
  <si>
    <t>C8H14O5</t>
  </si>
  <si>
    <t>OC(CCCCC(O)=O)CC(O)=O</t>
  </si>
  <si>
    <t>InChI=1S/C8H14O5/c9-6(5-8(12)13)3-1-2-4-7(10)11/h6,9H,1-5H2,(H,10,11)(H,12,13)</t>
  </si>
  <si>
    <t>HMDB00325</t>
  </si>
  <si>
    <t>3-hydroxyvalerate</t>
  </si>
  <si>
    <t>HMDB00531</t>
  </si>
  <si>
    <t>3-indoxyl sulfate</t>
  </si>
  <si>
    <t>C8H7NO4S</t>
  </si>
  <si>
    <t>OS(=O)(=O)Oc1c[nH]c2ccccc12</t>
  </si>
  <si>
    <t>InChI=1S/C8H7NO4S/c10-14(11,12)13-8-5-9-7-4-2-1-3-6(7)8/h1-5,9H,(H,10,11,12)</t>
  </si>
  <si>
    <t>HMDB00682</t>
  </si>
  <si>
    <t>3-ketosphinganine</t>
  </si>
  <si>
    <t>C18H37NO2</t>
  </si>
  <si>
    <t>CCCCCCCCCCCCCCCC(=O)C(N)CO</t>
  </si>
  <si>
    <t>InChI=1S/C18H37NO2/c1-2-3-4-5-6-7-8-9-10-11-12-13-14-15-18(21)17(19)16-20/h17,20H,2-16,19H2,1H3</t>
  </si>
  <si>
    <t>HMDB01480</t>
  </si>
  <si>
    <t>3-methyl-2-oxobutyrate</t>
  </si>
  <si>
    <t>C5H8O3</t>
  </si>
  <si>
    <t>CC(C)C(=O)C(O)=O</t>
  </si>
  <si>
    <t>InChI=1S/C5H8O3/c1-3(2)4(6)5(7)8/h3H,1-2H3,(H,7,8)</t>
  </si>
  <si>
    <t>HMDB00019</t>
  </si>
  <si>
    <t>3-methyl-2-oxovalerate</t>
  </si>
  <si>
    <t>C6H10O3</t>
  </si>
  <si>
    <t>CCC(C)C(=O)C(O)=O</t>
  </si>
  <si>
    <t>InChI=1S/C6H10O3/c1-3-4(2)5(7)6(8)9/h4H,3H2,1-2H3,(H,8,9)</t>
  </si>
  <si>
    <t>HMDB03736</t>
  </si>
  <si>
    <t>3-methylglutaconate</t>
  </si>
  <si>
    <t>HMDB00522</t>
  </si>
  <si>
    <t>3-methylglutarate/2-methylglutarate</t>
  </si>
  <si>
    <t>C6H10O4</t>
  </si>
  <si>
    <t>CC(CCC(O)=O)C(O)=O</t>
  </si>
  <si>
    <t>InChI=1S/C6H10O4/c1-4(6(9)10)2-3-5(7)8/h4H,2-3H2,1H3,(H,7,8)(H,9,10)</t>
  </si>
  <si>
    <t>HMDB00752</t>
  </si>
  <si>
    <t>3-methylhistidine</t>
  </si>
  <si>
    <t>Cn1cncc1CC(N)C(O)=O</t>
  </si>
  <si>
    <t>InChI=1S/C7H11N3O2/c1-10-4-9-3-5(10)2-6(8)7(11)12/h3-4,6H,2,8H2,1H3,(H,11,12)</t>
  </si>
  <si>
    <t>HMDB00479</t>
  </si>
  <si>
    <t>3-phenylpropionate (hydrocinnamate)</t>
  </si>
  <si>
    <t>HMDB00764</t>
  </si>
  <si>
    <t>3-sulfo-L-alanine</t>
  </si>
  <si>
    <t>C3H7NO5S</t>
  </si>
  <si>
    <t>N[C@@H](CS(O)(=O)=O)C(O)=O</t>
  </si>
  <si>
    <t>InChI=1S/C3H7NO5S/c4-2(3(5)6)1-10(7,8)9/h2H,1,4H2,(H,5,6)(H,7,8,9)/t2-/m0/s1</t>
  </si>
  <si>
    <t>HMDB02757</t>
  </si>
  <si>
    <t>3-ureidoisobutyrate</t>
  </si>
  <si>
    <t>C5H10N2O3</t>
  </si>
  <si>
    <t>CC(CNC(N)=O)C(O)=O</t>
  </si>
  <si>
    <t>InChI=1S/C5H10N2O3/c1-3(4(8)9)2-7-5(6)10/h3H,2H2,1H3,(H,8,9)(H3,6,7,10)</t>
  </si>
  <si>
    <t>HMDB02031</t>
  </si>
  <si>
    <t>3-ureidopropionate</t>
  </si>
  <si>
    <t>C4H8N2O3</t>
  </si>
  <si>
    <t>NC(=O)NCCC(O)=O</t>
  </si>
  <si>
    <t>InChI=1S/C4H8N2O3/c5-4(9)6-2-1-3(7)8/h1-2H2,(H,7,8)(H3,5,6,9)</t>
  </si>
  <si>
    <t>HMDB00026</t>
  </si>
  <si>
    <t>4-acetamidobenzoate</t>
  </si>
  <si>
    <t>C9H9NO3</t>
  </si>
  <si>
    <t>CC(=O)Nc1ccc(cc1)C(O)=O</t>
  </si>
  <si>
    <t>InChI=1S/C9H9NO3/c1-6(11)10-8-4-2-7(3-5-8)9(12)13/h2-5H,1H3,(H,10,11)(H,12,13)</t>
  </si>
  <si>
    <t>4-acetamidobutanoate</t>
  </si>
  <si>
    <t>C6H11NO3</t>
  </si>
  <si>
    <t>CC(=O)NCCCC(O)=O</t>
  </si>
  <si>
    <t>InChI=1S/C6H11NO3/c1-5(8)7-4-2-3-6(9)10/h2-4H2,1H3,(H,7,8)(H,9,10)</t>
  </si>
  <si>
    <t>HMDB03681</t>
  </si>
  <si>
    <t>4-cholesten-3-one</t>
  </si>
  <si>
    <t>C27H44O</t>
  </si>
  <si>
    <t>[H][C@@]1(CC[C@@]2([H])[C@]3([H])CCC4=CC(=O)CC[C@]4(C)[C@@]3([H])CC[C@]12C)[C@H](C)CCCC(C)C</t>
  </si>
  <si>
    <t>InChI=1S/C27H44O/c1-18(2)7-6-8-19(3)23-11-12-24-22-10-9-20-17-21(28)13-15-26(20,4)25(22)14-16-27(23,24)5/h17-19,22-25H,6-16H2,1-5H3/t19-,22+,23-,24+,25+,26+,27-/m1/s1</t>
  </si>
  <si>
    <t>HMDB00921</t>
  </si>
  <si>
    <t>4-guanidinobutanoate</t>
  </si>
  <si>
    <t>C5H11N3O2</t>
  </si>
  <si>
    <t>C(=N)(N)NCCCC(O)=O</t>
  </si>
  <si>
    <t>InChI=1S/C5H11N3O2/c6-5(7)8-3-1-2-4(9)10/h1-3H2,(H,9,10)(H4,6,7,8)</t>
  </si>
  <si>
    <t>HMDB03464</t>
  </si>
  <si>
    <t>4-hydroxybenzoate</t>
  </si>
  <si>
    <t>C7H6O3</t>
  </si>
  <si>
    <t>OC(=O)c1ccc(O)cc1</t>
  </si>
  <si>
    <t>InChI=1S/C7H6O3/c8-6-3-1-5(2-4-6)7(9)10/h1-4,8H,(H,9,10)</t>
  </si>
  <si>
    <t>4-hydroxybutyrate (GHB)</t>
  </si>
  <si>
    <t>HMDB00710</t>
  </si>
  <si>
    <t>4-hydroxycinnamate</t>
  </si>
  <si>
    <t>OC(=O)\C=C\c1ccc(O)cc1</t>
  </si>
  <si>
    <t>InChI=1S/C9H8O3/c10-8-4-1-7(2-5-8)3-6-9(11)12/h1-6,10H,(H,11,12)/b6-3+</t>
  </si>
  <si>
    <t>HMDB02035</t>
  </si>
  <si>
    <t>4-hydroxycinnamate sulfate</t>
  </si>
  <si>
    <t>C=1C(=CC=C(C1)/C=C/C(O)=O)OS(O)(=O)=O</t>
  </si>
  <si>
    <t>InChI=1S/C9H8O6S/c10-9(11)6-3-7-1-4-8(5-2-7)15-16(12,13)14/h1-6H,(H,10,11)(H,12,13,14)/b6-3+</t>
  </si>
  <si>
    <t>4-hydroxyhippurate</t>
  </si>
  <si>
    <t>C9H9NO4</t>
  </si>
  <si>
    <t>OC(=O)CNC(=O)c1ccc(O)cc1</t>
  </si>
  <si>
    <t>InChI=1S/C9H9NO4/c11-7-3-1-6(2-4-7)9(14)10-5-8(12)13/h1-4,11H,5H2,(H,10,14)(H,12,13)</t>
  </si>
  <si>
    <t>HMDB13678</t>
  </si>
  <si>
    <t>4-hydroxyphenylacetate</t>
  </si>
  <si>
    <t>OC(=O)Cc1ccc(O)cc1</t>
  </si>
  <si>
    <t>InChI=1S/C8H8O3/c9-7-3-1-6(2-4-7)5-8(10)11/h1-4,9H,5H2,(H,10,11)</t>
  </si>
  <si>
    <t>4-hydroxyphenylacetate sulfate</t>
  </si>
  <si>
    <t>4-hydroxyphenylacetylglycine</t>
  </si>
  <si>
    <t>C10H11NO4</t>
  </si>
  <si>
    <t>OC(=O)CNC(=O)Cc1ccc(O)cc1</t>
  </si>
  <si>
    <t>InChI=1S/C10H11NO4/c12-8-3-1-7(2-4-8)5-9(13)11-6-10(14)15/h1-4,12H,5-6H2,(H,11,13)(H,14,15)</t>
  </si>
  <si>
    <t>4-hydroxyphenylpyruvate</t>
  </si>
  <si>
    <t>C9H8O4</t>
  </si>
  <si>
    <t>OC(=O)C(=O)CC1=CC=C(O)C=C1</t>
  </si>
  <si>
    <t>InChI=1S/C9H8O4/c10-7-3-1-6(2-4-7)5-8(11)9(12)13/h1-4,10H,5H2,(H,12,13)</t>
  </si>
  <si>
    <t>HMDB00707</t>
  </si>
  <si>
    <t>4-imidazoleacetate</t>
  </si>
  <si>
    <t>C5H6N2O2</t>
  </si>
  <si>
    <t>C=1NC=C(CC(O)=O)N1</t>
  </si>
  <si>
    <t>InChI=1S/C5H6N2O2/c8-5(9)1-4-2-6-3-7-4/h2-3H,1H2,(H,6,7)(H,8,9)</t>
  </si>
  <si>
    <t>HMDB02024</t>
  </si>
  <si>
    <t>4-methyl-2-oxopentanoate</t>
  </si>
  <si>
    <t>CC(C)CC(=O)C(O)=O</t>
  </si>
  <si>
    <t>InChI=1S/C6H10O3/c1-4(2)3-5(7)6(8)9/h4H,3H2,1-2H3,(H,8,9)</t>
  </si>
  <si>
    <t>HMDB00695</t>
  </si>
  <si>
    <t>4-methylcatechol sulfate</t>
  </si>
  <si>
    <t>4-methylthio-2-oxobutanoate</t>
  </si>
  <si>
    <t>C5H8O3S</t>
  </si>
  <si>
    <t>CSCCC(=O)C(O)=O</t>
  </si>
  <si>
    <t>InChI=1S/C5H8O3S/c1-9-3-2-4(6)5(7)8/h2-3H2,1H3,(H,7,8)</t>
  </si>
  <si>
    <t>HMDB01553</t>
  </si>
  <si>
    <t>4-ureidobutyrate</t>
  </si>
  <si>
    <t>4-vinylguaiacol sulfate</t>
  </si>
  <si>
    <t>C9H10O5S</t>
  </si>
  <si>
    <t>C=1C(=CC=C(C1OC)OS(O)(=O)=O)C=C</t>
  </si>
  <si>
    <t>InChI=1S/C9H10O5S/c1-3-7-4-5-8(9(6-7)13-2)14-15(10,11)12/h3-6H,1H2,2H3,(H,10,11,12)</t>
  </si>
  <si>
    <t>5-(2-Hydroxyethyl)-4-methylthiazole</t>
  </si>
  <si>
    <t>C6H9NOS</t>
  </si>
  <si>
    <t>Cc1ncsc1CCO</t>
  </si>
  <si>
    <t>InChI=1S/C6H9NOS/c1-5-6(2-3-8)9-4-7-5/h4,8H,2-3H2,1H3</t>
  </si>
  <si>
    <t>5-(galactosylhydroxy)-L-lysine</t>
  </si>
  <si>
    <t>C12H24N2O8</t>
  </si>
  <si>
    <t>O1[C@@H]([C@@H]([C@@H]([C@H]([C@@H]1OC(CC[C@@H](C(=O)O)N)CN)O)O)O)CO</t>
  </si>
  <si>
    <t>InChI=1S/C12H24N2O8/c13-3-5(1-2-6(14)11(19)20)21-12-10(18)9(17)8(16)7(4-15)22-12/h5-10,12,15-18H,1-4,13-14H2,(H,19,20)/t5?,6-,7+,8-,9-,10+,12+/m0/s1</t>
  </si>
  <si>
    <t>5,6-DiHETrE</t>
  </si>
  <si>
    <t>C20H34O4</t>
  </si>
  <si>
    <t>CCCCC\C=C/C\C=C/C\C=C/CC(O)C(O)CCCC(O)=O</t>
  </si>
  <si>
    <t>InChI=1S/C20H34O4/c1-2-3-4-5-6-7-8-9-10-11-12-13-15-18(21)19(22)16-14-17-20(23)24/h6-7,9-10,12-13,18-19,21-22H,2-5,8,11,14-17H2,1H3,(H,23,24)/b7-6-,10-9-,13-12-</t>
  </si>
  <si>
    <t>HMDB02343</t>
  </si>
  <si>
    <t>5,6-dihydrothymine</t>
  </si>
  <si>
    <t>C5H8N2O2</t>
  </si>
  <si>
    <t>CC1CNC(=O)NC1=O</t>
  </si>
  <si>
    <t>InChI=1S/C5H8N2O2/c1-3-2-6-5(9)7-4(3)8/h3H,2H2,1H3,(H2,6,7,8,9)</t>
  </si>
  <si>
    <t>HMDB00079</t>
  </si>
  <si>
    <t>5,6-dihydrouracil</t>
  </si>
  <si>
    <t>C4H6N2O2</t>
  </si>
  <si>
    <t>O=C1CCNC(=O)N1</t>
  </si>
  <si>
    <t>InChI=1S/C4H6N2O2/c7-3-1-2-5-4(8)6-3/h1-2H2,(H2,5,6,7,8)</t>
  </si>
  <si>
    <t>HMDB00076</t>
  </si>
  <si>
    <t>5,6-dihydrouridine</t>
  </si>
  <si>
    <t>C9H14N2O6</t>
  </si>
  <si>
    <t>OC[C@H]1O[C@H]([C@H](O)[C@@H]1O)N1CCC(=O)NC1=O</t>
  </si>
  <si>
    <t>InChI=1S/C9H14N2O6/c12-3-4-6(14)7(15)8(17-4)11-2-1-5(13)10-9(11)16/h4,6-8,12,14-15H,1-3H2,(H,10,13,16)/t4-,6-,7-,8-/m1/s1</t>
  </si>
  <si>
    <t>5alpha-pregnan-3alpha,20beta-diol disulfate</t>
  </si>
  <si>
    <t>5alpha-pregnan-3beta,20beta-diol disulfate*</t>
  </si>
  <si>
    <t>5alpha-pregnan-3beta,20beta-diol monosulfate (1)</t>
  </si>
  <si>
    <t>5alpha-pregnan-3beta,20beta-diol monosulfate (2)</t>
  </si>
  <si>
    <t>5alpha-pregnan-3beta-ol,20-one sulfate</t>
  </si>
  <si>
    <t>5alpha-pregnan-diol disulfate</t>
  </si>
  <si>
    <t>5-aminovalerate</t>
  </si>
  <si>
    <t>C5H11NO2</t>
  </si>
  <si>
    <t>NCCCCC(O)=O</t>
  </si>
  <si>
    <t>InChI=1S/C5H11NO2/c6-4-2-1-3-5(7)8/h1-4,6H2,(H,7,8)</t>
  </si>
  <si>
    <t>HMDB03355</t>
  </si>
  <si>
    <t>5-dodecenoate (12:1n7)</t>
  </si>
  <si>
    <t>HMDB00529</t>
  </si>
  <si>
    <t>5-dodecenoylcarnitine (C12:1)</t>
  </si>
  <si>
    <t>5-hydroxydecanoate</t>
  </si>
  <si>
    <t>HMDB40329</t>
  </si>
  <si>
    <t>5-hydroxyhexanoate</t>
  </si>
  <si>
    <t>OC(CCCC(=O)O)C</t>
  </si>
  <si>
    <t>InChI=1S/C6H12O3/c1-5(7)3-2-4-6(8)9/h5,7H,2-4H2,1H3,(H,8,9)</t>
  </si>
  <si>
    <t>HMDB00525</t>
  </si>
  <si>
    <t>5-hydroxyindoleacetate</t>
  </si>
  <si>
    <t>OC(=O)Cc1c[nH]c2ccc(O)cc12</t>
  </si>
  <si>
    <t>InChI=1S/C10H9NO3/c12-7-1-2-9-8(4-7)6(5-11-9)3-10(13)14/h1-2,4-5,11-12H,3H2,(H,13,14)</t>
  </si>
  <si>
    <t>5-hydroxylysine</t>
  </si>
  <si>
    <t>C6H14N2O3</t>
  </si>
  <si>
    <t>NCC(O)CCC(N)C(O)=O</t>
  </si>
  <si>
    <t>InChI=1S/C6H14N2O3/c7-3-4(9)1-2-5(8)6(10)11/h4-5,9H,1-3,7-8H2,(H,10,11)</t>
  </si>
  <si>
    <t>5-hydroxymethylcytosine</t>
  </si>
  <si>
    <t>C5H7N3O2</t>
  </si>
  <si>
    <t>Nc1nc(=O)[nH]cc1CO</t>
  </si>
  <si>
    <t>InChI=1S/C5H7N3O2/c6-4-3(2-9)1-7-5(10)8-4/h1,9H,2H2,(H3,6,7,8,10)</t>
  </si>
  <si>
    <t>5-methylcytosine</t>
  </si>
  <si>
    <t>C5H7N3O</t>
  </si>
  <si>
    <t>Cc1c[nH]c(=O)nc1N</t>
  </si>
  <si>
    <t>InChI=1S/C5H7N3O/c1-3-2-7-5(9)8-4(3)6/h2H,1H3,(H3,6,7,8,9)</t>
  </si>
  <si>
    <t>HMDB02894</t>
  </si>
  <si>
    <t>5-methylthioadenosine (MTA)</t>
  </si>
  <si>
    <t>HMDB01173</t>
  </si>
  <si>
    <t>5-methyluridine (ribothymidine)</t>
  </si>
  <si>
    <t>HMDB00884</t>
  </si>
  <si>
    <t>5-oxoproline</t>
  </si>
  <si>
    <t>C5H7NO3</t>
  </si>
  <si>
    <t>OC(=O)C1CCC(=O)N1</t>
  </si>
  <si>
    <t>InChI=1S/C5H7NO3/c7-4-2-1-3(6-4)5(8)9/h3H,1-2H2,(H,6,7)(H,8,9)</t>
  </si>
  <si>
    <t>HMDB00267</t>
  </si>
  <si>
    <t>6-hydroxydaidzein</t>
  </si>
  <si>
    <t>C15H10O5</t>
  </si>
  <si>
    <t>Oc1ccc(cc1)-c1coc2cc(O)c(O)cc2c1=O</t>
  </si>
  <si>
    <t>InChI=1S/C15H10O5/c16-9-3-1-8(2-4-9)11-7-20-14-6-13(18)12(17)5-10(14)15(11)19/h1-7,16-18H</t>
  </si>
  <si>
    <t>HMDB31715</t>
  </si>
  <si>
    <t>6-hydroxynicotinate</t>
  </si>
  <si>
    <t>C6H5NO3</t>
  </si>
  <si>
    <t>OC(=O)C1=CC=C(O)N=C1</t>
  </si>
  <si>
    <t>InChI=1S/C6H5NO3/c8-5-2-1-4(3-7-5)6(9)10/h1-3H,(H,7,8)(H,9,10)</t>
  </si>
  <si>
    <t>HMDB02658</t>
  </si>
  <si>
    <t>6-oxolithocholate</t>
  </si>
  <si>
    <t>6-oxopiperidine-2-carboxylate</t>
  </si>
  <si>
    <t>C6H9NO3</t>
  </si>
  <si>
    <t>O=C(O)C1CCCC(=O)N1</t>
  </si>
  <si>
    <t>InChI=1S/C6H9NO3/c8-5-3-1-2-4(7-5)6(9)10/h4H,1-3H2,(H,7,8)(H,9,10)</t>
  </si>
  <si>
    <t>HMDB61705</t>
  </si>
  <si>
    <t>7,12-diketolithocholate</t>
  </si>
  <si>
    <t>C24H36O5</t>
  </si>
  <si>
    <t>C1[C@@]2([C@]3(CC([C@]4([C@]([C@@]3(C(C[C@@]2(C[C@@H](C1)O)[H])=O)[H])(CC[C@@]4([C@@H](CCC(O)=O)C)[H])[H])C)=O)[H])C</t>
  </si>
  <si>
    <t>InChI=1S/C24H36O5/c1-13(4-7-21(28)29)16-5-6-17-22-18(12-20(27)24(16,17)3)23(2)9-8-15(25)10-14(23)11-19(22)26/h13-18,22,25H,4-12H2,1-3H3,(H,28,29)/t13-,14+,15-,16-,17+,18+,22+,23+,24-/m1/s1</t>
  </si>
  <si>
    <t>7alpha-hydroxycholestenone</t>
  </si>
  <si>
    <t>HMDB01993</t>
  </si>
  <si>
    <t>7-hydroxycholesterol (alpha or beta)</t>
  </si>
  <si>
    <t>HMDB06119</t>
  </si>
  <si>
    <t>7-ketodeoxycholate</t>
  </si>
  <si>
    <t>[H][C@@]12C[C@H](O)CC[C@]1(C)[C@@]1([H])C[C@H](O)[C@]3(C)[C@]([H])(CC[C@@]3([H])[C@]1([H])C(=O)C2)[C@H](C)CCC(O)=O</t>
  </si>
  <si>
    <t>InChI=1S/C24H38O5/c1-13(4-7-21(28)29)16-5-6-17-22-18(12-20(27)24(16,17)3)23(2)9-8-15(25)10-14(23)11-19(22)26/h13-18,20,22,25,27H,4-12H2,1-3H3,(H,28,29)/t13-,14+,15-,16-,17+,18+,20+,22+,23+,24-/m1/s1</t>
  </si>
  <si>
    <t>HMDB00391</t>
  </si>
  <si>
    <t>7-ketolithocholate</t>
  </si>
  <si>
    <t>C24H38O4</t>
  </si>
  <si>
    <t>C[C@H](CCC(O)=O)[C@H]1CC[C@H]2[C@H]3[C@H](CC[C@]12C)[C@@]1(C)CC[C@@H](O)C[C@H]1CC3=O</t>
  </si>
  <si>
    <t>InChI=1S/C24H38O4/c1-14(4-7-21(27)28)17-5-6-18-22-19(9-11-24(17,18)3)23(2)10-8-16(25)12-15(23)13-20(22)26/h14-19,22,25H,4-13H2,1-3H3,(H,27,28)/t14-,15+,16-,17-,18+,19+,22+,23+,24-/m1/s1</t>
  </si>
  <si>
    <t>HMDB00467</t>
  </si>
  <si>
    <t>7-methylguanine</t>
  </si>
  <si>
    <t>C6H7N5O</t>
  </si>
  <si>
    <t>HMDB00897</t>
  </si>
  <si>
    <t>8-hydroxyguanine</t>
  </si>
  <si>
    <t>C5H5N5O2</t>
  </si>
  <si>
    <t>Nc1nc2[nH]c(=O)[nH]c2c(=O)[nH]1</t>
  </si>
  <si>
    <t>InChI=1S/C5H5N5O2/c6-4-8-2-1(3(11)10-4)7-5(12)9-2/h(H5,6,7,8,9,10,11,12)</t>
  </si>
  <si>
    <t>HMDB02032</t>
  </si>
  <si>
    <t>8-hydroxyoctanoate</t>
  </si>
  <si>
    <t>HMDB61914</t>
  </si>
  <si>
    <t>9,10-DiHOME</t>
  </si>
  <si>
    <t>CCCCC\C=C/CC(O)C(O)CCCCCCCC(O)=O</t>
  </si>
  <si>
    <t>InChI=1S/C18H34O4/c1-2-3-4-5-7-10-13-16(19)17(20)14-11-8-6-9-12-15-18(21)22/h7,10,16-17,19-20H,2-6,8-9,11-15H2,1H3,(H,21,22)/b10-7-</t>
  </si>
  <si>
    <t>HMDB04704</t>
  </si>
  <si>
    <t>aconitate [cis or trans]</t>
  </si>
  <si>
    <t>adenine</t>
  </si>
  <si>
    <t>C5H5N5</t>
  </si>
  <si>
    <t>Nc1ncnc2[nH]cnc12</t>
  </si>
  <si>
    <t>InChI=1S/C5H5N5/c6-4-3-5(9-1-7-3)10-2-8-4/h1-2H,(H3,6,7,8,9,10)</t>
  </si>
  <si>
    <t>HMDB00034</t>
  </si>
  <si>
    <t>adenosine</t>
  </si>
  <si>
    <t>Nc1ncnc2n(cnc12)[C@@H]1O[C@H](CO)[C@@H](O)[C@H]1O</t>
  </si>
  <si>
    <t>InChI=1S/C10H13N5O4/c11-8-5-9(13-2-12-8)15(3-14-5)10-7(18)6(17)4(1-16)19-10/h2-4,6-7,10,16-18H,1H2,(H2,11,12,13)/t4-,6-,7-,10-/m1/s1</t>
  </si>
  <si>
    <t>HMDB00050</t>
  </si>
  <si>
    <t>adipate (C6-DC)</t>
  </si>
  <si>
    <t>HMDB00448</t>
  </si>
  <si>
    <t>adrenate (22:4n6)</t>
  </si>
  <si>
    <t>HMDB02226</t>
  </si>
  <si>
    <t>agmatine</t>
  </si>
  <si>
    <t>C5H14N4</t>
  </si>
  <si>
    <t>NCCCCNC(N)=N</t>
  </si>
  <si>
    <t>InChI=1S/C5H14N4/c6-3-1-2-4-9-5(7)8/h1-4,6H2,(H4,7,8,9)</t>
  </si>
  <si>
    <t>HMDB01432</t>
  </si>
  <si>
    <t>alanine</t>
  </si>
  <si>
    <t>C3H7NO2</t>
  </si>
  <si>
    <t>CC(N)C(O)=O</t>
  </si>
  <si>
    <t>InChI=1S/C3H7NO2/c1-2(4)3(5)6/h2H,4H2,1H3,(H,5,6)</t>
  </si>
  <si>
    <t>alanylleucine</t>
  </si>
  <si>
    <t>C9H18N2O3</t>
  </si>
  <si>
    <t>CC(C)C[C@H](NC(=O)[C@H](C)N)C(O)=O</t>
  </si>
  <si>
    <t>InChI=1S/C9H18N2O3/c1-5(2)4-7(9(13)14)11-8(12)6(3)10/h5-7H,4,10H2,1-3H3,(H,11,12)(H,13,14)/t6-,7-/m0/s1</t>
  </si>
  <si>
    <t>HMDB28691</t>
  </si>
  <si>
    <t>allantoic acid</t>
  </si>
  <si>
    <t>C4H8N4O4</t>
  </si>
  <si>
    <t>NC(=O)NC(NC(N)=O)C(O)=O</t>
  </si>
  <si>
    <t>InChI=1S/C4H8N4O4/c5-3(11)7-1(2(9)10)8-4(6)12/h1H,(H,9,10)(H3,5,7,11)(H3,6,8,12)</t>
  </si>
  <si>
    <t>HMDB01209</t>
  </si>
  <si>
    <t>allantoin</t>
  </si>
  <si>
    <t>C4H6N4O3</t>
  </si>
  <si>
    <t>NC(=O)NC1NC(=O)NC1=O</t>
  </si>
  <si>
    <t>InChI=1S/C4H6N4O3/c5-3(10)6-1-2(9)8-4(11)7-1/h1H,(H3,5,6,10)(H2,7,8,9,11)</t>
  </si>
  <si>
    <t>HMDB00462</t>
  </si>
  <si>
    <t>allo-threonine</t>
  </si>
  <si>
    <t>HMDB04041</t>
  </si>
  <si>
    <t>alpha-CEHC</t>
  </si>
  <si>
    <t>C16H22O4</t>
  </si>
  <si>
    <t>O1C(CCC=2C1=C(C(=C(C2C)O)C)C)(CCC(=O)O)C</t>
  </si>
  <si>
    <t>InChI=1S/C16H22O4/c1-9-10(2)15-12(11(3)14(9)19)5-7-16(4,20-15)8-6-13(17)18/h19H,5-8H2,1-4H3,(H,17,18)</t>
  </si>
  <si>
    <t>HMDB01518</t>
  </si>
  <si>
    <t>alpha-CEHC sulfate</t>
  </si>
  <si>
    <t>alpha-hydroxycaproate</t>
  </si>
  <si>
    <t>CCCCC(O)C(O)=O</t>
  </si>
  <si>
    <t>InChI=1S/C6H12O3/c1-2-3-4-5(7)6(8)9/h5,7H,2-4H2,1H3,(H,8,9)</t>
  </si>
  <si>
    <t>HMDB01624</t>
  </si>
  <si>
    <t>alpha-hydroxyisocaproate</t>
  </si>
  <si>
    <t>C(C(C(O)=O)O)C(C)C</t>
  </si>
  <si>
    <t>InChI=1S/C6H12O3/c1-4(2)3-5(7)6(8)9/h4-5,7H,3H2,1-2H3,(H,8,9)</t>
  </si>
  <si>
    <t>HMDB00746</t>
  </si>
  <si>
    <t>alpha-hydroxyisovalerate</t>
  </si>
  <si>
    <t>CC(C)C(O)C(O)=O</t>
  </si>
  <si>
    <t>InChI=1S/C5H10O3/c1-3(2)4(6)5(7)8/h3-4,6H,1-2H3,(H,7,8)</t>
  </si>
  <si>
    <t>HMDB00407</t>
  </si>
  <si>
    <t>alpha-ketoglutarate</t>
  </si>
  <si>
    <t>C5H6O5</t>
  </si>
  <si>
    <t>OC(=O)CCC(=O)C(O)=O</t>
  </si>
  <si>
    <t>InChI=1S/C5H6O5/c6-3(5(9)10)1-2-4(7)8/h1-2H2,(H,7,8)(H,9,10)</t>
  </si>
  <si>
    <t>HMDB00208</t>
  </si>
  <si>
    <t>alpha-tocopherol</t>
  </si>
  <si>
    <t>C29H50O2</t>
  </si>
  <si>
    <t>HMDB01893</t>
  </si>
  <si>
    <t>alpha-tocopherol acetate</t>
  </si>
  <si>
    <t>C31H52O3</t>
  </si>
  <si>
    <t>CC(C)CCC[C@@H](C)CCC[C@@H](C)CCC[C@]1(C)CCc2c(C)c(OC(C)=O)c(C)c(C)c2O1</t>
  </si>
  <si>
    <t>InChI=1S/C31H52O3/c1-21(2)13-10-14-22(3)15-11-16-23(4)17-12-19-31(9)20-18-28-26(7)29(33-27(8)32)24(5)25(6)30(28)34-31/h21-23H,10-20H2,1-9H3/t22-,23-,31-/m1/s1</t>
  </si>
  <si>
    <t>HMDB34227</t>
  </si>
  <si>
    <t>alpha-tocotrienol</t>
  </si>
  <si>
    <t>C29H44O2</t>
  </si>
  <si>
    <t>CC(C)=CCC\C(C)=C\CC\C(C)=C\CC[C@]1(C)CCc2c(C)c(O)c(C)c(C)c2O1</t>
  </si>
  <si>
    <t>InChI=1S/C29H44O2/c1-20(2)12-9-13-21(3)14-10-15-22(4)16-11-18-29(8)19-17-26-25(7)27(30)23(5)24(6)28(26)31-29/h12,14,16,30H,9-11,13,15,17-19H2,1-8H3/b21-14+,22-16+/t29-/m1/s1</t>
  </si>
  <si>
    <t>HMDB06327</t>
  </si>
  <si>
    <t>amoxicillin</t>
  </si>
  <si>
    <t>C16H19N3O5S</t>
  </si>
  <si>
    <t>[H][C@]12SC(C)(C)[C@@H](N1C(=O)[C@H]2NC(=O)[C@H](N)c1ccc(O)cc1)C(O)=O</t>
  </si>
  <si>
    <t>InChI=1S/C16H19N3O5S/c1-16(2)11(15(23)24)19-13(22)10(14(19)25-16)18-12(21)9(17)7-3-5-8(20)6-4-7/h3-6,9-11,14,20H,17H2,1-2H3,(H,18,21)(H,23,24)/t9-,10-,11+,14-/m1/s1</t>
  </si>
  <si>
    <t>HMDB15193</t>
  </si>
  <si>
    <t>adenosine 5'-monophosphate (AMP)</t>
  </si>
  <si>
    <t>HMDB00045</t>
  </si>
  <si>
    <t>anserine</t>
  </si>
  <si>
    <t>C10H16N4O3</t>
  </si>
  <si>
    <t>Cn1cncc1C[C@H](NC(=O)CCN)C(O)=O</t>
  </si>
  <si>
    <t>InChI=1S/C10H16N4O3/c1-14-6-12-5-7(14)4-8(10(16)17)13-9(15)2-3-11/h5-6,8H,2-4,11H2,1H3,(H,13,15)(H,16,17)/t8-/m0/s1</t>
  </si>
  <si>
    <t>HMDB00194</t>
  </si>
  <si>
    <t>anthranilate</t>
  </si>
  <si>
    <t>C7H7NO2</t>
  </si>
  <si>
    <t>Nc1ccccc1C(O)=O</t>
  </si>
  <si>
    <t>InChI=1S/C7H7NO2/c8-6-4-2-1-3-5(6)7(9)10/h1-4H,8H2,(H,9,10)</t>
  </si>
  <si>
    <t>HMDB01123</t>
  </si>
  <si>
    <t>apigenin</t>
  </si>
  <si>
    <t>Oc1ccc(cc1)-c1cc(=O)c2c(O)cc(O)cc2o1</t>
  </si>
  <si>
    <t>InChI=1S/C15H10O5/c16-9-3-1-8(2-4-9)13-7-12(19)15-11(18)5-10(17)6-14(15)20-13/h1-7,16-18H</t>
  </si>
  <si>
    <t>HMDB02124</t>
  </si>
  <si>
    <t>arabinose</t>
  </si>
  <si>
    <t>C5H10O5</t>
  </si>
  <si>
    <t>HMDB00646</t>
  </si>
  <si>
    <t>arabonate/xylonate</t>
  </si>
  <si>
    <t>C5H10O6</t>
  </si>
  <si>
    <t>OC[C@@H](O)[C@H](O)[C@@H](O)C(O)=O</t>
  </si>
  <si>
    <t>InChI=1S/C5H10O6/c6-1-2(7)3(8)4(9)5(10)11/h2-4,6-9H,1H2,(H,10,11)/t2-,3+,4-/m1/s1</t>
  </si>
  <si>
    <t>arachidate (20:0)</t>
  </si>
  <si>
    <t>HMDB02212</t>
  </si>
  <si>
    <t>arachidonate (20:4n6)</t>
  </si>
  <si>
    <t>HMDB01043</t>
  </si>
  <si>
    <t>arachidonoyl ethanolamide</t>
  </si>
  <si>
    <t>C22H37NO2</t>
  </si>
  <si>
    <t>CCCCC\C=C/C\C=C/C\C=C/C\C=C/CCCC(=O)NCCO</t>
  </si>
  <si>
    <t>InChI=1S/C22H37NO2/c1-2-3-4-5-6-7-8-9-10-11-12-13-14-15-16-17-18-19-22(25)23-20-21-24/h6-7,9-10,12-13,15-16,24H,2-5,8,11,14,17-21H2,1H3,(H,23,25)/b7-6-,10-9-,13-12-,16-15-</t>
  </si>
  <si>
    <t>HMDB04080</t>
  </si>
  <si>
    <t>arachidoyl ethanolamide (20:0)*</t>
  </si>
  <si>
    <t>arachidoylcarnitine (C20)*</t>
  </si>
  <si>
    <t>HMDB06460</t>
  </si>
  <si>
    <t>argininate*</t>
  </si>
  <si>
    <t>C6H14N4O2</t>
  </si>
  <si>
    <t>NC(CCCNC(N)=N)C(O)=O</t>
  </si>
  <si>
    <t>InChI=1S/C6H14N4O2/c7-4(5(11)12)2-1-3-10-6(8)9/h4H,1-3,7H2,(H,11,12)(H4,8,9,10)</t>
  </si>
  <si>
    <t>HMDB03148</t>
  </si>
  <si>
    <t>arginine</t>
  </si>
  <si>
    <t>asparagine</t>
  </si>
  <si>
    <t>NC(CC(N)=O)C(O)=O</t>
  </si>
  <si>
    <t>InChI=1S/C4H8N2O3/c5-2(4(8)9)1-3(6)7/h2H,1,5H2,(H2,6,7)(H,8,9)</t>
  </si>
  <si>
    <t>aspartate</t>
  </si>
  <si>
    <t>C4H7NO4</t>
  </si>
  <si>
    <t>NC(CC(O)=O)C(O)=O</t>
  </si>
  <si>
    <t>InChI=1S/C4H7NO4/c5-2(4(8)9)1-3(6)7/h2H,1,5H2,(H,6,7)(H,8,9)</t>
  </si>
  <si>
    <t>atenolol</t>
  </si>
  <si>
    <t>C14H22N2O3</t>
  </si>
  <si>
    <t>CC(C)NCC(O)COc1ccc(CC(N)=O)cc1</t>
  </si>
  <si>
    <t>InChI=1S/C14H22N2O3/c1-10(2)16-8-12(17)9-19-13-5-3-11(4-6-13)7-14(15)18/h3-6,10,12,16-17H,7-9H2,1-2H3,(H2,15,18)</t>
  </si>
  <si>
    <t>HMDB01924</t>
  </si>
  <si>
    <t>azelate (C9-DC)</t>
  </si>
  <si>
    <t>HMDB00784</t>
  </si>
  <si>
    <t>behenoyl ethanolamide (22:0)*</t>
  </si>
  <si>
    <t>behenoyl sphingomyelin (d18:1/22:0)*</t>
  </si>
  <si>
    <t>C45H91N2O6P</t>
  </si>
  <si>
    <t>C(CCCCCCCCCC)CC\C=C\[C@@H](O)[C@@H](NC(=O)CCCCCCCCCCCCCCCCCCCCC)COP(=O)([O-])OCC[N+](C)(C)C</t>
  </si>
  <si>
    <t>InChI=1S/C45H91N2O6P/c1-6-8-10-12-14-16-18-20-21-22-23-24-25-27-29-31-33-35-37-39-45(49)46-43(42-53-54(50,51)52-41-40-47(3,4)5)44(48)38-36-34-32-30-28-26-19-17-15-13-11-9-7-2/h36,38,43-44,48H,6-35,37,39-42H2,1-5H3,(H-,46,49,50,51)/b38-36+/t43-,44+/m0/s1</t>
  </si>
  <si>
    <t>HMDB12103</t>
  </si>
  <si>
    <t>behenoylcarnitine (C22)*</t>
  </si>
  <si>
    <t>benzoate</t>
  </si>
  <si>
    <t>C7H6O2</t>
  </si>
  <si>
    <t>OC(=O)c1ccccc1</t>
  </si>
  <si>
    <t>InChI=1S/C7H6O2/c8-7(9)6-4-2-1-3-5-6/h1-5H,(H,8,9)</t>
  </si>
  <si>
    <t>HMDB01870</t>
  </si>
  <si>
    <t>beta-alanine</t>
  </si>
  <si>
    <t>NCCC(O)=O</t>
  </si>
  <si>
    <t>InChI=1S/C3H7NO2/c4-2-1-3(5)6/h1-2,4H2,(H,5,6)</t>
  </si>
  <si>
    <t>HMDB00056</t>
  </si>
  <si>
    <t>beta-cryptoxanthin</t>
  </si>
  <si>
    <t>C40H56O</t>
  </si>
  <si>
    <t>CC(\C=C\C=C(C)\C=C\C1=C(C)CCCC1(C)C)=C/C=C/C=C(C)/C=C/C=C(C)/C=C/C1=C(C)C[C@@H](O)CC1(C)C</t>
  </si>
  <si>
    <t>InChI=1S/C40H56O/c1-30(18-13-20-32(3)23-25-37-34(5)22-15-27-39(37,7)8)16-11-12-17-31(2)19-14-21-33(4)24-26-38-35(6)28-36(41)29-40(38,9)10/h11-14,16-21,23-26,36,41H,15,22,27-29H2,1-10H3/b12-11+,18-13+,19-14+,25-23+,26-24+,30-16+,31-17+,32-20+,33-21+/t36-/m1/s1</t>
  </si>
  <si>
    <t>HMDB33844</t>
  </si>
  <si>
    <t>beta-guanidinopropanoate</t>
  </si>
  <si>
    <t>HMDB13222</t>
  </si>
  <si>
    <t>beta-hydroxyisovalerate</t>
  </si>
  <si>
    <t>CC(C)(O)CC(O)=O</t>
  </si>
  <si>
    <t>InChI=1S/C5H10O3/c1-5(2,8)3-4(6)7/h8H,3H2,1-2H3,(H,6,7)</t>
  </si>
  <si>
    <t>HMDB00754</t>
  </si>
  <si>
    <t>betaine</t>
  </si>
  <si>
    <t>C[N+](C)(C)CC([O-])=O</t>
  </si>
  <si>
    <t>InChI=1S/C5H11NO2/c1-6(2,3)4-5(7)8/h4H2,1-3H3</t>
  </si>
  <si>
    <t>HMDB00043</t>
  </si>
  <si>
    <t>beta-sitosterol</t>
  </si>
  <si>
    <t>C29H50O</t>
  </si>
  <si>
    <t>[H][C@@]1(CC[C@@]2([H])[C@]3([H])CC=C4C[C@@H](O)CC[C@]4(C)[C@@]3([H])CC[C@]12C)[C@H](C)CC[C@@H](CC)C(C)C</t>
  </si>
  <si>
    <t>InChI=1S/C29H50O/c1-7-21(19(2)3)9-8-20(4)25-12-13-26-24-11-10-22-18-23(30)14-16-28(22,5)27(24)15-17-29(25,26)6/h10,19-21,23-27,30H,7-9,11-18H2,1-6H3/t20-,21-,23+,24+,25-,26+,27+,28+,29-/m1/s1</t>
  </si>
  <si>
    <t>HMDB00852</t>
  </si>
  <si>
    <t>betonicine</t>
  </si>
  <si>
    <t>C[N+]1(C)C[C@H](O)C[C@H]1C([O-])=O</t>
  </si>
  <si>
    <t>InChI=1S/C7H13NO3/c1-8(2)4-5(9)3-6(8)7(10)11/h5-6,9H,3-4H2,1-2H3/t5-,6+/m1/s1</t>
  </si>
  <si>
    <t>HMDB29412</t>
  </si>
  <si>
    <t>betulinic acid</t>
  </si>
  <si>
    <t>C30H48O3</t>
  </si>
  <si>
    <t>[H][C@]12CC[C@]3([H])[C@@]4(C)CC[C@H](O)C(C)(C)[C@]4([H])CC[C@@]3(C)[C@]1(C)CC[C@]1(CC[C@@H](C(C)=C)[C@]21[H])C(O)=O</t>
  </si>
  <si>
    <t>InChI=1S/C30H48O3/c1-18(2)19-10-15-30(25(32)33)17-16-28(6)20(24(19)30)8-9-22-27(5)13-12-23(31)26(3,4)21(27)11-14-29(22,28)7/h19-24,31H,1,8-17H2,2-7H3,(H,32,33)/t19-,20+,21-,22+,23-,24+,27-,28+,29+,30-/m0/s1</t>
  </si>
  <si>
    <t>HMDB30094</t>
  </si>
  <si>
    <t>bilirubin (Z,Z)</t>
  </si>
  <si>
    <t>C33H36N4O6</t>
  </si>
  <si>
    <t>CC1=C(C=C)\C(NC1=O)=C\c1[nH]c(Cc2[nH]c(\C=C3NC(=O)C(C=C)=C/3C)c(C)c2CCC(O)=O)c(CCC(O)=O)c1C</t>
  </si>
  <si>
    <t>InChI=1S/C33H36N4O6/c1-7-20-19(6)32(42)37-27(20)14-25-18(5)23(10-12-31(40)41)29(35-25)15-28-22(9-11-30(38)39)17(4)24(34-28)13-26-16(3)21(8-2)33(43)36-26/h7-8,13-14,34-35H,1-2,9-12,15H2,3-6H3,(H,36,43)(H,37,42)(H,38,39)(H,40,41)/b26-13-,27-14-</t>
  </si>
  <si>
    <t>HMDB00054</t>
  </si>
  <si>
    <t>bilirubin (E,E)*</t>
  </si>
  <si>
    <t>biliverdin</t>
  </si>
  <si>
    <t>C33H34N4O6</t>
  </si>
  <si>
    <t>CC1=C(CCC(O)=O)\C(/N=C1/C=C1NC(=O)C(C=C)=C/1C)=C\c1[nH]c(\C=C2NC(=O)C(C)=C/2C=C)c(C)c1CCC(O)=O</t>
  </si>
  <si>
    <t>InChI=1S/C33H34N4O6/c1-7-20-19(6)32(42)37-27(20)14-25-18(5)23(10-12-31(40)41)29(35-25)15-28-22(9-11-30(38)39)17(4)24(34-28)13-26-16(3)21(8-2)33(43)36-26/h7-8,13-15,35H,1-2,9-12H2,3-6H3,(H,36,43)(H,37,42)(H,38,39)(H,40,41)/b26-13-,27-14-,28-15-</t>
  </si>
  <si>
    <t>HMDB01008</t>
  </si>
  <si>
    <t>butyrylglutamine/isobutyrylglutamine</t>
  </si>
  <si>
    <t>butyrylglycine</t>
  </si>
  <si>
    <t>C(CNC(=O)CCC)(=O)O</t>
  </si>
  <si>
    <t>InChI=1S/C6H11NO3/c1-2-3-5(8)7-4-6(9)10/h2-4H2,1H3,(H,7,8)(H,9,10)</t>
  </si>
  <si>
    <t>HMDB00808</t>
  </si>
  <si>
    <t>cadaverine</t>
  </si>
  <si>
    <t>C5H14N2</t>
  </si>
  <si>
    <t>NCCCCCN</t>
  </si>
  <si>
    <t>InChI=1S/C5H14N2/c6-4-2-1-3-5-7/h1-7H2</t>
  </si>
  <si>
    <t>HMDB02322</t>
  </si>
  <si>
    <t>caffeate</t>
  </si>
  <si>
    <t>OC(=O)\C=C/c1ccc(O)c(O)c1</t>
  </si>
  <si>
    <t>InChI=1S/C9H8O4/c10-7-3-1-6(5-8(7)11)2-4-9(12)13/h1-5,10-11H,(H,12,13)/b4-2-</t>
  </si>
  <si>
    <t>HMDB01964</t>
  </si>
  <si>
    <t>caffeic acid sulfate</t>
  </si>
  <si>
    <t>C9H8O7S</t>
  </si>
  <si>
    <t>O(C=1C=C(/C=C/C(O)=O)C=CC1O)S(O)(=O)=O</t>
  </si>
  <si>
    <t>InChI=1S/C9H8O7S/c10-7-3-1-6(2-4-9(11)12)5-8(7)16-17(13,14)15/h1-5,10H,(H,11,12)(H,13,14,15)/b4-2+</t>
  </si>
  <si>
    <t>HMDB41708</t>
  </si>
  <si>
    <t>campesterol</t>
  </si>
  <si>
    <t>C28H48O</t>
  </si>
  <si>
    <t>[H][C@@]1(CC[C@@]2([H])[C@]3([H])CC=C4C[C@@H](O)CC[C@]4(C)[C@@]3([H])CC[C@]12C)[C@H](C)CC[C@@H](C)C(C)C</t>
  </si>
  <si>
    <t>InChI=1S/C28H48O/c1-18(2)19(3)7-8-20(4)24-11-12-25-23-10-9-21-17-22(29)13-15-27(21,5)26(23)14-16-28(24,25)6/h9,18-20,22-26,29H,7-8,10-17H2,1-6H3/t19-,20-,22+,23+,24-,25+,26+,27+,28-/m1/s1</t>
  </si>
  <si>
    <t>HMDB02869</t>
  </si>
  <si>
    <t>caprate (10:0)</t>
  </si>
  <si>
    <t>HMDB00511</t>
  </si>
  <si>
    <t>caproate (6:0)</t>
  </si>
  <si>
    <t>C6H12O2</t>
  </si>
  <si>
    <t>CCCCCC(O)=O</t>
  </si>
  <si>
    <t>InChI=1S/C6H12O2/c1-2-3-4-5-6(7)8/h2-5H2,1H3,(H,7,8)</t>
  </si>
  <si>
    <t>HMDB00535</t>
  </si>
  <si>
    <t>caprylate (8:0)</t>
  </si>
  <si>
    <t>HMDB00482</t>
  </si>
  <si>
    <t>carboxyethyl-GABA</t>
  </si>
  <si>
    <t>C7H13NO4</t>
  </si>
  <si>
    <t>C(CCCNCCC(=O)O)(=O)O</t>
  </si>
  <si>
    <t>InChI=1S/C7H13NO4/c9-6(10)2-1-4-8-5-3-7(11)12/h8H,1-5H2,(H,9,10)(H,11,12)</t>
  </si>
  <si>
    <t>HMDB02201</t>
  </si>
  <si>
    <t>carnitine</t>
  </si>
  <si>
    <t>C7H15NO3</t>
  </si>
  <si>
    <t>C[N+](C)(C)CC(O)CC([O-])=O</t>
  </si>
  <si>
    <t>InChI=1S/C7H15NO3/c1-8(2,3)5-6(9)4-7(10)11/h6,9H,4-5H2,1-3H3</t>
  </si>
  <si>
    <t>HMDB00062</t>
  </si>
  <si>
    <t>carnosine</t>
  </si>
  <si>
    <t>C9H14N4O3</t>
  </si>
  <si>
    <t>NCCC(=O)N[C@@H](CC1=CNC=N1)C(O)=O</t>
  </si>
  <si>
    <t>InChI=1S/C9H14N4O3/c10-2-1-8(14)13-7(9(15)16)3-6-4-11-5-12-6/h4-5,7H,1-3,10H2,(H,11,12)(H,13,14)(H,15,16)/t7-/m0/s1</t>
  </si>
  <si>
    <t>HMDB00033</t>
  </si>
  <si>
    <t>carotene diol (1)</t>
  </si>
  <si>
    <t>carotene diol (2)</t>
  </si>
  <si>
    <t>carotene diol (3)</t>
  </si>
  <si>
    <t>catechol sulfate</t>
  </si>
  <si>
    <t>C6H6O5S</t>
  </si>
  <si>
    <t>C=1C=CC=C(C1OS(O)(=O)=O)O</t>
  </si>
  <si>
    <t>InChI=1S/C6H6O5S/c7-5-3-1-2-4-6(5)11-12(8,9)10/h1-4,7H,(H,8,9,10)</t>
  </si>
  <si>
    <t>HMDB59724</t>
  </si>
  <si>
    <t>ceramide (d16:1/24:1, d18:1/22:1)*</t>
  </si>
  <si>
    <t>ceramide (d18:1/14:0, d16:1/16:0)*</t>
  </si>
  <si>
    <t>ceramide (d18:1/20:0, d16:1/22:0, d20:1/18:0)*</t>
  </si>
  <si>
    <t>chenodeoxycholate</t>
  </si>
  <si>
    <t>C24H40O4</t>
  </si>
  <si>
    <t>[H][C@@]12C[C@H](O)CC[C@]1(C)[C@@]1([H])CC[C@]3(C)[C@]([H])(CC[C@@]3([H])[C@]1([H])[C@H](O)C2)[C@H](C)CCC(O)=O</t>
  </si>
  <si>
    <t>InChI=1S/C24H40O4/c1-14(4-7-21(27)28)17-5-6-18-22-19(9-11-24(17,18)3)23(2)10-8-16(25)12-15(23)13-20(22)26/h14-20,22,25-26H,4-13H2,1-3H3,(H,27,28)/t14-,15+,16-,17-,18+,19+,20-,22+,23+,24-/m1/s1</t>
  </si>
  <si>
    <t>HMDB00518</t>
  </si>
  <si>
    <t>chiro-inositol</t>
  </si>
  <si>
    <t>HMDB34220</t>
  </si>
  <si>
    <t>cholate</t>
  </si>
  <si>
    <t>C24H40O5</t>
  </si>
  <si>
    <t>[H][C@@]12C[C@H](O)CC[C@]1(C)[C@@]1([H])C[C@H](O)[C@]3(C)[C@]([H])(CC[C@@]3([H])[C@]1([H])[C@H](O)C2)[C@H](C)CCC(O)=O</t>
  </si>
  <si>
    <t>InChI=1S/C24H40O5/c1-13(4-7-21(28)29)16-5-6-17-22-18(12-20(27)24(16,17)3)23(2)9-8-15(25)10-14(23)11-19(22)26/h13-20,22,25-27H,4-12H2,1-3H3,(H,28,29)/t13-,14+,15-,16-,17+,18+,19-,20+,22+,23+,24-/m1/s1</t>
  </si>
  <si>
    <t>HMDB00619</t>
  </si>
  <si>
    <t>cholate sulfate</t>
  </si>
  <si>
    <t>cholesterol</t>
  </si>
  <si>
    <t>C27H46O</t>
  </si>
  <si>
    <t>C1[C@@]2([C@]3(CC[C@]4([C@]([C@@]3(CC=C2C[C@H](C1)O)[H])(CC[C@@]4([C@H](C)CCCC(C)C)[H])[H])C)[H])C</t>
  </si>
  <si>
    <t>InChI=1S/C27H46O/c1-18(2)7-6-8-19(3)23-11-12-24-22-10-9-20-17-21(28)13-15-26(20,4)25(22)14-16-27(23,24)5/h9,18-19,21-25,28H,6-8,10-17H2,1-5H3/t19-,21+,22+,23-,24+,25+,26+,27-/m1/s1</t>
  </si>
  <si>
    <t>HMDB00067</t>
  </si>
  <si>
    <t>choline</t>
  </si>
  <si>
    <t>C5H14NO+</t>
  </si>
  <si>
    <t>C[N+](C)(C)CCO</t>
  </si>
  <si>
    <t>InChI=1S/C5H14NO/c1-6(2,3)4-5-7/h7H,4-5H2,1-3H3/q+1</t>
  </si>
  <si>
    <t>HMDB00097</t>
  </si>
  <si>
    <t>chrysin</t>
  </si>
  <si>
    <t>C15H10O4</t>
  </si>
  <si>
    <t>Oc1cc(O)c2c(c1)oc(cc2=O)-c1ccccc1</t>
  </si>
  <si>
    <t>InChI=1S/C15H10O4/c16-10-6-11(17)15-12(18)8-13(19-14(15)7-10)9-4-2-1-3-5-9/h1-8,16-17H</t>
  </si>
  <si>
    <t>HMDB36619</t>
  </si>
  <si>
    <t>cinnamate</t>
  </si>
  <si>
    <t>C9H8O2</t>
  </si>
  <si>
    <t>[H]C(=Cc1ccccc1)C(O)=O</t>
  </si>
  <si>
    <t>InChI=1S/C9H8O2/c10-9(11)7-6-8-4-2-1-3-5-8/h1-7H,(H,10,11)</t>
  </si>
  <si>
    <t>HMDB00930</t>
  </si>
  <si>
    <t>cinnamoylglycine</t>
  </si>
  <si>
    <t>C11H11NO3</t>
  </si>
  <si>
    <t>OC(=O)CNC(=O)\C=C\c1ccccc1</t>
  </si>
  <si>
    <t>InChI=1S/C11H11NO3/c13-10(12-8-11(14)15)7-6-9-4-2-1-3-5-9/h1-7H,8H2,(H,12,13)(H,14,15)/b7-6+</t>
  </si>
  <si>
    <t>HMDB11621</t>
  </si>
  <si>
    <t>cis-urocanate</t>
  </si>
  <si>
    <t>C6H6N2O2</t>
  </si>
  <si>
    <t>C(=O)(O)/C=C\C=1N=CNC1</t>
  </si>
  <si>
    <t>InChI=1S/C6H6N2O2/c9-6(10)2-1-5-3-7-4-8-5/h1-4H,(H,7,8)(H,9,10)/b2-1-</t>
  </si>
  <si>
    <t>HMDB34174</t>
  </si>
  <si>
    <t>citrate</t>
  </si>
  <si>
    <t>C6H8O7</t>
  </si>
  <si>
    <t>OC(=O)CC(O)(CC(O)=O)C(O)=O</t>
  </si>
  <si>
    <t>InChI=1S/C6H8O7/c7-3(8)1-6(13,5(11)12)2-4(9)10/h13H,1-2H2,(H,7,8)(H,9,10)(H,11,12)</t>
  </si>
  <si>
    <t>HMDB00094</t>
  </si>
  <si>
    <t>citrulline</t>
  </si>
  <si>
    <t>C6H13N3O3</t>
  </si>
  <si>
    <t>NC(CCCNC(N)=O)C(O)=O</t>
  </si>
  <si>
    <t>InChI=1S/C6H13N3O3/c7-4(5(10)11)2-1-3-9-6(8)12/h4H,1-3,7H2,(H,10,11)(H3,8,9,12)</t>
  </si>
  <si>
    <t>coprostanol</t>
  </si>
  <si>
    <t>C27H48O</t>
  </si>
  <si>
    <t>[C@]1([C@@H](CCCC(C)C)C)([C@]2(CC[C@@]3([C@]4(CC[C@@H](C[C@]4(CC[C@]3([C@@]2(CC1)[H])[H])[H])O)C)[H])C)[H]</t>
  </si>
  <si>
    <t>InChI=1S/C27H48O/c1-18(2)7-6-8-19(3)23-11-12-24-22-10-9-20-17-21(28)13-15-26(20,4)25(22)14-16-27(23,24)5/h18-25,28H,6-17H2,1-5H3/t19-,20-,21+,22+,23-,24+,25+,26+,27-/m1/s1</t>
  </si>
  <si>
    <t>HMDB00577</t>
  </si>
  <si>
    <t>cortolone</t>
  </si>
  <si>
    <t>C21H34O5</t>
  </si>
  <si>
    <t>C[C@]12CC(=O)[C@H]3[C@@H](CC[C@@H]4C[C@H](O)CC[C@]34C)[C@@H]1CC[C@]2(O)[C@@H](O)CO</t>
  </si>
  <si>
    <t>InChI=1S/C21H34O5/c1-19-7-5-13(23)9-12(19)3-4-14-15-6-8-21(26,17(25)11-22)20(15,2)10-16(24)18(14)19/h12-15,17-18,22-23,25-26H,3-11H2,1-2H3/t12-,13-,14+,15+,17+,18-,19+,20+,21+/m1/s1</t>
  </si>
  <si>
    <t>HMDB03128</t>
  </si>
  <si>
    <t>creatine</t>
  </si>
  <si>
    <t>C4H9N3O2</t>
  </si>
  <si>
    <t>CN(CC(O)=O)C(N)=N</t>
  </si>
  <si>
    <t>InChI=1S/C4H9N3O2/c1-7(4(5)6)2-3(8)9/h2H2,1H3,(H3,5,6)(H,8,9)</t>
  </si>
  <si>
    <t>HMDB00064</t>
  </si>
  <si>
    <t>InChI=1S/C4H7N3O/c1-7-2-3(8)6-4(7)5/h2H2,1H3,(H2,5,6,8)</t>
  </si>
  <si>
    <t>HMDB00562</t>
  </si>
  <si>
    <t>cysteine</t>
  </si>
  <si>
    <t>C3H7NO2S</t>
  </si>
  <si>
    <t>NC(CS)C(O)=O</t>
  </si>
  <si>
    <t>InChI=1S/C3H7NO2S/c4-2(1-7)3(5)6/h2,7H,1,4H2,(H,5,6)</t>
  </si>
  <si>
    <t>HMDB00574</t>
  </si>
  <si>
    <t>cysteine s-sulfate</t>
  </si>
  <si>
    <t>C3H7NO5S2</t>
  </si>
  <si>
    <t>N[C@@H](CSS(O)(=O)=O)C(O)=O</t>
  </si>
  <si>
    <t>InChI=1S/C3H7NO5S2/c4-2(3(5)6)1-10-11(7,8)9/h2H,1,4H2,(H,5,6)(H,7,8,9)/t2-/m0/s1</t>
  </si>
  <si>
    <t>HMDB00731</t>
  </si>
  <si>
    <t>cysteine sulfinic acid</t>
  </si>
  <si>
    <t>HMDB00996</t>
  </si>
  <si>
    <t>cysteinylglycine</t>
  </si>
  <si>
    <t>C5H10N2O3S</t>
  </si>
  <si>
    <t>N[C@@H](CS)C(=O)NCC(O)=O</t>
  </si>
  <si>
    <t>InChI=1S/C5H10N2O3S/c6-3(2-11)5(10)7-1-4(8)9/h3,11H,1-2,6H2,(H,7,10)(H,8,9)/t3-/m0/s1</t>
  </si>
  <si>
    <t>HMDB00078</t>
  </si>
  <si>
    <t>cystine</t>
  </si>
  <si>
    <t>C6H12N2O4S2</t>
  </si>
  <si>
    <t>NC(CSSCC(N)C(O)=O)C(O)=O</t>
  </si>
  <si>
    <t>InChI=1S/C6H12N2O4S2/c7-3(5(9)10)1-13-14-2-4(8)6(11)12/h3-4H,1-2,7-8H2,(H,9,10)(H,11,12)</t>
  </si>
  <si>
    <t>cytidine</t>
  </si>
  <si>
    <t>C9H13N3O5</t>
  </si>
  <si>
    <t>Nc1ccn([C@@H]2O[C@H](CO)[C@@H](O)[C@H]2O)c(=O)n1</t>
  </si>
  <si>
    <t>InChI=1S/C9H13N3O5/c10-5-1-2-12(9(16)11-5)8-7(15)6(14)4(3-13)17-8/h1-2,4,6-8,13-15H,3H2,(H2,10,11,16)/t4-,6-,7-,8-/m1/s1</t>
  </si>
  <si>
    <t>HMDB00089</t>
  </si>
  <si>
    <t>cytosine</t>
  </si>
  <si>
    <t>C4H5N3O</t>
  </si>
  <si>
    <t>Nc1cc[nH]c(=O)n1</t>
  </si>
  <si>
    <t>InChI=1S/C4H5N3O/c5-3-1-2-6-4(8)7-3/h1-2H,(H3,5,6,7,8)</t>
  </si>
  <si>
    <t>HMDB00630</t>
  </si>
  <si>
    <t>daidzein</t>
  </si>
  <si>
    <t>Oc1ccc(cc1)-c1coc2cc(O)ccc2c1=O</t>
  </si>
  <si>
    <t>InChI=1S/C15H10O4/c16-10-3-1-9(2-4-10)13-8-19-14-7-11(17)5-6-12(14)15(13)18/h1-8,16-17H</t>
  </si>
  <si>
    <t>HMDB03312</t>
  </si>
  <si>
    <t>daidzein sulfate (1)</t>
  </si>
  <si>
    <t>daidzein sulfate (2)</t>
  </si>
  <si>
    <t>2'-deoxycytidine 5'-monophosphate</t>
  </si>
  <si>
    <t>C9H14N3O7P</t>
  </si>
  <si>
    <t>Nc1ccn([C@H]2C[C@H](O)[C@@H](COP(O)(O)=O)O2)c(=O)n1</t>
  </si>
  <si>
    <t>InChI=1S/C9H14N3O7P/c10-7-1-2-12(9(14)11-7)8-3-5(13)6(19-8)4-18-20(15,16)17/h1-2,5-6,8,13H,3-4H2,(H2,10,11,14)(H2,15,16,17)/t5-,6+,8+/m0/s1</t>
  </si>
  <si>
    <t>HMDB01202</t>
  </si>
  <si>
    <t>dehydrocholic acid</t>
  </si>
  <si>
    <t>C24H34O5</t>
  </si>
  <si>
    <t>[H][C@@]12CC(=O)CC[C@]1(C)[C@@]1([H])CC(=O)[C@]3(C)[C@]([H])(CC[C@@]3([H])[C@]1([H])C(=O)C2)[C@H](C)CCC(O)=O</t>
  </si>
  <si>
    <t>InChI=1S/C24H34O5/c1-13(4-7-21(28)29)16-5-6-17-22-18(12-20(27)24(16,17)3)23(2)9-8-15(25)10-14(23)11-19(22)26/h13-14,16-18,22H,4-12H2,1-3H3,(H,28,29)/t13-,14+,16-,17+,18+,22+,23+,24-/m1/s1</t>
  </si>
  <si>
    <t>dehydrolithocholate</t>
  </si>
  <si>
    <t>delta-tocopherol</t>
  </si>
  <si>
    <t>C27H46O2</t>
  </si>
  <si>
    <t>CC(C)CCC[C@@H](C)CCC[C@@H](C)CCC[C@]1(C)CCc2cc(O)cc(C)c2O1</t>
  </si>
  <si>
    <t>InChI=1S/C27H46O2/c1-20(2)10-7-11-21(3)12-8-13-22(4)14-9-16-27(6)17-15-24-19-25(28)18-23(5)26(24)29-27/h18-22,28H,7-17H2,1-6H3/t21-,22-,27-/m1/s1</t>
  </si>
  <si>
    <t>HMDB02902</t>
  </si>
  <si>
    <t>deoxycarnitine</t>
  </si>
  <si>
    <t>C[N+](C)(C)CCCC([O-])=O</t>
  </si>
  <si>
    <t>InChI=1S/C7H15NO2/c1-8(2,3)6-4-5-7(9)10/h4-6H2,1-3H3</t>
  </si>
  <si>
    <t>HMDB01161</t>
  </si>
  <si>
    <t>deoxycholate</t>
  </si>
  <si>
    <t>[H][C@]12CC[C@@]3([H])[C@]4([H])CC[C@]([H])([C@H](C)CCC(O)=O)[C@@]4(C)[C@@H](O)C[C@]3([H])[C@@]1(C)CC[C@@H](O)C2</t>
  </si>
  <si>
    <t>InChI=1S/C24H40O4/c1-14(4-9-22(27)28)18-7-8-19-17-6-5-15-12-16(25)10-11-23(15,2)20(17)13-21(26)24(18,19)3/h14-21,25-26H,4-13H2,1-3H3,(H,27,28)/t14-,15-,16-,17+,18-,19+,20+,21+,23+,24-/m1/s1</t>
  </si>
  <si>
    <t>HMDB00626</t>
  </si>
  <si>
    <t>deoxycholic acid sulfate</t>
  </si>
  <si>
    <t>deoxymugineic acid</t>
  </si>
  <si>
    <t>C12H20N2O7</t>
  </si>
  <si>
    <t>O[C@@H](CCN[C@@H](CCN1CC[C@H]1C(O)=O)C(O)=O)C(O)=O</t>
  </si>
  <si>
    <t>InChI=1S/C12H20N2O7/c15-9(12(20)21)1-4-13-7(10(16)17)2-5-14-6-3-8(14)11(18)19/h7-9,13,15H,1-6H2,(H,16,17)(H,18,19)(H,20,21)/t7-,8-,9-/m0/s1</t>
  </si>
  <si>
    <t>diacetylchitobiose</t>
  </si>
  <si>
    <t>C16H28N2O11</t>
  </si>
  <si>
    <t>CC(=O)N[C@H]1C(O)O[C@H](CO)[C@@H](O[C@@H]2O[C@H](CO)[C@@H](O)[C@H](O)[C@H]2NC(C)=O)[C@@H]1O</t>
  </si>
  <si>
    <t>InChI=1S/C16H28N2O11/c1-5(21)17-9-13(25)14(8(4-20)27-15(9)26)29-16-10(18-6(2)22)12(24)11(23)7(3-19)28-16/h7-16,19-20,23-26H,3-4H2,1-2H3,(H,17,21)(H,18,22)/t7-,8-,9-,10-,11-,12-,13-,14-,15?,16+/m1/s1</t>
  </si>
  <si>
    <t>HMDB03556</t>
  </si>
  <si>
    <t>diacetylspermidine*</t>
  </si>
  <si>
    <t>C11H23N3O2</t>
  </si>
  <si>
    <t>CC(N(CCCCNCCCN)C(C)=O)=O</t>
  </si>
  <si>
    <t>InChI=1S/C11H23N3O2/c1-10(15)14(11(2)16)9-4-3-7-13-8-5-6-12/h13H,3-9,12H2,1-2H3</t>
  </si>
  <si>
    <t>diacylglycerol (12:0/18:1, 14:0/16:1, 16:0/14:1) [2]*</t>
  </si>
  <si>
    <t>diacylglycerol (16:1/18:2 [2], 16:0/18:3 [1])*</t>
  </si>
  <si>
    <t>diaminopimelate</t>
  </si>
  <si>
    <t>C7H14N2O4</t>
  </si>
  <si>
    <t>NC(CCCC(N)C(O)=O)C(O)=O</t>
  </si>
  <si>
    <t>InChI=1S/C7H14N2O4/c8-4(6(10)11)2-1-3-5(9)7(12)13/h4-5H,1-3,8-9H2,(H,10,11)(H,12,13)</t>
  </si>
  <si>
    <t>HMDB01370</t>
  </si>
  <si>
    <t>dihomo-linoleate (20:2n6)</t>
  </si>
  <si>
    <t>C20H35O2-</t>
  </si>
  <si>
    <t>HMDB05060</t>
  </si>
  <si>
    <t>dihomo-linolenate (20:3n3 or n6)</t>
  </si>
  <si>
    <t>HMDB02925</t>
  </si>
  <si>
    <t>dihomo-linolenoyl ethanolamide</t>
  </si>
  <si>
    <t>HMDB13625</t>
  </si>
  <si>
    <t>dihydrocaffeate sulfate (2)</t>
  </si>
  <si>
    <t>dihydroferulic acid</t>
  </si>
  <si>
    <t>C10H12O4</t>
  </si>
  <si>
    <t>C=1(C=C(C(=CC1)O)OC)CCC(=O)O</t>
  </si>
  <si>
    <t>InChI=1S/C10H12O4/c1-14-9-6-7(2-4-8(9)11)3-5-10(12)13/h2,4,6,11H,3,5H2,1H3,(H,12,13)</t>
  </si>
  <si>
    <t>dihydrokaempferol</t>
  </si>
  <si>
    <t>C15H12O6</t>
  </si>
  <si>
    <t>O[C@@H]1[C@H](Oc2cc(O)cc(O)c2C1=O)c1ccc(O)cc1</t>
  </si>
  <si>
    <t>InChI=1S/C15H12O6/c16-8-3-1-7(2-4-8)15-14(20)13(19)12-10(18)5-9(17)6-11(12)21-15/h1-6,14-18,20H/t14-,15+/m0/s1</t>
  </si>
  <si>
    <t>HMDB30847</t>
  </si>
  <si>
    <t>dihydroorotate</t>
  </si>
  <si>
    <t>C5H6N2O4</t>
  </si>
  <si>
    <t>OC(=O)C1CC(=O)NC(=O)N1</t>
  </si>
  <si>
    <t>InChI=1S/C5H6N2O4/c8-3-1-2(4(9)10)6-5(11)7-3/h2H,1H2,(H,9,10)(H2,6,7,8,11)</t>
  </si>
  <si>
    <t>HMDB03349</t>
  </si>
  <si>
    <t>DIMBOA</t>
  </si>
  <si>
    <t>C9H9NO5</t>
  </si>
  <si>
    <t>COc1ccc2N(O)C(=O)C(O)Oc2c1</t>
  </si>
  <si>
    <t>InChI=1S/C9H9NO5/c1-14-5-2-3-6-7(4-5)15-9(12)8(11)10(6)13/h2-4,9,12-13H,1H3</t>
  </si>
  <si>
    <t>dimethylarginine (SDMA + ADMA)</t>
  </si>
  <si>
    <t>HMDB01539</t>
  </si>
  <si>
    <t>dimethylglycine</t>
  </si>
  <si>
    <t>CN(C)CC(O)=O</t>
  </si>
  <si>
    <t>InChI=1S/C4H9NO2/c1-5(2)3-4(6)7/h3H2,1-2H3,(H,6,7)</t>
  </si>
  <si>
    <t>HMDB00092</t>
  </si>
  <si>
    <t>dimethylmalonic acid</t>
  </si>
  <si>
    <t>C5H8O4</t>
  </si>
  <si>
    <t>O=C(O)C(C(O)=O)(C)C</t>
  </si>
  <si>
    <t>InChI=1S/C5H8O4/c1-5(2,3(6)7)4(8)9/h1-2H3,(H,6,7)(H,8,9)</t>
  </si>
  <si>
    <t>HMDB02001</t>
  </si>
  <si>
    <t>diosmetin</t>
  </si>
  <si>
    <t>C16H12O6</t>
  </si>
  <si>
    <t>COC1=CC=C(C=C1O)C1=CC(=O)C2=C(O)C=C(O)C=C2O1</t>
  </si>
  <si>
    <t>InChI=1S/C16H12O6/c1-21-13-3-2-8(4-10(13)18)14-7-12(20)16-11(19)5-9(17)6-15(16)22-14/h2-7,17-19H,1H3</t>
  </si>
  <si>
    <t>HMDB29676</t>
  </si>
  <si>
    <t>docosadienoate (22:2n6)</t>
  </si>
  <si>
    <t>C22H40O2</t>
  </si>
  <si>
    <t>C(CCCCCCCCC(O)=O)CC/C=C/C/C=C/CCCCC</t>
  </si>
  <si>
    <t>InChI=1S/C22H40O2/c1-2-3-4-5-6-7-8-9-10-11-12-13-14-15-16-17-18-19-20-21-22(23)24/h6-7,9-10H,2-5,8,11-21H2,1H3,(H,23,24)/b7-6+,10-9+</t>
  </si>
  <si>
    <t>HMDB61714</t>
  </si>
  <si>
    <t>docosahexaenoate (DHA; 22:6n3)</t>
  </si>
  <si>
    <t>HMDB02183</t>
  </si>
  <si>
    <t>docosapentaenoate (n3 DPA; 22:5n3)</t>
  </si>
  <si>
    <t>HMDB06528</t>
  </si>
  <si>
    <t>docosapentaenoate (n6 DPA; 22:5n6)</t>
  </si>
  <si>
    <t>HMDB01976</t>
  </si>
  <si>
    <t>docosapentaenoylcarnitine (C22:5n3)*</t>
  </si>
  <si>
    <t>docosatrienoate (22:3n3)</t>
  </si>
  <si>
    <t>HMDB02823</t>
  </si>
  <si>
    <t>docosatrienoate (22:3n6)*</t>
  </si>
  <si>
    <t>dodecanedioate (C12-DC)</t>
  </si>
  <si>
    <t>HMDB00623</t>
  </si>
  <si>
    <t>dodecenedioate (C12:1-DC)*</t>
  </si>
  <si>
    <t>D-urobilin</t>
  </si>
  <si>
    <t>C33H40N4O6</t>
  </si>
  <si>
    <t>CCC1=C(C)C(=O)NC1Cc1[nH]c(\C=C2\N=C(CC3NC(=O)C(C=C)=C3C)C(C)=C\2CCC(O)=O)c(CCC(O)=O)c1C</t>
  </si>
  <si>
    <t>InChI=1S/C33H40N4O6/c1-7-20-19(6)32(42)37-27(20)14-25-18(5)23(10-12-31(40)41)29(35-25)15-28-22(9-11-30(38)39)17(4)24(34-28)13-26-16(3)21(8-2)33(43)36-26/h8,15,26-27,35H,2,7,9-14H2,1,3-6H3,(H,36,43)(H,37,42)(H,38,39)(H,40,41)/b28-15+</t>
  </si>
  <si>
    <t>HMDB04161</t>
  </si>
  <si>
    <t>ectoine</t>
  </si>
  <si>
    <t>C6H10N2O2</t>
  </si>
  <si>
    <t>CC1=N[C@@H](CCN1)C(O)=O</t>
  </si>
  <si>
    <t>InChI=1S/C6H10N2O2/c1-4-7-3-2-5(8-4)6(9)10/h5H,2-3H2,1H3,(H,7,8)(H,9,10)/t5-/m0/s1</t>
  </si>
  <si>
    <t>eicosanoylsphingosine (d20:1)*</t>
  </si>
  <si>
    <t>eicosapentaenoate (EPA; 20:5n3)</t>
  </si>
  <si>
    <t>HMDB01999</t>
  </si>
  <si>
    <t>eicosenoate (20:1)</t>
  </si>
  <si>
    <t>HMDB02231</t>
  </si>
  <si>
    <t>eicosenoylcarnitine (C20:1)*</t>
  </si>
  <si>
    <t>enterodiol</t>
  </si>
  <si>
    <t>C18H22O4</t>
  </si>
  <si>
    <t>OC[C@H](Cc1cccc(O)c1)[C@H](CO)Cc1cccc(O)c1</t>
  </si>
  <si>
    <t>InChI=1S/C18H22O4/c19-11-15(7-13-3-1-5-17(21)9-13)16(12-20)8-14-4-2-6-18(22)10-14/h1-6,9-10,15-16,19-22H,7-8,11-12H2/t15-,16-/m0/s1</t>
  </si>
  <si>
    <t>enterolactone</t>
  </si>
  <si>
    <t>C18H18O4</t>
  </si>
  <si>
    <t>Oc1cccc(C[C@@H]2COC(=O)[C@H]2Cc2cccc(O)c2)c1</t>
  </si>
  <si>
    <t>InChI=1S/C18H18O4/c19-15-5-1-3-12(8-15)7-14-11-22-18(21)17(14)10-13-4-2-6-16(20)9-13/h1-6,8-9,14,17,19-20H,7,10-11H2/t14-,17+/m1/s1</t>
  </si>
  <si>
    <t>equol</t>
  </si>
  <si>
    <t>C15H14O3</t>
  </si>
  <si>
    <t>Oc1ccc(cc1)[C@H]1COc2cc(O)ccc2C1</t>
  </si>
  <si>
    <t>InChI=1S/C15H14O3/c16-13-4-1-10(2-5-13)12-7-11-3-6-14(17)8-15(11)18-9-12/h1-6,8,12,16-17H,7,9H2/t12-/m1/s1</t>
  </si>
  <si>
    <t>HMDB02209</t>
  </si>
  <si>
    <t>equol sulfate</t>
  </si>
  <si>
    <t>ergosterol</t>
  </si>
  <si>
    <t>C28H44O</t>
  </si>
  <si>
    <t>[H][C@@]1(CC[C@@]2([H])C3=CC=C4C[C@@H](O)CC[C@]4(C)[C@@]3([H])CC[C@]12C)[C@H](C)\C=C\[C@H](C)C(C)C</t>
  </si>
  <si>
    <t>InChI=1S/C28H44O/c1-18(2)19(3)7-8-20(4)24-11-12-25-23-10-9-21-17-22(29)13-15-27(21,5)26(23)14-16-28(24,25)6/h7-10,18-20,22,24-26,29H,11-17H2,1-6H3/b8-7+/t19-,20+,22-,24+,25-,26-,27-,28+/m0/s1</t>
  </si>
  <si>
    <t>HMDB00878</t>
  </si>
  <si>
    <t>ergothioneine</t>
  </si>
  <si>
    <t>C9H15N3O2S</t>
  </si>
  <si>
    <t>C[N+](C)(C)[C@@H](Cc1c[nH]c(S)n1)C([O-])=O</t>
  </si>
  <si>
    <t>InChI=1S/C9H15N3O2S/c1-12(2,3)7(8(13)14)4-6-5-10-9(15)11-6/h5,7H,4H2,1-3H3,(H2-,10,11,13,14,15)/t7-/m0/s1</t>
  </si>
  <si>
    <t>HMDB03045</t>
  </si>
  <si>
    <t>eriodictyol</t>
  </si>
  <si>
    <t>Oc1cc(O)c2C(=O)C[C@H](Oc2c1)c1ccc(O)c(O)c1</t>
  </si>
  <si>
    <t>InChI=1S/C15H12O6/c16-8-4-11(19)15-12(20)6-13(21-14(15)5-8)7-1-2-9(17)10(18)3-7/h1-5,13,16-19H,6H2/t13-/m0/s1</t>
  </si>
  <si>
    <t>HMDB05810</t>
  </si>
  <si>
    <t>erucate (22:1n9)</t>
  </si>
  <si>
    <t>HMDB02068</t>
  </si>
  <si>
    <t>erucoyl ethanolamide (22:1)*</t>
  </si>
  <si>
    <t>erucoylcarnitine (C22:1)*</t>
  </si>
  <si>
    <t>erythronate*</t>
  </si>
  <si>
    <t>C4H8O5</t>
  </si>
  <si>
    <t>HMDB00613</t>
  </si>
  <si>
    <t>erythrose</t>
  </si>
  <si>
    <t>C4H8O4</t>
  </si>
  <si>
    <t>HMDB02649</t>
  </si>
  <si>
    <t>ethylmalonate</t>
  </si>
  <si>
    <t>CCC(C(O)=O)C(O)=O</t>
  </si>
  <si>
    <t>InChI=1S/C5H8O4/c1-2-3(4(6)7)5(8)9/h3H,2H2,1H3,(H,6,7)(H,8,9)</t>
  </si>
  <si>
    <t>HMDB00622</t>
  </si>
  <si>
    <t>famotidine</t>
  </si>
  <si>
    <t>C8H15N7O2S3</t>
  </si>
  <si>
    <t>NC(N)=Nc1nc(CSCCC(N)=NS(N)(=O)=O)cs1</t>
  </si>
  <si>
    <t>InChI=1S/C8H15N7O2S3/c9-6(15-20(12,16)17)1-2-18-3-5-4-19-8(13-5)14-7(10)11/h4H,1-3H2,(H2,9,15)(H2,12,16,17)(H4,10,11,13,14)</t>
  </si>
  <si>
    <t>HMDB01919</t>
  </si>
  <si>
    <t>felinine</t>
  </si>
  <si>
    <t>C8H17NO3S</t>
  </si>
  <si>
    <t>CC(C)(CCO)SC[C@H](N)C(O)=O</t>
  </si>
  <si>
    <t>InChI=1S/C8H17NO3S/c1-8(2,3-4-10)13-5-6(9)7(11)12/h6,10H,3-5,9H2,1-2H3,(H,11,12)/t6-/m0/s1</t>
  </si>
  <si>
    <t>ferulate</t>
  </si>
  <si>
    <t>C10H10O4</t>
  </si>
  <si>
    <t>COc1cc(\C=C\C(O)=O)ccc1O</t>
  </si>
  <si>
    <t>InChI=1S/C10H10O4/c1-14-9-6-7(2-4-8(9)11)3-5-10(12)13/h2-6,11H,1H3,(H,12,13)/b5-3+</t>
  </si>
  <si>
    <t>HMDB00954</t>
  </si>
  <si>
    <t>ferulic acid 4-sulfate</t>
  </si>
  <si>
    <t>HMDB29200</t>
  </si>
  <si>
    <t>feruloylputrescine</t>
  </si>
  <si>
    <t>C14H20N2O3</t>
  </si>
  <si>
    <t>COc1cc(\C=C\C(=O)NCCCCN)ccc1O</t>
  </si>
  <si>
    <t>InChI=1S/C14H20N2O3/c1-19-13-10-11(4-6-12(13)17)5-7-14(18)16-9-3-2-8-15/h4-7,10,17H,2-3,8-9,15H2,1H3,(H,16,18)/b7-5+</t>
  </si>
  <si>
    <t>formiminoglutamate</t>
  </si>
  <si>
    <t>C6H10N2O4</t>
  </si>
  <si>
    <t>[H]C(=N)N[C@@H](CCC(O)=O)C(O)=O</t>
  </si>
  <si>
    <t>InChI=1S/C6H10N2O4/c7-3-8-4(6(11)12)1-2-5(9)10/h3-4H,1-2H2,(H2,7,8)(H,9,10)(H,11,12)/t4-/m0/s1</t>
  </si>
  <si>
    <t>HMDB00854</t>
  </si>
  <si>
    <t>fructose</t>
  </si>
  <si>
    <t>HMDB00660</t>
  </si>
  <si>
    <t>fucose</t>
  </si>
  <si>
    <t>C6H12O5</t>
  </si>
  <si>
    <t>HMDB00174</t>
  </si>
  <si>
    <t>fucosterol</t>
  </si>
  <si>
    <t>C29H48O</t>
  </si>
  <si>
    <t>[H][C@@]1(CC[C@@]2([H])[C@]3([H])CC=C4C[C@@H](O)CC[C@]4(C)[C@@]3([H])CC[C@]12C)[C@H](C)CC\C(C(C)C)=C/C</t>
  </si>
  <si>
    <t>InChI=1S/C29H48O/c1-7-21(19(2)3)9-8-20(4)25-12-13-26-24-11-10-22-18-23(30)14-16-28(22,5)27(24)15-17-29(25,26)6/h7,10,19-20,23-27,30H,8-9,11-18H2,1-6H3/b21-7+/t20-,23+,24+,25-,26+,27+,28+,29-/m1/s1</t>
  </si>
  <si>
    <t>HMDB02374</t>
  </si>
  <si>
    <t>fumarate</t>
  </si>
  <si>
    <t>C4H4O4</t>
  </si>
  <si>
    <t>OC(=O)\C=C\C(O)=O</t>
  </si>
  <si>
    <t>InChI=1S/C4H4O4/c5-3(6)1-2-4(7)8/h1-2H,(H,5,6)(H,7,8)/b2-1+</t>
  </si>
  <si>
    <t>HMDB00134</t>
  </si>
  <si>
    <t>galactonate</t>
  </si>
  <si>
    <t>C6H12O7</t>
  </si>
  <si>
    <t>HMDB00565</t>
  </si>
  <si>
    <t>galacturonate</t>
  </si>
  <si>
    <t>C6H10O7</t>
  </si>
  <si>
    <t>HMDB02545</t>
  </si>
  <si>
    <t>gamma-CEHC</t>
  </si>
  <si>
    <t>C15H20O4</t>
  </si>
  <si>
    <t>O1C(CCC=2C1=C(C(=C(C2)O)C)C)(CCC(=O)O)C</t>
  </si>
  <si>
    <t>InChI=1S/C15H20O4/c1-9-10(2)14-11(8-12(9)16)4-6-15(3,19-14)7-5-13(17)18/h8,16H,4-7H2,1-3H3,(H,17,18)</t>
  </si>
  <si>
    <t>HMDB01931</t>
  </si>
  <si>
    <t>gamma-CEHC sulfate*</t>
  </si>
  <si>
    <t>gamma-glutamyl-alpha-lysine</t>
  </si>
  <si>
    <t>gamma-glutamyl-epsilon-lysine</t>
  </si>
  <si>
    <t>C11H21N3O5</t>
  </si>
  <si>
    <t>O=C(CC[C@H](N)C(O)=O)NCCCC[C@H](N)C(O)=O</t>
  </si>
  <si>
    <t>InChI=1S/C11H21N3O5/c12-7(10(16)17)3-1-2-6-14-9(15)5-4-8(13)11(18)19/h7-8H,1-6,12-13H2,(H,14,15)(H,16,17)(H,18,19)/t7-,8-/m0/s1</t>
  </si>
  <si>
    <t>HMDB03869</t>
  </si>
  <si>
    <t>gamma-glutamylglutamine</t>
  </si>
  <si>
    <t>C10H17N3O6</t>
  </si>
  <si>
    <t>N[C@@H](CCC(=O)N[C@@H](CCC(N)=O)C(O)=O)C(O)=O</t>
  </si>
  <si>
    <t>InChI=1S/C10H17N3O6/c11-5(9(16)17)1-4-8(15)13-6(10(18)19)2-3-7(12)14/h5-6H,1-4,11H2,(H2,12,14)(H,13,15)(H,16,17)(H,18,19)/t5-,6-/m0/s1</t>
  </si>
  <si>
    <t>HMDB11738</t>
  </si>
  <si>
    <t>gamma-glutamylisoleucine*</t>
  </si>
  <si>
    <t>C11H20N2O5</t>
  </si>
  <si>
    <t>CC[C@H](C)[C@H](NC(=O)CC[C@H](N)C(O)=O)C(O)=O</t>
  </si>
  <si>
    <t>InChI=1S/C11H20N2O5/c1-3-6(2)9(11(17)18)13-8(14)5-4-7(12)10(15)16/h6-7,9H,3-5,12H2,1-2H3,(H,13,14)(H,15,16)(H,17,18)/t6-,7-,9-/m0/s1</t>
  </si>
  <si>
    <t>HMDB11170</t>
  </si>
  <si>
    <t>gamma-glutamylleucine</t>
  </si>
  <si>
    <t>CC(C)C[C@H](NC(=O)CC[C@H](N)C(O)=O)C(O)=O</t>
  </si>
  <si>
    <t>InChI=1S/C11H20N2O5/c1-6(2)5-8(11(17)18)13-9(14)4-3-7(12)10(15)16/h6-8H,3-5,12H2,1-2H3,(H,13,14)(H,15,16)(H,17,18)/t7-,8-/m0/s1</t>
  </si>
  <si>
    <t>HMDB11171</t>
  </si>
  <si>
    <t>gamma-glutamylmethionine</t>
  </si>
  <si>
    <t>C10H18N2O5S</t>
  </si>
  <si>
    <t>C(=O)([C@@H](NC(=O)CC[C@@H](C(=O)O)N)CCSC)O</t>
  </si>
  <si>
    <t>InChI=1S/C10H18N2O5S/c1-18-5-4-7(10(16)17)12-8(13)3-2-6(11)9(14)15/h6-7H,2-5,11H2,1H3,(H,12,13)(H,14,15)(H,16,17)/t6-,7-/m0/s1</t>
  </si>
  <si>
    <t>HMDB29155</t>
  </si>
  <si>
    <t>gamma-tocopherol/beta-tocopherol</t>
  </si>
  <si>
    <t>gamma-tocotrienol</t>
  </si>
  <si>
    <t>C28H42O2</t>
  </si>
  <si>
    <t>CC(C)=CCC\C(C)=C\CC\C(C)=C\CC[C@]1(C)CCc2cc(O)c(C)c(C)c2O1</t>
  </si>
  <si>
    <t>InChI=1S/C28H42O2/c1-20(2)11-8-12-21(3)13-9-14-22(4)15-10-17-28(7)18-16-25-19-26(29)23(5)24(6)27(25)30-28/h11,13,15,19,29H,8-10,12,14,16-18H2,1-7H3/b21-13+,22-15+/t28-/m1/s1</t>
  </si>
  <si>
    <t>HMDB12958</t>
  </si>
  <si>
    <t>genistein</t>
  </si>
  <si>
    <t>Oc1ccc(cc1)-c1coc2cc(O)cc(O)c2c1=O</t>
  </si>
  <si>
    <t>InChI=1S/C15H10O5/c16-9-3-1-8(2-4-9)11-7-20-13-6-10(17)5-12(18)14(13)15(11)19/h1-7,16-18H</t>
  </si>
  <si>
    <t>HMDB03217</t>
  </si>
  <si>
    <t>genistein sulfate*</t>
  </si>
  <si>
    <t>gentisate</t>
  </si>
  <si>
    <t>C7H6O4</t>
  </si>
  <si>
    <t>OC(=O)c1cc(O)ccc1O</t>
  </si>
  <si>
    <t>InChI=1S/C7H6O4/c8-4-1-2-6(9)5(3-4)7(10)11/h1-3,8-9H,(H,10,11)</t>
  </si>
  <si>
    <t>HMDB00152</t>
  </si>
  <si>
    <t>gluconate</t>
  </si>
  <si>
    <t>C6H11O7</t>
  </si>
  <si>
    <t>HMDB00625</t>
  </si>
  <si>
    <t>glucosamine 6-sulfate</t>
  </si>
  <si>
    <t>C6H13NO8S</t>
  </si>
  <si>
    <t>[C@@H]1([C@@H]([C@H]([C@@H]([C@H](O1)COS(O)(=O)=O)O)O)N)O</t>
  </si>
  <si>
    <t>InChI=1S/C6H13NO8S/c7-3-5(9)4(8)2(15-6(3)10)1-14-16(11,12)13/h2-6,8-10H,1,7H2,(H,11,12,13)/t2-,3-,4-,5-,6-/m1/s1</t>
  </si>
  <si>
    <t>HMDB00592</t>
  </si>
  <si>
    <t>HMDB00122</t>
  </si>
  <si>
    <t>glucuronate</t>
  </si>
  <si>
    <t>HMDB00127</t>
  </si>
  <si>
    <t>glutamate</t>
  </si>
  <si>
    <t>C5H9NO4</t>
  </si>
  <si>
    <t>NC(CCC(O)=O)C(O)=O</t>
  </si>
  <si>
    <t>InChI=1S/C5H9NO4/c6-3(5(9)10)1-2-4(7)8/h3H,1-2,6H2,(H,7,8)(H,9,10)</t>
  </si>
  <si>
    <t>glutamate, gamma-methyl ester</t>
  </si>
  <si>
    <t>O(C(=O)CCC(N)C(O)=O)C</t>
  </si>
  <si>
    <t>InChI=1S/C6H11NO4/c1-11-5(8)3-2-4(7)6(9)10/h4H,2-3,7H2,1H3,(H,9,10)</t>
  </si>
  <si>
    <t>HMDB61715</t>
  </si>
  <si>
    <t>glutamine</t>
  </si>
  <si>
    <t>NC(CCC(N)=O)C(O)=O</t>
  </si>
  <si>
    <t>InChI=1S/C5H10N2O3/c6-3(5(9)10)1-2-4(7)8/h3H,1-2,6H2,(H2,7,8)(H,9,10)</t>
  </si>
  <si>
    <t>glutaminylleucine</t>
  </si>
  <si>
    <t>C11H21N3O4</t>
  </si>
  <si>
    <t>N[C@H](C(=O)N[C@H](C(=O)O)CC(C)C)CCC(=O)N</t>
  </si>
  <si>
    <t>InChI=1S/C11H21N3O4/c1-6(2)5-8(11(17)18)14-10(16)7(12)3-4-9(13)15/h6-8H,3-5,12H2,1-2H3,(H2,13,15)(H,14,16)(H,17,18)/t7-,8-/m0/s1</t>
  </si>
  <si>
    <t>glutarate (C5-DC)</t>
  </si>
  <si>
    <t>HMDB00661</t>
  </si>
  <si>
    <t>glycerate</t>
  </si>
  <si>
    <t>C3H6O4</t>
  </si>
  <si>
    <t>OCC(O)C(O)=O</t>
  </si>
  <si>
    <t>InChI=1S/C3H6O4/c4-1-2(5)3(6)7/h2,4-5H,1H2,(H,6,7)</t>
  </si>
  <si>
    <t>HMDB00139</t>
  </si>
  <si>
    <t>glycerol</t>
  </si>
  <si>
    <t>C3H8O3</t>
  </si>
  <si>
    <t>OCC(O)CO</t>
  </si>
  <si>
    <t>InChI=1S/C3H8O3/c4-1-3(6)2-5/h3-6H,1-2H2</t>
  </si>
  <si>
    <t>HMDB00131</t>
  </si>
  <si>
    <t>glycerol 3-phosphate</t>
  </si>
  <si>
    <t>C3H9O6P</t>
  </si>
  <si>
    <t>OC[C@@H](O)COP(O)(O)=O</t>
  </si>
  <si>
    <t>InChI=1S/C3H9O6P/c4-1-3(5)2-9-10(6,7)8/h3-5H,1-2H2,(H2,6,7,8)/t3-/m1/s1</t>
  </si>
  <si>
    <t>HMDB00126</t>
  </si>
  <si>
    <t>glycerophosphoethanolamine</t>
  </si>
  <si>
    <t>C7H15NO6PR</t>
  </si>
  <si>
    <t>HMDB00114</t>
  </si>
  <si>
    <t>glycerophosphoglycerol</t>
  </si>
  <si>
    <t>C6H15O8P</t>
  </si>
  <si>
    <t>OCC(O)COP(O)(=O)OCC(O)CO</t>
  </si>
  <si>
    <t>InChI=1S/C6H15O8P/c7-1-5(9)3-13-15(11,12)14-4-6(10)2-8/h5-10H,1-4H2,(H,11,12)</t>
  </si>
  <si>
    <t>glycerophosphoinositol*</t>
  </si>
  <si>
    <t>C19H30NO18PR2</t>
  </si>
  <si>
    <t>glycerophosphorylcholine (GPC)</t>
  </si>
  <si>
    <t>HMDB00086</t>
  </si>
  <si>
    <t>glycerophosphoserine*</t>
  </si>
  <si>
    <t>C8H12NO10PR2</t>
  </si>
  <si>
    <t>glycine</t>
  </si>
  <si>
    <t>C2H5NO2</t>
  </si>
  <si>
    <t>NCC(O)=O</t>
  </si>
  <si>
    <t>InChI=1S/C2H5NO2/c3-1-2(4)5/h1,3H2,(H,4,5)</t>
  </si>
  <si>
    <t>glycitein</t>
  </si>
  <si>
    <t>C16H12O5</t>
  </si>
  <si>
    <t>COc1cc2c(cc1O)occ(-c1ccc(O)cc1)c2=O</t>
  </si>
  <si>
    <t>InChI=1S/C16H12O5/c1-20-15-6-11-14(7-13(15)18)21-8-12(16(11)19)9-2-4-10(17)5-3-9/h2-8,17-18H,1H3</t>
  </si>
  <si>
    <t>HMDB05781</t>
  </si>
  <si>
    <t>glycochenodeoxycholate</t>
  </si>
  <si>
    <t>C26H43NO5</t>
  </si>
  <si>
    <t>[H][C@@]12C[C@H](O)CC[C@]1(C)[C@@]1([H])CC[C@]3(C)[C@]([H])(CC[C@@]3([H])[C@]1([H])[C@H](O)C2)[C@H](C)CCC(=O)NCC(O)=O</t>
  </si>
  <si>
    <t>InChI=1S/C26H43NO5/c1-15(4-7-22(30)27-14-23(31)32)18-5-6-19-24-20(9-11-26(18,19)3)25(2)10-8-17(28)12-16(25)13-21(24)29/h15-21,24,28-29H,4-14H2,1-3H3,(H,27,30)(H,31,32)/t15-,16+,17-,18-,19+,20+,21-,24+,25+,26-/m1/s1</t>
  </si>
  <si>
    <t>HMDB00637</t>
  </si>
  <si>
    <t>glycochenodeoxycholate sulfate</t>
  </si>
  <si>
    <t>C26H43NO8S</t>
  </si>
  <si>
    <t>[H][C@@]12C[C@H](O)CC[C@]1(C)[C@@]1([H])CC[C@]3(C)[C@]([H])(CC[C@@]3([H])[C@]1([H])[C@@H](C2)OS(O)(=O)=O)[C@H](C)CCC(=O)NCC(O)=O</t>
  </si>
  <si>
    <t>InChI=1S/C26H43NO8S/c1-15(4-7-22(29)27-14-23(30)31)18-5-6-19-24-20(9-11-26(18,19)3)25(2)10-8-17(28)12-16(25)13-21(24)35-36(32,33)34/h15-21,24,28H,4-14H2,1-3H3,(H,27,29)(H,30,31)(H,32,33,34)/t15-,16+,17-,18-,19+,20+,21-,24+,25+,26-/m1/s1</t>
  </si>
  <si>
    <t>glycocholate</t>
  </si>
  <si>
    <t>C26H43NO6</t>
  </si>
  <si>
    <t>C[C@H](CCC(=O)NCC(O)=O)[C@H]1CC[C@H]2[C@@H]3[C@H](O)C[C@@H]4C[C@H](O)CC[C@]4(C)[C@H]3C[C@H](O)[C@]12C</t>
  </si>
  <si>
    <t>InChI=1S/C26H43NO6/c1-14(4-7-22(31)27-13-23(32)33)17-5-6-18-24-19(12-21(30)26(17,18)3)25(2)9-8-16(28)10-15(25)11-20(24)29/h14-21,24,28-30H,4-13H2,1-3H3,(H,27,31)(H,32,33)/t14-,15+,16-,17-,18+,19+,20-,21+,24+,25+,26-/m1/s1</t>
  </si>
  <si>
    <t>HMDB00138</t>
  </si>
  <si>
    <t>glycodeoxycholate</t>
  </si>
  <si>
    <t>C1[C@@]2([C@]3(C[C@@H]([C@]4([C@]([C@@]3(CC[C@@]2(C[C@@H](C1)O)[H])[H])(CC[C@@]4([C@@H](CCC(NCC(O)=O)=O)C)[H])[H])C)O)[H])C</t>
  </si>
  <si>
    <t>InChI=1S/C26H43NO5/c1-15(4-9-23(30)27-14-24(31)32)19-7-8-20-18-6-5-16-12-17(28)10-11-25(16,2)21(18)13-22(29)26(19,20)3/h15-22,28-29H,4-14H2,1-3H3,(H,27,30)(H,31,32)/t15-,16-,17-,18+,19-,20+,21+,22+,25+,26-/m1/s1</t>
  </si>
  <si>
    <t>HMDB00631</t>
  </si>
  <si>
    <t>glycohyocholate</t>
  </si>
  <si>
    <t>C(C[C@@H](C)[C@@]1([C@@]2([C@]([C@]3([C@](CC2)([C@@]4([C@@](C[C@@H](CC4)O)([C@H]([C@H]3O)O)[H])C)[H])[H])(CC1)[H])C)[H])C(NCC(O)=O)=O</t>
  </si>
  <si>
    <t>InChI=1S/C26H43NO6/c1-14(4-7-20(29)27-13-21(30)31)16-5-6-17-22-18(9-11-25(16,17)2)26(3)10-8-15(28)12-19(26)23(32)24(22)33/h14-19,22-24,28,32-33H,4-13H2,1-3H3,(H,27,29)(H,30,31)/t14-,15-,16-,17+,18+,19+,22+,23-,24+,25-,26-/m1/s1</t>
  </si>
  <si>
    <t>glycohyodeoxycholate</t>
  </si>
  <si>
    <t>glycosyl ceramide (d18:1/20:0, d16:1/22:0)*</t>
  </si>
  <si>
    <t>glycosyl-N-palmitoyl-sphingosine (d18:1/16:0)</t>
  </si>
  <si>
    <t>glycosyl-N-stearoyl-sphingosine (d18:1/18:0)</t>
  </si>
  <si>
    <t>glycylisoleucine</t>
  </si>
  <si>
    <t>C8H16N2O3</t>
  </si>
  <si>
    <t>CC[C@H](C)[C@H](NC(=O)CN)C(O)=O</t>
  </si>
  <si>
    <t>InChI=1S/C8H16N2O3/c1-3-5(2)7(8(12)13)10-6(11)4-9/h5,7H,3-4,9H2,1-2H3,(H,10,11)(H,12,13)/t5-,7-/m0/s1</t>
  </si>
  <si>
    <t>HMDB28844</t>
  </si>
  <si>
    <t>glycylleucine</t>
  </si>
  <si>
    <t>CC(C)C[C@H](NC(=O)CN)C(O)=O</t>
  </si>
  <si>
    <t>InChI=1S/C8H16N2O3/c1-5(2)3-6(8(12)13)10-7(11)4-9/h5-6H,3-4,9H2,1-2H3,(H,10,11)(H,12,13)/t6-/m0/s1</t>
  </si>
  <si>
    <t>HMDB00759</t>
  </si>
  <si>
    <t>glycylvaline</t>
  </si>
  <si>
    <t>C7H14N2O3</t>
  </si>
  <si>
    <t>CC(C)[C@H](NC(=O)CN)C(O)=O</t>
  </si>
  <si>
    <t>InChI=1S/C7H14N2O3/c1-4(2)6(7(11)12)9-5(10)3-8/h4,6H,3,8H2,1-2H3,(H,9,10)(H,11,12)/t6-/m0/s1</t>
  </si>
  <si>
    <t>guanidinoacetate</t>
  </si>
  <si>
    <t>C3H7N3O2</t>
  </si>
  <si>
    <t>C(CNC(=N)N)(O)=O</t>
  </si>
  <si>
    <t>InChI=1S/C3H7N3O2/c4-3(5)6-1-2(7)8/h1H2,(H,7,8)(H4,4,5,6)</t>
  </si>
  <si>
    <t>HMDB00128</t>
  </si>
  <si>
    <t>guanidinosuccinate</t>
  </si>
  <si>
    <t>C5H9N3O4</t>
  </si>
  <si>
    <t>NC(=N)N[C@@H](CC(O)=O)C(O)=O</t>
  </si>
  <si>
    <t>InChI=1S/C5H9N3O4/c6-5(7)8-2(4(11)12)1-3(9)10/h2H,1H2,(H,9,10)(H,11,12)(H4,6,7,8)/t2-/m0/s1</t>
  </si>
  <si>
    <t>HMDB03157</t>
  </si>
  <si>
    <t>guanine</t>
  </si>
  <si>
    <t>C5H5N5O</t>
  </si>
  <si>
    <t>C12=C(N=C(NC1=O)N)NC=N2</t>
  </si>
  <si>
    <t>InChI=1S/C5H5N5O/c6-5-9-3-2(4(11)10-5)7-1-8-3/h1H,(H4,6,7,8,9,10,11)</t>
  </si>
  <si>
    <t>HMDB00132</t>
  </si>
  <si>
    <t>guanosine</t>
  </si>
  <si>
    <t>C10H13N5O5</t>
  </si>
  <si>
    <t>Nc1nc2n(cnc2c(=O)[nH]1)[C@@H]1O[C@H](CO)[C@@H](O)[C@H]1O</t>
  </si>
  <si>
    <t>InChI=1S/C10H13N5O5/c11-10-13-7-4(8(19)14-10)12-2-15(7)9-6(18)5(17)3(1-16)20-9/h2-3,5-6,9,16-18H,1H2,(H3,11,13,14,19)/t3-,5-,6-,9-/m1/s1</t>
  </si>
  <si>
    <t>HMDB00133</t>
  </si>
  <si>
    <t>gulonate*</t>
  </si>
  <si>
    <t>HMDB03290</t>
  </si>
  <si>
    <t>heme</t>
  </si>
  <si>
    <t>C49H56FeN4O6</t>
  </si>
  <si>
    <t>HMDB03178</t>
  </si>
  <si>
    <t>heneicosapentaenoate (21:5n3)</t>
  </si>
  <si>
    <t>heptadecasphingosine (d17:1)</t>
  </si>
  <si>
    <t>heptadecenamide (17:1)*</t>
  </si>
  <si>
    <t>heptanoate (7:0)</t>
  </si>
  <si>
    <t>HMDB00666</t>
  </si>
  <si>
    <t>hesperetin</t>
  </si>
  <si>
    <t>C16H14O6</t>
  </si>
  <si>
    <t>COc1ccc(cc1O)[C@@H]1CC(=O)c2c(O)cc(O)cc2O1</t>
  </si>
  <si>
    <t>InChI=1S/C16H14O6/c1-21-13-3-2-8(4-10(13)18)14-7-12(20)16-11(19)5-9(17)6-15(16)22-14/h2-6,14,17-19H,7H2,1H3/t14-/m0/s1</t>
  </si>
  <si>
    <t>HMDB05782</t>
  </si>
  <si>
    <t>hesperidin (hesperetin 7-rutinoside)</t>
  </si>
  <si>
    <t>HMDB03265</t>
  </si>
  <si>
    <t>hexadecadienoate (16:2n6)</t>
  </si>
  <si>
    <t>HMDB00477</t>
  </si>
  <si>
    <t>hexadecanedioate (C16-DC)</t>
  </si>
  <si>
    <t>HMDB00672</t>
  </si>
  <si>
    <t>hexadecasphinganine (d16:0)*</t>
  </si>
  <si>
    <t>hexadecasphingosine (d16:1)*</t>
  </si>
  <si>
    <t>hexadecatrienoate (16:3n3)</t>
  </si>
  <si>
    <t>hexadecenedioate (C16:1-DC)*</t>
  </si>
  <si>
    <t>hexanoylglycine</t>
  </si>
  <si>
    <t>C8H15NO3</t>
  </si>
  <si>
    <t>CCCCCC(=O)NCC(O)=O</t>
  </si>
  <si>
    <t>InChI=1S/C8H15NO3/c1-2-3-4-5-7(10)9-6-8(11)12/h2-6H2,1H3,(H,9,10)(H,11,12)</t>
  </si>
  <si>
    <t>HMDB00701</t>
  </si>
  <si>
    <t>hippurate</t>
  </si>
  <si>
    <t>C9H10N2O3</t>
  </si>
  <si>
    <t>HMDB00714</t>
  </si>
  <si>
    <t>histamine</t>
  </si>
  <si>
    <t>C5H9N3</t>
  </si>
  <si>
    <t>NCCc1c[nH]cn1</t>
  </si>
  <si>
    <t>InChI=1S/C5H9N3/c6-2-1-5-3-7-4-8-5/h3-4H,1-2,6H2,(H,7,8)</t>
  </si>
  <si>
    <t>HMDB00870</t>
  </si>
  <si>
    <t>histidine</t>
  </si>
  <si>
    <t>C6H9N3O2</t>
  </si>
  <si>
    <t>NC(Cc1c[nH]cn1)C(O)=O</t>
  </si>
  <si>
    <t>InChI=1S/C6H9N3O2/c7-5(6(10)11)1-4-2-8-3-9-4/h2-3,5H,1,7H2,(H,8,9)(H,10,11)</t>
  </si>
  <si>
    <t>histidine betaine (hercynine)*</t>
  </si>
  <si>
    <t>histidylalanine</t>
  </si>
  <si>
    <t>C[C@H](NC(=O)[C@@H](N)Cc1c[nH]cn1)C(O)=O</t>
  </si>
  <si>
    <t>InChI=1S/C9H14N4O3/c1-5(9(15)16)13-8(14)7(10)2-6-3-11-4-12-6/h3-5,7H,2,10H2,1H3,(H,11,12)(H,13,14)(H,15,16)/t5-,7-/m0/s1</t>
  </si>
  <si>
    <t>HMDB28878</t>
  </si>
  <si>
    <t>homoarginine</t>
  </si>
  <si>
    <t>C7H16N4O2</t>
  </si>
  <si>
    <t>N[C@@H](CCCCNC(N)=N)C(O)=O</t>
  </si>
  <si>
    <t>InChI=1S/C7H16N4O2/c8-5(6(12)13)3-1-2-4-11-7(9)10/h5H,1-4,8H2,(H,12,13)(H4,9,10,11)/t5-/m0/s1</t>
  </si>
  <si>
    <t>HMDB00670</t>
  </si>
  <si>
    <t>homocitrulline</t>
  </si>
  <si>
    <t>C7H15N3O3</t>
  </si>
  <si>
    <t>NC(=O)NCCCC[C@H]([NH3+])C([O-])=O</t>
  </si>
  <si>
    <t>InChI=1S/C7H15N3O3/c8-5(6(11)12)3-1-2-4-10-7(9)13/h5H,1-4,8H2,(H,11,12)(H3,9,10,13)/t5-/m0/s1</t>
  </si>
  <si>
    <t>HMDB00679</t>
  </si>
  <si>
    <t>homogentisate</t>
  </si>
  <si>
    <t>OC(=O)Cc1cc(O)ccc1O</t>
  </si>
  <si>
    <t>InChI=1S/C8H8O4/c9-6-1-2-7(10)5(3-6)4-8(11)12/h1-3,9-10H,4H2,(H,11,12)</t>
  </si>
  <si>
    <t>HMDB00130</t>
  </si>
  <si>
    <t>homoserine</t>
  </si>
  <si>
    <t>NC(CCO)C(O)=O</t>
  </si>
  <si>
    <t>InChI=1S/C4H9NO3/c5-3(1-2-6)4(7)8/h3,6H,1-2,5H2,(H,7,8)</t>
  </si>
  <si>
    <t>hydroxymethylpyrimidine</t>
  </si>
  <si>
    <t>C6H9N3O</t>
  </si>
  <si>
    <t>Cc1ncc(CO)c(N)n1</t>
  </si>
  <si>
    <t>InChI=1S/C6H9N3O/c1-4-8-2-5(3-10)6(7)9-4/h2,10H,3H2,1H3,(H2,7,8,9)</t>
  </si>
  <si>
    <t>trans-4-hydroxyproline</t>
  </si>
  <si>
    <t>C5H9NO3</t>
  </si>
  <si>
    <t>[C@H]1(C[C@@H](O)CN1)C(O)=O</t>
  </si>
  <si>
    <t>InChI=1S/C5H9NO3/c7-3-1-4(5(8)9)6-2-3/h3-4,6-7H,1-2H2,(H,8,9)/t3-,4+/m1/s1</t>
  </si>
  <si>
    <t>hyocholate</t>
  </si>
  <si>
    <t>C1[C@@]2([C@]3(CC[C@]4([C@]([C@@]3([C@@H]([C@@H]([C@@]2(C[C@@H](C1)O)[H])O)O)[H])(CC[C@]4([H])[C@@H](CCC(O)=O)C)[H])C)[H])C</t>
  </si>
  <si>
    <t>InChI=1S/C24H40O5/c1-13(4-7-19(26)27)15-5-6-16-20-17(9-11-23(15,16)2)24(3)10-8-14(25)12-18(24)21(28)22(20)29/h13-18,20-22,25,28-29H,4-12H2,1-3H3,(H,26,27)/t13-,14-,15-,16+,17+,18+,20+,21-,22+,23-,24-/m1/s1</t>
  </si>
  <si>
    <t>HMDB00760</t>
  </si>
  <si>
    <t>hypoxanthine</t>
  </si>
  <si>
    <t>C5H4N4O</t>
  </si>
  <si>
    <t>O=c1[nH]cnc2nc[nH]c12</t>
  </si>
  <si>
    <t>InChI=1S/C5H4N4O/c10-5-3-4(7-1-6-3)8-2-9-5/h1-2H,(H2,6,7,8,9,10)</t>
  </si>
  <si>
    <t>imidazole lactate</t>
  </si>
  <si>
    <t>C6H8N2O3</t>
  </si>
  <si>
    <t>C=1N=CNC1CC(C(=O)O)O</t>
  </si>
  <si>
    <t>InChI=1S/C6H8N2O3/c9-5(6(10)11)1-4-2-7-3-8-4/h2-3,5,9H,1H2,(H,7,8)(H,10,11)</t>
  </si>
  <si>
    <t>HMDB02320</t>
  </si>
  <si>
    <t>imidazole propionate</t>
  </si>
  <si>
    <t>N1=CNC=C1CCC(O)=O</t>
  </si>
  <si>
    <t>InChI=1S/C6H8N2O2/c9-6(10)2-1-5-3-7-4-8-5/h3-4H,1-2H2,(H,7,8)(H,9,10)</t>
  </si>
  <si>
    <t>HMDB02271</t>
  </si>
  <si>
    <t>indole-3-carboxylic acid</t>
  </si>
  <si>
    <t>C9H7NO2</t>
  </si>
  <si>
    <t>OC(=O)c1c[nH]c2ccccc12</t>
  </si>
  <si>
    <t>InChI=1S/C9H7NO2/c11-9(12)7-5-10-8-4-2-1-3-6(7)8/h1-5,10H,(H,11,12)</t>
  </si>
  <si>
    <t>indoleacetate</t>
  </si>
  <si>
    <t>C10H9NO2</t>
  </si>
  <si>
    <t>OC(=O)Cc1c[nH]c2ccccc12</t>
  </si>
  <si>
    <t>InChI=1S/C10H9NO2/c12-10(13)5-7-6-11-9-4-2-1-3-8(7)9/h1-4,6,11H,5H2,(H,12,13)</t>
  </si>
  <si>
    <t>HMDB00197</t>
  </si>
  <si>
    <t>indoleacetylglycine</t>
  </si>
  <si>
    <t>indoleacrylate</t>
  </si>
  <si>
    <t>HMDB00734</t>
  </si>
  <si>
    <t>indolelactate</t>
  </si>
  <si>
    <t>OC(Cc1c[nH]c2ccccc12)C(O)=O</t>
  </si>
  <si>
    <t>InChI=1S/C11H11NO3/c13-10(11(14)15)5-7-6-12-9-4-2-1-3-8(7)9/h1-4,6,10,12-13H,5H2,(H,14,15)</t>
  </si>
  <si>
    <t>HMDB00671</t>
  </si>
  <si>
    <t>indolepropionate</t>
  </si>
  <si>
    <t>C11H11NO2</t>
  </si>
  <si>
    <t>OC(=O)CCc1c[nH]c2ccccc12</t>
  </si>
  <si>
    <t>InChI=1S/C11H11NO2/c13-11(14)6-5-8-7-12-10-4-2-1-3-9(8)10/h1-4,7,12H,5-6H2,(H,13,14)</t>
  </si>
  <si>
    <t>HMDB02302</t>
  </si>
  <si>
    <t>indolin-2-one</t>
  </si>
  <si>
    <t>C8H7NO</t>
  </si>
  <si>
    <t>O=C1Cc2ccccc2N1</t>
  </si>
  <si>
    <t>InChI=1S/C8H7NO/c10-8-5-6-3-1-2-4-7(6)9-8/h1-4H,5H2,(H,9,10)</t>
  </si>
  <si>
    <t>inosine</t>
  </si>
  <si>
    <t>C10H12N4O5</t>
  </si>
  <si>
    <t>OC[C@H]1O[C@H]([C@H](O)[C@@H]1O)n1cnc2c(O)ncnc12</t>
  </si>
  <si>
    <t>InChI=1S/C10H12N4O5/c15-1-4-6(16)7(17)10(19-4)14-3-13-5-8(14)11-2-12-9(5)18/h2-4,6-7,10,15-17H,1H2,(H,11,12,18)/t4-,6-,7-,10-/m1/s1</t>
  </si>
  <si>
    <t>isobutyrylglycine</t>
  </si>
  <si>
    <t>CC(C)C(=O)NCC(O)=O</t>
  </si>
  <si>
    <t>InChI=1S/C6H11NO3/c1-4(2)6(10)7-3-5(8)9/h4H,3H2,1-2H3,(H,7,10)(H,8,9)</t>
  </si>
  <si>
    <t>HMDB00730</t>
  </si>
  <si>
    <t>isocaproate (i6:0)</t>
  </si>
  <si>
    <t>HMDB00689</t>
  </si>
  <si>
    <t>isohyodeoxycholate</t>
  </si>
  <si>
    <t>O[C@@H]1[C@]2([C@@]([C@@]3([C@]([C@]4([C@@]([C@](CC4)([C@@H](CCC(O)=O)C)[H])(CC3)C)[H])(C1)[H])[H])(CC[C@H](O)C2)C)[H]</t>
  </si>
  <si>
    <t>InChI=1S/C24H40O4/c1-14(4-7-22(27)28)17-5-6-18-16-13-21(26)20-12-15(25)8-10-24(20,3)19(16)9-11-23(17,18)2/h14-21,25-26H,4-13H2,1-3H3,(H,27,28)/t14-,15+,16+,17-,18+,19+,20+,21+,23-,24-/m1/s1</t>
  </si>
  <si>
    <t>HMDB00664</t>
  </si>
  <si>
    <t>isoleucine</t>
  </si>
  <si>
    <t>C6H13NO2</t>
  </si>
  <si>
    <t>isoleucylglycine</t>
  </si>
  <si>
    <t>CC[C@H](C)[C@H](N)C(=O)NCC(O)=O</t>
  </si>
  <si>
    <t>InChI=1S/C8H16N2O3/c1-3-5(2)7(9)8(13)10-4-6(11)12/h5,7H,3-4,9H2,1-2H3,(H,10,13)(H,11,12)/t5-,7-/m0/s1</t>
  </si>
  <si>
    <t>HMDB28907</t>
  </si>
  <si>
    <t>isopimaric acid</t>
  </si>
  <si>
    <t>C20H30O2</t>
  </si>
  <si>
    <t>[H][C@]12CC[C@@](C)(CC1=CC[C@@]1([H])[C@@](C)(CCC[C@]21C)C(O)=O)C=C</t>
  </si>
  <si>
    <t>InChI=1S/C20H30O2/c1-5-18(2)12-9-15-14(13-18)7-8-16-19(15,3)10-6-11-20(16,4)17(21)22/h5,7,15-16H,1,6,8-13H2,2-4H3,(H,21,22)/t15-,16+,18-,19+,20+/m0/s1</t>
  </si>
  <si>
    <t>HMDB36811</t>
  </si>
  <si>
    <t>isoursodeoxycholate</t>
  </si>
  <si>
    <t>[H][C@@]12C[C@@H](O)CC[C@]1(C)[C@@]1([H])CC[C@]3(C)[C@]([H])(CC[C@@]3([H])[C@]1([H])[C@@H](O)C2)[C@H](C)CCC(O)=O</t>
  </si>
  <si>
    <t>InChI=1S/C24H40O4/c1-14(4-7-21(27)28)17-5-6-18-22-19(9-11-24(17,18)3)23(2)10-8-16(25)12-15(23)13-20(22)26/h14-20,22,25-26H,4-13H2,1-3H3,(H,27,28)/t14-,15+,16+,17-,18+,19+,20+,22+,23+,24-/m1/s1</t>
  </si>
  <si>
    <t>HMDB00686</t>
  </si>
  <si>
    <t>isovalerate (i5:0)</t>
  </si>
  <si>
    <t>HMDB00718</t>
  </si>
  <si>
    <t>isovalerylcarnitine (C5)</t>
  </si>
  <si>
    <t>HMDB00688</t>
  </si>
  <si>
    <t>isovalerylglycine</t>
  </si>
  <si>
    <t>CC(C)CC(=O)NCC(O)=O</t>
  </si>
  <si>
    <t>InChI=1S/C7H13NO3/c1-5(2)3-6(9)8-4-7(10)11/h5H,3-4H2,1-2H3,(H,8,9)(H,10,11)</t>
  </si>
  <si>
    <t>HMDB00678</t>
  </si>
  <si>
    <t>isovalerylphenylalanine*</t>
  </si>
  <si>
    <t>I-urobilinogen</t>
  </si>
  <si>
    <t>C33H44N4O6</t>
  </si>
  <si>
    <t>CCC1=C(C)C(=O)NC1Cc1[nH]c(Cc2[nH]c(CC3NC(=O)C(CC)=C3C)c(C)c2CCC(O)=O)c(CCC(O)=O)c1C</t>
  </si>
  <si>
    <t>InChI=1S/C33H44N4O6/c1-7-20-19(6)32(42)37-27(20)14-25-18(5)23(10-12-31(40)41)29(35-25)15-28-22(9-11-30(38)39)17(4)24(34-28)13-26-16(3)21(8-2)33(43)36-26/h26-27,34-35H,7-15H2,1-6H3,(H,36,43)(H,37,42)(H,38,39)(H,40,41)</t>
  </si>
  <si>
    <t>HMDB04157</t>
  </si>
  <si>
    <t>kaempferin (kaempferol 3-O-rhamnoside)</t>
  </si>
  <si>
    <t>kynurenate</t>
  </si>
  <si>
    <t>C10H7NO3</t>
  </si>
  <si>
    <t>OC(=O)c1cc(O)c2ccccc2n1</t>
  </si>
  <si>
    <t>InChI=1S/C10H7NO3/c12-9-5-8(10(13)14)11-7-4-2-1-3-6(7)9/h1-5H,(H,11,12)(H,13,14)</t>
  </si>
  <si>
    <t>HMDB00715</t>
  </si>
  <si>
    <t>kynurenine</t>
  </si>
  <si>
    <t>C10H12N2O3</t>
  </si>
  <si>
    <t>NC(CC(=O)c1ccccc1N)C(O)=O</t>
  </si>
  <si>
    <t>InChI=1S/C10H12N2O3/c11-7-4-2-1-3-6(7)9(13)5-8(12)10(14)15/h1-4,8H,5,11-12H2,(H,14,15)</t>
  </si>
  <si>
    <t>lactate</t>
  </si>
  <si>
    <t>CC(O)C(O)=O</t>
  </si>
  <si>
    <t>InChI=1S/C3H6O3/c1-2(4)3(5)6/h2,4H,1H3,(H,5,6)</t>
  </si>
  <si>
    <t>HMDB00190</t>
  </si>
  <si>
    <t>lactose</t>
  </si>
  <si>
    <t>C12H22O11</t>
  </si>
  <si>
    <t>OC[C@H]1O[C@@H](O[C@H]2[C@H](O)[C@@H](O)C(O)O[C@@H]2CO)[C@H](O)[C@@H](O)[C@H]1O</t>
  </si>
  <si>
    <t>InChI=1S/C12H22O11/c13-1-3-5(15)6(16)9(19)12(22-3)23-10-4(2-14)21-11(20)8(18)7(10)17/h3-20H,1-2H2/t3-,4-,5+,6+,7-,8-,9-,10-,11?,12+/m1/s1</t>
  </si>
  <si>
    <t>HMDB00186</t>
  </si>
  <si>
    <t>lactosyl-N-palmitoyl-sphingosine (d18:1/16:0)</t>
  </si>
  <si>
    <t>LAHSA (18:2/OH-18:0)*</t>
  </si>
  <si>
    <t>lanosterol</t>
  </si>
  <si>
    <t>C30H50O</t>
  </si>
  <si>
    <t>C[C@H](CCC=C(C)C)[C@H]1CC[C@@]2(C)C3=C(CC[C@]12C)[C@@]1(C)CC[C@H](O)C(C)(C)[C@@H]1CC3</t>
  </si>
  <si>
    <t>InChI=1S/C30H50O/c1-20(2)10-9-11-21(3)22-14-18-30(8)24-12-13-25-27(4,5)26(31)16-17-28(25,6)23(24)15-19-29(22,30)7/h10,21-22,25-26,31H,9,11-19H2,1-8H3/t21-,22-,25+,26+,28-,29-,30+/m1/s1</t>
  </si>
  <si>
    <t>HMDB01251</t>
  </si>
  <si>
    <t>laurate (12:0)</t>
  </si>
  <si>
    <t>HMDB00638</t>
  </si>
  <si>
    <t>laurylcarnitine (C12)</t>
  </si>
  <si>
    <t>HMDB02250</t>
  </si>
  <si>
    <t>leucine</t>
  </si>
  <si>
    <t>CC(C)CC(N)C(O)=O</t>
  </si>
  <si>
    <t>InChI=1S/C6H13NO2/c1-4(2)3-5(7)6(8)9/h4-5H,3,7H2,1-2H3,(H,8,9)</t>
  </si>
  <si>
    <t>leucylalanine</t>
  </si>
  <si>
    <t>CC(C)C[C@H](N)C(=O)N[C@@H](C)C(O)=O</t>
  </si>
  <si>
    <t>InChI=1S/C9H18N2O3/c1-5(2)4-7(10)8(12)11-6(3)9(13)14/h5-7H,4,10H2,1-3H3,(H,11,12)(H,13,14)/t6-,7-/m0/s1</t>
  </si>
  <si>
    <t>HMDB28922</t>
  </si>
  <si>
    <t>leucylglutamine*</t>
  </si>
  <si>
    <t>HMDB28927</t>
  </si>
  <si>
    <t>leucylglycine</t>
  </si>
  <si>
    <t>CC(C)C[C@H](N)C(=O)NCC(O)=O</t>
  </si>
  <si>
    <t>InChI=1S/C8H16N2O3/c1-5(2)3-6(9)8(13)10-4-7(11)12/h5-6H,3-4,9H2,1-2H3,(H,10,13)(H,11,12)/t6-/m0/s1</t>
  </si>
  <si>
    <t>HMDB28929</t>
  </si>
  <si>
    <t>levulinate (4-oxovalerate)</t>
  </si>
  <si>
    <t>HMDB00720</t>
  </si>
  <si>
    <t>lignoceroyl ethanolamide (24:0)*</t>
  </si>
  <si>
    <t>lignoceroyl sphingomyelin (d18:1/24:0)</t>
  </si>
  <si>
    <t>lignoceroylcarnitine (C24)*</t>
  </si>
  <si>
    <t>linoleamide (18:2n6)</t>
  </si>
  <si>
    <t>linoleate (18:2n6)</t>
  </si>
  <si>
    <t>HMDB00673</t>
  </si>
  <si>
    <t>linolenate [alpha or gamma; (18:3n3 or 6)]</t>
  </si>
  <si>
    <t>HMDB03073</t>
  </si>
  <si>
    <t>linolenoylcarnitine (C18:3)*</t>
  </si>
  <si>
    <t>linolenoyl-linolenoyl-glycerol (18:3/18:3) [1]*</t>
  </si>
  <si>
    <t>HMDB07278</t>
  </si>
  <si>
    <t>linolenoyl-linolenoyl-glycerol (18:3/18:3) [2]*</t>
  </si>
  <si>
    <t>linoleoyl ethanolamide</t>
  </si>
  <si>
    <t>C20H37NO2</t>
  </si>
  <si>
    <t>CCCCC\C=C/C\C=C/CCCCCCCC(=O)NCCO</t>
  </si>
  <si>
    <t>InChI=1S/C20H37NO2/c1-2-3-4-5-6-7-8-9-10-11-12-13-14-15-16-17-20(23)21-18-19-22/h6-7,9-10,22H,2-5,8,11-19H2,1H3,(H,21,23)/b7-6-,10-9-</t>
  </si>
  <si>
    <t>HMDB12252</t>
  </si>
  <si>
    <t>linoleoyl-arachidonoyl-glycerol (18:2/20:4) [2]*</t>
  </si>
  <si>
    <t>HMDB07257</t>
  </si>
  <si>
    <t>linoleoylcarnitine (C18:2)*</t>
  </si>
  <si>
    <t>HMDB06469</t>
  </si>
  <si>
    <t>linoleoyl-linolenoyl-glycerol (18:2/18:3) [1]*</t>
  </si>
  <si>
    <t>HMDB07249</t>
  </si>
  <si>
    <t>linoleoyl-linolenoyl-glycerol (18:2/18:3) [2]*</t>
  </si>
  <si>
    <t>HMDB07250</t>
  </si>
  <si>
    <t>linoleoyl-linoleoyl-glycerol (18:2/18:2) [1]*</t>
  </si>
  <si>
    <t>HMDB07248</t>
  </si>
  <si>
    <t>linoleoyl-linoleoyl-glycerol (18:2/18:2) [2]*</t>
  </si>
  <si>
    <t>lithocholate</t>
  </si>
  <si>
    <t>C24H40O3</t>
  </si>
  <si>
    <t>[H][C@]12CC[C@]3([H])[C@]([H])(CC[C@]4(C)[C@]([H])(CC[C@@]34[H])[C@H](C)CCC(O)=O)[C@@]1(C)CC[C@@H](O)C2</t>
  </si>
  <si>
    <t>InChI=1S/C24H40O3/c1-15(4-9-22(26)27)19-7-8-20-18-6-5-16-14-17(25)10-12-23(16,2)21(18)11-13-24(19,20)3/h15-21,25H,4-14H2,1-3H3,(H,26,27)/t15-,16-,17-,18+,19-,20+,21+,23+,24-/m1/s1</t>
  </si>
  <si>
    <t>HMDB00761</t>
  </si>
  <si>
    <t>lithocholic acid sulfate (2)</t>
  </si>
  <si>
    <t>C26H45NO8S2</t>
  </si>
  <si>
    <t>[H][C@]12CC[C@@]3([H])[C@]4([H])CC[C@]([H])([C@H](C)CCC(=O)NCCS(O)(=O)=O)[C@@]4(C)CC[C@]3([H])[C@@]1(C)CC[C@H](C2)OS(O)(=O)=O</t>
  </si>
  <si>
    <t>InChI=1S/C26H45NO8S2/c1-17(4-9-24(28)27-14-15-36(29,30)31)21-7-8-22-20-6-5-18-16-19(35-37(32,33)34)10-12-25(18,2)23(20)11-13-26(21,22)3/h17-23H,4-16H2,1-3H3,(H,27,28)(H,29,30,31)(H,32,33,34)/t17-,18-,19-,20+,21-,22+,23+,25+,26-/m1/s1</t>
  </si>
  <si>
    <t>L-urobilin</t>
  </si>
  <si>
    <t>C33H46N4O6</t>
  </si>
  <si>
    <t>CC[C@H]1[C@H](Cc2[nH]c(\C=C3/N=C(C[C@@H]4NC(=O)[C@H](CC)[C@H]4C)C(C)=C/3CCC(O)=O)c(CCC(O)=O)c2C)NC(=O)[C@@H]1C</t>
  </si>
  <si>
    <t>InChI=1S/C33H46N4O6/c1-7-20-19(6)32(42)37-27(20)14-25-18(5)23(10-12-31(40)41)29(35-25)15-28-22(9-11-30(38)39)17(4)24(34-28)13-26-16(3)21(8-2)33(43)36-26/h15-16,19-21,26-27,35H,7-14H2,1-6H3,(H,36,43)(H,37,42)(H,38,39)(H,40,41)/b28-15-/t16-,19-,20-,21-,26+,27+/m1/s1</t>
  </si>
  <si>
    <t>HMDB04159</t>
  </si>
  <si>
    <t>lysine</t>
  </si>
  <si>
    <t>C6H14N2O2</t>
  </si>
  <si>
    <t>NCCCCC(N)C(O)=O</t>
  </si>
  <si>
    <t>InChI=1S/C6H14N2O2/c7-4-2-1-3-5(8)6(9)10/h5H,1-4,7-8H2,(H,9,10)</t>
  </si>
  <si>
    <t>lysylleucine</t>
  </si>
  <si>
    <t>C12H25N3O3</t>
  </si>
  <si>
    <t>CC(C)C[C@H](NC(=O)[C@@H](N)CCCCN)C(O)=O</t>
  </si>
  <si>
    <t>InChI=1S/C12H25N3O3/c1-8(2)7-10(12(17)18)15-11(16)9(14)5-3-4-6-13/h8-10H,3-7,13-14H2,1-2H3,(H,15,16)(H,17,18)/t9-,10-/m0/s1</t>
  </si>
  <si>
    <t>HMDB28955</t>
  </si>
  <si>
    <t>malate</t>
  </si>
  <si>
    <t>C4H6O5</t>
  </si>
  <si>
    <t>OC(CC(O)=O)C(O)=O</t>
  </si>
  <si>
    <t>InChI=1S/C4H6O5/c5-2(4(8)9)1-3(6)7/h2,5H,1H2,(H,6,7)(H,8,9)</t>
  </si>
  <si>
    <t>HMDB00156</t>
  </si>
  <si>
    <t>malonate</t>
  </si>
  <si>
    <t>HMDB00691</t>
  </si>
  <si>
    <t>malonylgenistin</t>
  </si>
  <si>
    <t>C24H22O13</t>
  </si>
  <si>
    <t>O[C@@H]1[C@@H](COC(=O)CC(O)=O)O[C@@H](Oc2cc(O)c3c(c2)occ(-c2ccc(O)cc2)c3=O)[C@H](O)[C@H]1O</t>
  </si>
  <si>
    <t>InChI=1S/C24H22O13/c25-11-3-1-10(2-4-11)13-8-34-15-6-12(5-14(26)19(15)20(13)30)36-24-23(33)22(32)21(31)16(37-24)9-35-18(29)7-17(27)28/h1-6,8,16,21-26,31-33H,7,9H2,(H,27,28)/t16-,21-,22+,23-,24-/m1/s1</t>
  </si>
  <si>
    <t>maltohexaose</t>
  </si>
  <si>
    <t>C36H62O31</t>
  </si>
  <si>
    <t>OC[C@@H](O)[C@@H](O[C@H]1O[C@H](CO)[C@@H](O[C@H]2O[C@H](CO)[C@@H](O[C@H]3O[C@H](CO)[C@@H](O[C@H]4O[C@H](CO)[C@@H](O[C@H]5O[C@H](CO)[C@@H](O)[C@H](O)[C@H]5O)[C@H](O)[C@H]4O)[C@H](O)[C@H]3O)[C@H](O)[C@H]2O)[C@H](O)[C@H]1O)[C@H](O)[C@@H](O)C=O</t>
  </si>
  <si>
    <t>InChI=1S/C36H62O31/c37-1-8(44)15(46)27(9(45)2-38)63-33-23(54)18(49)29(11(4-40)59-33)65-35-25(56)20(51)31(13(6-42)61-35)67-36-26(57)21(52)30(14(7-43)62-36)66-34-24(55)19(50)28(12(5-41)60-34)64-32-22(53)17(48)16(47)10(3-39)58-32/h1,8-36,38-57H,2-7H2/t8-,9+,10+,11+,12+,13+,14+,15+,16+,17-,18+,19+,20+,21+,22+,23+,24+,25+,26+,27+,28+,29+,30+,31+,32+,33+,34+,35+,36+/m0/s1</t>
  </si>
  <si>
    <t>HMDB12253</t>
  </si>
  <si>
    <t>maltol</t>
  </si>
  <si>
    <t>C6H6O3</t>
  </si>
  <si>
    <t>C1(=C(C(C=CO1)=O)O)C</t>
  </si>
  <si>
    <t>InChI=1S/C6H6O3/c1-4-6(8)5(7)2-3-9-4/h2-3,8H,1H3</t>
  </si>
  <si>
    <t>HMDB30776</t>
  </si>
  <si>
    <t>maltose</t>
  </si>
  <si>
    <t>OC[C@H]1O[C@H](O[C@@H]2[C@@H](CO)OC(O)[C@H](O)[C@H]2O)[C@H](O)[C@@H](O)[C@@H]1O</t>
  </si>
  <si>
    <t>InChI=1S/C12H22O11/c13-1-3-5(15)6(16)9(19)12(22-3)23-10-4(2-14)21-11(20)8(18)7(10)17/h3-20H,1-2H2/t3-,4-,5-,6+,7-,8-,9-,10-,11?,12-/m1/s1</t>
  </si>
  <si>
    <t>HMDB00163</t>
  </si>
  <si>
    <t>maltotetraose</t>
  </si>
  <si>
    <t>C24H42O21</t>
  </si>
  <si>
    <t>OC[C@@H](O)[C@@H](O[C@H]1O[C@H](CO)[C@@H](O[C@H]2O[C@H](CO)[C@@H](O[C@H]3O[C@H](CO)[C@@H](O)[C@H](O)[C@H]3O)[C@H](O)[C@H]2O)[C@H](O)[C@H]1O)[C@H](O)[C@@H](O)C=O</t>
  </si>
  <si>
    <t>InChI=1S/C24H42O21/c25-1-6(30)11(32)19(7(31)2-26)43-23-17(38)14(35)21(9(4-28)41-23)45-24-18(39)15(36)20(10(5-29)42-24)44-22-16(37)13(34)12(33)8(3-27)40-22/h1,6-24,26-39H,2-5H2/t6-,7+,8+,9+,10+,11+,12+,13-,14+,15+,16+,17+,18+,19+,20+,21+,22+,23+,24+/m0/s1</t>
  </si>
  <si>
    <t>HMDB01296</t>
  </si>
  <si>
    <t>maltotriose</t>
  </si>
  <si>
    <t>C18H32O16</t>
  </si>
  <si>
    <t>OC[C@@H](O)[C@@H](O[C@H]1O[C@H](CO)[C@@H](O[C@H]2O[C@H](CO)[C@@H](O)[C@H](O)[C@H]2O)[C@H](O)[C@H]1O)[C@H](O)[C@@H](O)C=O</t>
  </si>
  <si>
    <t>InChI=1S/C18H32O16/c19-1-5(23)9(25)15(6(24)2-20)33-18-14(30)12(28)16(8(4-22)32-18)34-17-13(29)11(27)10(26)7(3-21)31-17/h1,5-18,20-30H,2-4H2/t5-,6+,7+,8+,9+,10+,11-,12+,13+,14+,15+,16+,17+,18+/m0/s1</t>
  </si>
  <si>
    <t>HMDB01262</t>
  </si>
  <si>
    <t>mannitol/sorbitol</t>
  </si>
  <si>
    <t>C6H14O6</t>
  </si>
  <si>
    <t>OC[C@H](O)[C@@H](O)[C@H](O)[C@H](O)CO</t>
  </si>
  <si>
    <t>InChI=1S/C6H14O6/c7-1-3(9)5(11)6(12)4(10)2-8/h3-12H,1-2H2/t3-,4+,5-,6-/m1/s1</t>
  </si>
  <si>
    <t>HMDB00247</t>
  </si>
  <si>
    <t>mannose</t>
  </si>
  <si>
    <t>HMDB00169</t>
  </si>
  <si>
    <t>margarate (17:0)</t>
  </si>
  <si>
    <t>HMDB02259</t>
  </si>
  <si>
    <t>margaroyl ethanolamide*</t>
  </si>
  <si>
    <t>mead acid (20:3n9)</t>
  </si>
  <si>
    <t>HMDB10378</t>
  </si>
  <si>
    <t>methionine</t>
  </si>
  <si>
    <t>C5H11NO2S</t>
  </si>
  <si>
    <t>CSCCC(N)C(O)=O</t>
  </si>
  <si>
    <t>InChI=1S/C5H11NO2S/c1-9-3-2-4(6)5(7)8/h4H,2-3,6H2,1H3,(H,7,8)</t>
  </si>
  <si>
    <t>methionine sulfone</t>
  </si>
  <si>
    <t>C5H11NO4S</t>
  </si>
  <si>
    <t>S(CCC(N)C(O)=O)(C)(=O)=O</t>
  </si>
  <si>
    <t>InChI=1S/C5H11NO4S/c1-11(9,10)3-2-4(6)5(7)8/h4H,2-3,6H2,1H3,(H,7,8)</t>
  </si>
  <si>
    <t>methionine sulfoxide</t>
  </si>
  <si>
    <t>C5H11NO3S</t>
  </si>
  <si>
    <t>CS(=O)CCC(N)C(O)=O</t>
  </si>
  <si>
    <t>InChI=1S/C5H11NO3S/c1-10(9)3-2-4(6)5(7)8/h4H,2-3,6H2,1H3,(H,7,8)</t>
  </si>
  <si>
    <t>methyl-4-hydroxybenzoate</t>
  </si>
  <si>
    <t>C8H7O3</t>
  </si>
  <si>
    <t>[O-]C1=CC(=C(C=C1)C(O)=O)C</t>
  </si>
  <si>
    <t>InChI=1S/C8H8O3/c1-5-4-6(9)2-3-7(5)8(10)11/h2-4,9H,1H3,(H,10,11)/p-1</t>
  </si>
  <si>
    <t>HMDB32572</t>
  </si>
  <si>
    <t>methyl-4-hydroxybenzoate sulfate</t>
  </si>
  <si>
    <t>C8H8O6S</t>
  </si>
  <si>
    <t>C=1(C=CC(=CC1)C(OC)=O)OS(O)(=O)=O</t>
  </si>
  <si>
    <t>InChI=1S/C8H8O6S/c1-13-8(9)6-2-4-7(5-3-6)14-15(10,11)12/h2-5H,1H3,(H,10,11,12)</t>
  </si>
  <si>
    <t>methylmalonate (MMA)</t>
  </si>
  <si>
    <t>HMDB00202</t>
  </si>
  <si>
    <t>methylphosphate</t>
  </si>
  <si>
    <t>CH5O4P</t>
  </si>
  <si>
    <t>COP(O)(O)=O</t>
  </si>
  <si>
    <t>InChI=1S/CH5O4P/c1-5-6(2,3)4/h1H3,(H2,2,3,4)</t>
  </si>
  <si>
    <t>HMDB61711</t>
  </si>
  <si>
    <t>methylsuccinate</t>
  </si>
  <si>
    <t>OC(=O)C(CC(O)=O)C</t>
  </si>
  <si>
    <t>InChI=1S/C5H8O4/c1-3(5(8)9)2-4(6)7/h3H,2H2,1H3,(H,6,7)(H,8,9)</t>
  </si>
  <si>
    <t>HMDB01844</t>
  </si>
  <si>
    <t>mevalonate</t>
  </si>
  <si>
    <t>C6H12O4</t>
  </si>
  <si>
    <t>CC(O)(CCO)CC(O)=O</t>
  </si>
  <si>
    <t>InChI=1S/C6H12O4/c1-6(10,2-3-7)4-5(8)9/h7,10H,2-4H2,1H3,(H,8,9)</t>
  </si>
  <si>
    <t>HMDB00227</t>
  </si>
  <si>
    <t>mevalonolactone</t>
  </si>
  <si>
    <t>CC1(CCOC(=O)C1)O</t>
  </si>
  <si>
    <t>InChI=1S/C6H10O3/c1-6(8)2-3-9-5(7)4-6/h8H,2-4H2,1H3</t>
  </si>
  <si>
    <t>HMDB06024</t>
  </si>
  <si>
    <t>myo-inositol</t>
  </si>
  <si>
    <t>O[C@H]1[C@H](O)[C@@H](O)[C@H](O)[C@H](O)[C@@H]1O</t>
  </si>
  <si>
    <t>InChI=1S/C6H12O6/c7-1-2(8)4(10)6(12)5(11)3(1)9/h1-12H/t1-,2-,3-,4+,5-,6-</t>
  </si>
  <si>
    <t>HMDB00211</t>
  </si>
  <si>
    <t>myristate (14:0)</t>
  </si>
  <si>
    <t>HMDB00806</t>
  </si>
  <si>
    <t>myristoleate (14:1n5)</t>
  </si>
  <si>
    <t>HMDB02000</t>
  </si>
  <si>
    <t>myristoleoylcarnitine (C14:1)*</t>
  </si>
  <si>
    <t>myristoylcarnitine (C14)</t>
  </si>
  <si>
    <t>HMDB05066</t>
  </si>
  <si>
    <t>N-(2-hydroxypalmitoyl)-sphingosine (d18:1/16:0(2OH))</t>
  </si>
  <si>
    <t>N1,N12-diacetylspermine</t>
  </si>
  <si>
    <t>C14H30N4O2</t>
  </si>
  <si>
    <t>CC(=O)NCCCNCCCCNCCCNC(C)=O</t>
  </si>
  <si>
    <t>InChI=1S/C14H30N4O2/c1-13(19)17-11-5-9-15-7-3-4-8-16-10-6-12-18-14(2)20/h15-16H,3-12H2,1-2H3,(H,17,19)(H,18,20)</t>
  </si>
  <si>
    <t>HMDB02172</t>
  </si>
  <si>
    <t>N1-Methyl-2-pyridone-5-carboxamide</t>
  </si>
  <si>
    <t>C7H8N2O2</t>
  </si>
  <si>
    <t>Cn1cc(ccc1=O)C(N)=O</t>
  </si>
  <si>
    <t>InChI=1S/C7H8N2O2/c1-9-4-5(7(8)11)2-3-6(9)10/h2-4H,1H3,(H2,8,11)</t>
  </si>
  <si>
    <t>HMDB04193</t>
  </si>
  <si>
    <t>N1-Methyl-4-pyridone-3-carboxamide</t>
  </si>
  <si>
    <t>Cn1ccc(=O)c(c1)C(N)=O</t>
  </si>
  <si>
    <t>InChI=1S/C7H8N2O2/c1-9-3-2-6(10)5(4-9)7(8)11/h2-4H,1H3,(H2,8,11)</t>
  </si>
  <si>
    <t>HMDB04194</t>
  </si>
  <si>
    <t>N2-acetyllysine</t>
  </si>
  <si>
    <t>HMDB00446</t>
  </si>
  <si>
    <t>N6,N6,N6-trimethyllysine</t>
  </si>
  <si>
    <t>HMDB01325</t>
  </si>
  <si>
    <t>N6-acetyllysine</t>
  </si>
  <si>
    <t>CC(=O)NCCCC[C@H](N)C(O)=O</t>
  </si>
  <si>
    <t>InChI=1S/C8H16N2O3/c1-6(11)10-5-3-2-4-7(9)8(12)13/h7H,2-5,9H2,1H3,(H,10,11)(H,12,13)/t7-/m0/s1</t>
  </si>
  <si>
    <t>N6-carboxyethyllysine</t>
  </si>
  <si>
    <t>C9H18N2O4</t>
  </si>
  <si>
    <t>C(=O)([C@@H](N)CCCCNCCC(O)=O)O</t>
  </si>
  <si>
    <t>InChI=1S/C9H18N2O4/c10-7(9(14)15)3-1-2-5-11-6-4-8(12)13/h7,11H,1-6,10H2,(H,12,13)(H,14,15)/t7-/m0/s1</t>
  </si>
  <si>
    <t>N6-carboxymethyllysine</t>
  </si>
  <si>
    <t>C8H16N2O4</t>
  </si>
  <si>
    <t>N[C@@H](CCCCNCC(O)=O)C(O)=O</t>
  </si>
  <si>
    <t>InChI=1S/C8H16N2O4/c9-6(8(13)14)3-1-2-4-10-5-7(11)12/h6,10H,1-5,9H2,(H,11,12)(H,13,14)/t6-/m0/s1</t>
  </si>
  <si>
    <t>N6-formyllysine</t>
  </si>
  <si>
    <t>N[C@@H](CCCCNC=O)C(O)=O</t>
  </si>
  <si>
    <t>InChI=1S/C7H14N2O3/c8-6(7(11)12)3-1-2-4-9-5-10/h5-6H,1-4,8H2,(H,9,10)(H,11,12)/t6-/m0/s1</t>
  </si>
  <si>
    <t>N-acetyl-1-methylhistidine*</t>
  </si>
  <si>
    <t>C9H13N3O3</t>
  </si>
  <si>
    <t>OC(=O)[C@@H](NC(=O)C)CC=1N=CN(C1)C</t>
  </si>
  <si>
    <t>InChI=1S/C9H13N3O3/c1-6(13)11-8(9(14)15)3-7-4-12(2)5-10-7/h4-5,8H,3H2,1-2H3,(H,11,13)(H,14,15)/t8-/m0/s1</t>
  </si>
  <si>
    <t>N-acetyl-3-methylhistidine*</t>
  </si>
  <si>
    <t>OC(=O)[C@@H](NC(=O)C)CC=1N(C=NC1)C</t>
  </si>
  <si>
    <t>InChI=1S/C9H13N3O3/c1-6(13)11-8(9(14)15)3-7-4-10-5-12(7)2/h4-5,8H,3H2,1-2H3,(H,11,13)(H,14,15)/t8-/m0/s1</t>
  </si>
  <si>
    <t>N-acetylalanine</t>
  </si>
  <si>
    <t>C[C@H](NC(C)=O)C(O)=O</t>
  </si>
  <si>
    <t>InChI=1S/C5H9NO3/c1-3(5(8)9)6-4(2)7/h3H,1-2H3,(H,6,7)(H,8,9)/t3-/m0/s1</t>
  </si>
  <si>
    <t>HMDB00766</t>
  </si>
  <si>
    <t>N-acetylarginine</t>
  </si>
  <si>
    <t>C8H16N4O3</t>
  </si>
  <si>
    <t>CC(=O)N[C@@H](CCCNC(N)=N)C(O)=O</t>
  </si>
  <si>
    <t>InChI=1S/C8H16N4O3/c1-5(13)12-6(7(14)15)3-2-4-11-8(9)10/h6H,2-4H2,1H3,(H,12,13)(H,14,15)(H4,9,10,11)/t6-/m0/s1</t>
  </si>
  <si>
    <t>HMDB04620</t>
  </si>
  <si>
    <t>N-acetylasparagine</t>
  </si>
  <si>
    <t>CC(=O)NC(=O)CC(C(=O)O)N</t>
  </si>
  <si>
    <t>InChI=1S/C6H10N2O4/c1-3(9)8-5(10)2-4(7)6(11)12/h4H,2,7H2,1H3,(H,11,12)(H,8,9,10)</t>
  </si>
  <si>
    <t>HMDB06028</t>
  </si>
  <si>
    <t>N-acetylaspartate (NAA)</t>
  </si>
  <si>
    <t>HMDB00812</t>
  </si>
  <si>
    <t>N-acetyl-aspartyl-glutamate (NAAG)</t>
  </si>
  <si>
    <t>HMDB01067</t>
  </si>
  <si>
    <t>N-acetyl-beta-alanine</t>
  </si>
  <si>
    <t>CC(=O)NCCC(O)=O</t>
  </si>
  <si>
    <t>InChI=1S/C5H9NO3/c1-4(7)6-3-2-5(8)9/h2-3H2,1H3,(H,6,7)(H,8,9)</t>
  </si>
  <si>
    <t>N-acetyl-beta-glucosaminylamine</t>
  </si>
  <si>
    <t>C8H16N2O5</t>
  </si>
  <si>
    <t>CC(=O)N[C@H]1[C@H](N)O[C@H](CO)[C@@H](O)[C@@H]1O</t>
  </si>
  <si>
    <t>InChI=1S/C8H16N2O5/c1-3(12)10-5-7(14)6(13)4(2-11)15-8(5)9/h4-8,11,13-14H,2,9H2,1H3,(H,10,12)/t4-,5-,6-,7-,8-/m1/s1</t>
  </si>
  <si>
    <t>HMDB01104</t>
  </si>
  <si>
    <t>N-acetyl-cadaverine</t>
  </si>
  <si>
    <t>C7H16N2O</t>
  </si>
  <si>
    <t>N(CCCCCN)C(=O)C</t>
  </si>
  <si>
    <t>InChI=1S/C7H16N2O/c1-7(10)9-6-4-2-3-5-8/h2-6,8H2,1H3,(H,9,10)</t>
  </si>
  <si>
    <t>HMDB02284</t>
  </si>
  <si>
    <t>N-acetylcarnosine</t>
  </si>
  <si>
    <t>C11H16N4O4</t>
  </si>
  <si>
    <t>CC(=O)NCCC(=O)N[C@@H](Cc1cnc[nH]1)C(O)=O</t>
  </si>
  <si>
    <t>InChI=1S/C11H16N4O4/c1-7(16)13-3-2-10(17)15-9(11(18)19)4-8-5-12-6-14-8/h5-6,9H,2-4H2,1H3,(H,12,14)(H,13,16)(H,15,17)(H,18,19)/t9-/m0/s1</t>
  </si>
  <si>
    <t>HMDB12881</t>
  </si>
  <si>
    <t>N-acetylcitrulline</t>
  </si>
  <si>
    <t>C8H15N3O4</t>
  </si>
  <si>
    <t>CC(=O)NC(CCCNC(N)=O)C(O)=O</t>
  </si>
  <si>
    <t>InChI=1S/C8H15N3O4/c1-5(12)11-6(7(13)14)3-2-4-10-8(9)15/h6H,2-4H2,1H3,(H,11,12)(H,13,14)(H3,9,10,15)</t>
  </si>
  <si>
    <t>HMDB00856</t>
  </si>
  <si>
    <t>N-acetylfelinine*</t>
  </si>
  <si>
    <t>N-acetylglucosamine 6-sulfate</t>
  </si>
  <si>
    <t>C8H15NO9S</t>
  </si>
  <si>
    <t>CC(=O)N[C@H]1[C@H](O)O[C@H](COS(O)(=O)=O)[C@@H](O)[C@@H]1O</t>
  </si>
  <si>
    <t>InChI=1S/C8H15NO9S/c1-3(10)9-5-7(12)6(11)4(18-8(5)13)2-17-19(14,15)16/h4-8,11-13H,2H2,1H3,(H,9,10)(H,14,15,16)/t4-,5-,6-,7-,8-/m1/s1</t>
  </si>
  <si>
    <t>HMDB00841</t>
  </si>
  <si>
    <t>N-acetylglucosamine/N-acetylgalactosamine</t>
  </si>
  <si>
    <t>C8H15NO6</t>
  </si>
  <si>
    <t>CC(=O)N[C@H]1C(O)O[C@H](CO)[C@H](O)[C@@H]1O</t>
  </si>
  <si>
    <t>InChI=1S/C8H15NO6/c1-3(11)9-5-7(13)6(12)4(2-10)15-8(5)14/h4-8,10,12-14H,2H2,1H3,(H,9,11)/t4-,5-,6+,7-,8?/m1/s1</t>
  </si>
  <si>
    <t>HMDB00215</t>
  </si>
  <si>
    <t>N-acetylglucosaminylasparagine</t>
  </si>
  <si>
    <t>C12H21N3O8</t>
  </si>
  <si>
    <t>CC(=O)N[C@@H]1[C@@H](O)[C@H](O)[C@@H](CO)O[C@H]1NC(=O)C[C@H](N)C(O)=O</t>
  </si>
  <si>
    <t>InChI=1S/C12H21N3O8/c1-4(17)14-8-10(20)9(19)6(3-16)23-11(8)15-7(18)2-5(13)12(21)22/h5-6,8-11,16,19-20H,2-3,13H2,1H3,(H,14,17)(H,15,18)(H,21,22)/t5-,6+,8+,9+,10+,11+/m0/s1</t>
  </si>
  <si>
    <t>HMDB00489</t>
  </si>
  <si>
    <t>N-acetylglutamate</t>
  </si>
  <si>
    <t>C7H11NO5</t>
  </si>
  <si>
    <t>CC(=O)N[C@@H](CCC(O)=O)C(O)=O</t>
  </si>
  <si>
    <t>InChI=1S/C7H11NO5/c1-4(9)8-5(7(12)13)2-3-6(10)11/h5H,2-3H2,1H3,(H,8,9)(H,10,11)(H,12,13)/t5-/m0/s1</t>
  </si>
  <si>
    <t>HMDB01138</t>
  </si>
  <si>
    <t>N-acetylglutamine</t>
  </si>
  <si>
    <t>C7H12N2O4</t>
  </si>
  <si>
    <t>CC(=O)NC(CCC(N)=O)C(O)=O</t>
  </si>
  <si>
    <t>InChI=1S/C7H12N2O4/c1-4(10)9-5(7(12)13)2-3-6(8)11/h5H,2-3H2,1H3,(H2,8,11)(H,9,10)(H,12,13)</t>
  </si>
  <si>
    <t>HMDB06029</t>
  </si>
  <si>
    <t>N-acetylglycine</t>
  </si>
  <si>
    <t>C4H7NO3</t>
  </si>
  <si>
    <t>CC(=O)NCC(O)=O</t>
  </si>
  <si>
    <t>InChI=1S/C4H7NO3/c1-3(6)5-2-4(7)8/h2H2,1H3,(H,5,6)(H,7,8)</t>
  </si>
  <si>
    <t>HMDB00532</t>
  </si>
  <si>
    <t>N-acetylhistamine</t>
  </si>
  <si>
    <t>C7H11N3O</t>
  </si>
  <si>
    <t>CC(=O)NCCc1c[nH]cn1</t>
  </si>
  <si>
    <t>InChI=1S/C7H11N3O/c1-6(11)9-3-2-7-4-8-5-10-7/h4-5H,2-3H2,1H3,(H,8,10)(H,9,11)</t>
  </si>
  <si>
    <t>HMDB13253</t>
  </si>
  <si>
    <t>N-acetylhistidine</t>
  </si>
  <si>
    <t>C8H11N3O3</t>
  </si>
  <si>
    <t>C(=O)(C(CC=1NC=NC1)NC(=O)C)O</t>
  </si>
  <si>
    <t>InChI=1S/C8H11N3O3/c1-5(12)11-7(8(13)14)2-6-3-9-4-10-6/h3-4,7H,2H2,1H3,(H,9,10)(H,11,12)(H,13,14)</t>
  </si>
  <si>
    <t>HMDB32055</t>
  </si>
  <si>
    <t>N-acetylisoleucine</t>
  </si>
  <si>
    <t>CCC(C)C(NC(C)=O)C(O)=O</t>
  </si>
  <si>
    <t>InChI=1S/C8H15NO3/c1-4-5(2)7(8(11)12)9-6(3)10/h5,7H,4H2,1-3H3,(H,9,10)(H,11,12)</t>
  </si>
  <si>
    <t>HMDB61684</t>
  </si>
  <si>
    <t>N-acetyl-isoputreanine*</t>
  </si>
  <si>
    <t>OC(=O)CCCNCCCNC(=O)C</t>
  </si>
  <si>
    <t>InChI=1S/C9H18N2O3/c1-8(12)11-7-3-6-10-5-2-4-9(13)14/h10H,2-7H2,1H3,(H,11,12)(H,13,14)</t>
  </si>
  <si>
    <t>N-acetylkynurenine (2)</t>
  </si>
  <si>
    <t>N-acetylleucine</t>
  </si>
  <si>
    <t>C(CC(C)C)(NC(=O)C)C(O)=O</t>
  </si>
  <si>
    <t>InChI=1S/C8H15NO3/c1-5(2)4-7(8(11)12)9-6(3)10/h5,7H,4H2,1-3H3,(H,9,10)(H,11,12)</t>
  </si>
  <si>
    <t>HMDB11756</t>
  </si>
  <si>
    <t>N-acetylmethionine</t>
  </si>
  <si>
    <t>C7H13NO3S</t>
  </si>
  <si>
    <t>CSCC[C@H](NC(C)=O)C(O)=O</t>
  </si>
  <si>
    <t>InChI=1S/C7H13NO3S/c1-5(9)8-6(7(10)11)3-4-12-2/h6H,3-4H2,1-2H3,(H,8,9)(H,10,11)/t6-/m0/s1</t>
  </si>
  <si>
    <t>HMDB11745</t>
  </si>
  <si>
    <t>N-acetylmethionine sulfoxide</t>
  </si>
  <si>
    <t>C7H13NO4S</t>
  </si>
  <si>
    <t>S(=O)(CCC(NC(=O)C)C(O)=O)C</t>
  </si>
  <si>
    <t>InChI=1S/C7H13NO4S/c1-5(9)8-6(7(10)11)3-4-13(2)12/h6H,3-4H2,1-2H3,(H,8,9)(H,10,11)</t>
  </si>
  <si>
    <t>N-acetylmuramate</t>
  </si>
  <si>
    <t>C11H19NO8</t>
  </si>
  <si>
    <t>C[C@@H](O[C@H]1[C@H](O)[C@@H](CO)OC(O)[C@@H]1NC(C)=O)C(O)=O</t>
  </si>
  <si>
    <t>InChI=1S/C11H19NO8/c1-4(10(16)17)19-9-7(12-5(2)14)11(18)20-6(3-13)8(9)15/h4,6-9,11,13,15,18H,3H2,1-2H3,(H,12,14)(H,16,17)/t4-,6-,7-,8-,9-,11?/m1/s1</t>
  </si>
  <si>
    <t>HMDB60493</t>
  </si>
  <si>
    <t>N-acetylneuraminate</t>
  </si>
  <si>
    <t>C11H19NO9</t>
  </si>
  <si>
    <t>[H][C@]1(OC(O)(C[C@H](O)[C@H]1NC(C)=O)C(O)=O)[C@H](O)[C@H](O)CO</t>
  </si>
  <si>
    <t>InChI=1S/C11H19NO9/c1-4(14)12-7-5(15)2-11(20,10(18)19)21-9(7)8(17)6(16)3-13/h5-9,13,15-17,20H,2-3H2,1H3,(H,12,14)(H,18,19)/t5-,6+,7+,8+,9+,11?/m0/s1</t>
  </si>
  <si>
    <t>HMDB00230</t>
  </si>
  <si>
    <t>N-acetylphenylalanine</t>
  </si>
  <si>
    <t>C11H13NO3</t>
  </si>
  <si>
    <t>CC(=O)NC(Cc1ccccc1)C(O)=O</t>
  </si>
  <si>
    <t>InChI=1S/C11H13NO3/c1-8(13)12-10(11(14)15)7-9-5-3-2-4-6-9/h2-6,10H,7H2,1H3,(H,12,13)(H,14,15)</t>
  </si>
  <si>
    <t>HMDB00512</t>
  </si>
  <si>
    <t>N-acetylproline</t>
  </si>
  <si>
    <t>C7H11NO3</t>
  </si>
  <si>
    <t>OC(=O)C1N(CCC1)C(=O)C</t>
  </si>
  <si>
    <t>InChI=1S/C7H11NO3/c1-5(9)8-4-2-3-6(8)7(10)11/h6H,2-4H2,1H3,(H,10,11)</t>
  </si>
  <si>
    <t>N-acetylputrescine</t>
  </si>
  <si>
    <t>C6H14N2O</t>
  </si>
  <si>
    <t>CC(=O)NCCCCN</t>
  </si>
  <si>
    <t>InChI=1S/C6H14N2O/c1-6(9)8-5-3-2-4-7/h2-5,7H2,1H3,(H,8,9)</t>
  </si>
  <si>
    <t>HMDB02064</t>
  </si>
  <si>
    <t>N-acetylserine</t>
  </si>
  <si>
    <t>C([C@H](CO)NC(C)=O)(=O)O</t>
  </si>
  <si>
    <t>InChI=1S/C5H9NO4/c1-3(8)6-4(2-7)5(9)10/h4,7H,2H2,1H3,(H,6,8)(H,9,10)/t4-/m0/s1</t>
  </si>
  <si>
    <t>HMDB02931</t>
  </si>
  <si>
    <t>N-acetylsphingosine</t>
  </si>
  <si>
    <t>C20H39NO3</t>
  </si>
  <si>
    <t>CCCCCCCCCCCCC\C=C\[C@@H](O)[C@H](CO)NC(C)=O</t>
  </si>
  <si>
    <t>InChI=1S/C20H39NO3/c1-3-4-5-6-7-8-9-10-11-12-13-14-15-16-20(24)19(17-22)21-18(2)23/h15-16,19-20,22,24H,3-14,17H2,1-2H3,(H,21,23)/b16-15+/t19-,20+/m0/s1</t>
  </si>
  <si>
    <t>HMDB04950</t>
  </si>
  <si>
    <t>N-acetyltaurine</t>
  </si>
  <si>
    <t>C4H9NO4S</t>
  </si>
  <si>
    <t>C(CS(O)(=O)=O)NC(C)=O</t>
  </si>
  <si>
    <t>InChI=1S/C4H9NO4S/c1-4(6)5-2-3-10(7,8)9/h2-3H2,1H3,(H,5,6)(H,7,8,9)</t>
  </si>
  <si>
    <t>N-acetylthreonine</t>
  </si>
  <si>
    <t>C[C@@H](O)[C@H](NC(C)=O)C(O)=O</t>
  </si>
  <si>
    <t>InChI=1S/C6H11NO4/c1-3(8)5(6(10)11)7-4(2)9/h3,5,8H,1-2H3,(H,7,9)(H,10,11)/t3-,5+/m1/s1</t>
  </si>
  <si>
    <t>N-acetyltryptophan</t>
  </si>
  <si>
    <t>C13H14N2O3</t>
  </si>
  <si>
    <t>CC(=O)NC(Cc1c[nH]c2ccccc12)C(O)=O</t>
  </si>
  <si>
    <t>InChI=1S/C13H14N2O3/c1-8(16)15-12(13(17)18)6-9-7-14-11-5-3-2-4-10(9)11/h2-5,7,12,14H,6H2,1H3,(H,15,16)(H,17,18)</t>
  </si>
  <si>
    <t>HMDB13713</t>
  </si>
  <si>
    <t>N-acetyltyrosine</t>
  </si>
  <si>
    <t>C11H13NO4</t>
  </si>
  <si>
    <t>CC(=O)NC(Cc1ccc(O)cc1)C(O)=O</t>
  </si>
  <si>
    <t>InChI=1S/C11H13NO4/c1-7(13)12-10(11(15)16)6-8-2-4-9(14)5-3-8/h2-5,10,14H,6H2,1H3,(H,12,13)(H,15,16)</t>
  </si>
  <si>
    <t>HMDB00866</t>
  </si>
  <si>
    <t>N-acetylvaline</t>
  </si>
  <si>
    <t>OC(=O)C(NC(=O)C)C(C)C</t>
  </si>
  <si>
    <t>InChI=1S/C7H13NO3/c1-4(2)6(7(10)11)8-5(3)9/h4,6H,1-3H3,(H,8,9)(H,10,11)</t>
  </si>
  <si>
    <t>HMDB11757</t>
  </si>
  <si>
    <t>N-alpha-acetylornithine</t>
  </si>
  <si>
    <t>C(CCN)[C@@H](C(O)=O)NC(=O)C</t>
  </si>
  <si>
    <t>InChI=1S/C7H14N2O3/c1-5(10)9-6(7(11)12)3-2-4-8/h6H,2-4,8H2,1H3,(H,9,10)(H,11,12)/t6-/m0/s1</t>
  </si>
  <si>
    <t>HMDB03357</t>
  </si>
  <si>
    <t>naringenin</t>
  </si>
  <si>
    <t>C15H12O5</t>
  </si>
  <si>
    <t>Oc1ccc(cc1)C1CC(=O)c2c(O)cc(O)cc2O1</t>
  </si>
  <si>
    <t>InChI=1S/C15H12O5/c16-9-3-1-8(2-4-9)13-7-12(19)15-11(18)5-10(17)6-14(15)20-13/h1-6,13,16-18H,7H2</t>
  </si>
  <si>
    <t>HMDB02670</t>
  </si>
  <si>
    <t>N-butyroyl-sphingosine (d18:1/4:0)</t>
  </si>
  <si>
    <t>N-carbamoylalanine</t>
  </si>
  <si>
    <t>N-delta-acetylornithine</t>
  </si>
  <si>
    <t>CC(=O)NCCC[C@H](N)C(O)=O</t>
  </si>
  <si>
    <t>InChI=1S/C7H14N2O3/c1-5(10)9-4-2-3-6(8)7(11)12/h6H,2-4,8H2,1H3,(H,9,10)(H,11,12)/t6-/m0/s1</t>
  </si>
  <si>
    <t>nervonoyl ethanolamide (24:1)*</t>
  </si>
  <si>
    <t>nervonoylcarnitine (C24:1)*</t>
  </si>
  <si>
    <t>N-formylanthranilic acid</t>
  </si>
  <si>
    <t>C8H7NO3</t>
  </si>
  <si>
    <t>OC(=O)c1ccccc1NC=O</t>
  </si>
  <si>
    <t>InChI=1S/C8H7NO3/c10-5-9-7-4-2-1-3-6(7)8(11)12/h1-5H,(H,9,10)(H,11,12)</t>
  </si>
  <si>
    <t>HMDB04089</t>
  </si>
  <si>
    <t>N-formylmethionine</t>
  </si>
  <si>
    <t>C6H11NO3S</t>
  </si>
  <si>
    <t>[H]C(=O)N[C@@H](CCSC)C(O)=O</t>
  </si>
  <si>
    <t>InChI=1S/C6H11NO3S/c1-11-3-2-5(6(9)10)7-4-8/h4-5H,2-3H2,1H3,(H,7,8)(H,9,10)/t5-/m0/s1</t>
  </si>
  <si>
    <t>HMDB01015</t>
  </si>
  <si>
    <t>N-formylphenylalanine</t>
  </si>
  <si>
    <t>C10H11NO3</t>
  </si>
  <si>
    <t>[H]C(N[C@@H](CC1=CC=CC=C1)C(O)=O)=O</t>
  </si>
  <si>
    <t>InChI=1S/C10H11NO3/c12-7-11-9(10(13)14)6-8-4-2-1-3-5-8/h1-5,7,9H,6H2,(H,11,12)(H,13,14)/t9-/m0/s1</t>
  </si>
  <si>
    <t>N-glycolylneuraminate</t>
  </si>
  <si>
    <t>C11H19NO10</t>
  </si>
  <si>
    <t>O1[C@]([C@@H]([C@@H](CO)O)O)([H])[C@H](NC(CO)=O)[C@@H](O)CC1(C(O)=O)O</t>
  </si>
  <si>
    <t>InChI=1S/C11H19NO10/c13-2-5(16)8(18)9-7(12-6(17)3-14)4(15)1-11(21,22-9)10(19)20/h4-5,7-9,13-16,18,21H,1-3H2,(H,12,17)(H,19,20)/t4-,5+,7+,8+,9+,11?/m0/s1</t>
  </si>
  <si>
    <t>HMDB00833</t>
  </si>
  <si>
    <t>N-hexanoyl-sphingosine (d18:1/6:0)</t>
  </si>
  <si>
    <t>nicotianamine</t>
  </si>
  <si>
    <t>C12H21N3O6</t>
  </si>
  <si>
    <t>NC(CCNC(CCN1CCC1C(O)=O)C(O)=O)C(O)=O</t>
  </si>
  <si>
    <t>InChI=1S/C12H21N3O6/c13-7(10(16)17)1-4-14-8(11(18)19)2-5-15-6-3-9(15)12(20)21/h7-9,14H,1-6,13H2,(H,16,17)(H,18,19)(H,20,21)</t>
  </si>
  <si>
    <t>nicotinamide</t>
  </si>
  <si>
    <t>C6H6N2O</t>
  </si>
  <si>
    <t>NC(=O)c1cccnc1</t>
  </si>
  <si>
    <t>InChI=1S/C6H6N2O/c7-6(9)5-2-1-3-8-4-5/h1-4H,(H2,7,9)</t>
  </si>
  <si>
    <t>HMDB01406</t>
  </si>
  <si>
    <t>nicotinamide ribonucleotide (NMN)</t>
  </si>
  <si>
    <t>HMDB00229</t>
  </si>
  <si>
    <t>nicotinamide riboside</t>
  </si>
  <si>
    <t>C11H15N2O5+</t>
  </si>
  <si>
    <t>NC(=O)c1ccc[n+](c1)[C@@H]1O[C@H](CO)[C@@H](O)[C@H]1O</t>
  </si>
  <si>
    <t>InChI=1S/C11H14N2O5/c12-10(17)6-2-1-3-13(4-6)11-9(16)8(15)7(5-14)18-11/h1-4,7-9,11,14-16H,5H2,(H-,12,17)/p+1/t7-,8-,9-,11-/m1/s1</t>
  </si>
  <si>
    <t>HMDB00855</t>
  </si>
  <si>
    <t>nicotinate</t>
  </si>
  <si>
    <t>C6H5NO2</t>
  </si>
  <si>
    <t>OC(=O)c1cccnc1</t>
  </si>
  <si>
    <t>InChI=1S/C6H5NO2/c8-6(9)5-2-1-3-7-4-5/h1-4H,(H,8,9)</t>
  </si>
  <si>
    <t>HMDB01488</t>
  </si>
  <si>
    <t>nicotinate ribonucleoside</t>
  </si>
  <si>
    <t>C11H13NO6</t>
  </si>
  <si>
    <t>OC[C@H]1O[C@H]([C@H](O)[C@@H]1O)[n+]1cccc(c1)C([O-])=O</t>
  </si>
  <si>
    <t>InChI=1S/C11H13NO6/c13-5-7-8(14)9(15)10(18-7)12-3-1-2-6(4-12)11(16)17/h1-4,7-10,13-15H,5H2/t7-,8-,9-,10-/m1/s1</t>
  </si>
  <si>
    <t>HMDB06809</t>
  </si>
  <si>
    <t>nicotinic acid mononucleotide (NaMN)</t>
  </si>
  <si>
    <t>HMDB01132</t>
  </si>
  <si>
    <t>nisinate (24:6n3)</t>
  </si>
  <si>
    <t>HMDB02007</t>
  </si>
  <si>
    <t>N-linoleoylglycine</t>
  </si>
  <si>
    <t>C20H35NO3</t>
  </si>
  <si>
    <t>O=C(NCC(O)=O)CCCCCCC/C=C\C/C=C\CCCCC</t>
  </si>
  <si>
    <t>InChI=1S/C20H35NO3/c1-2-3-4-5-6-7-8-9-10-11-12-13-14-15-16-17-19(22)21-18-20(23)24/h6-7,9-10H,2-5,8,11-18H2,1H3,(H,21,22)(H,23,24)/b7-6-,10-9-</t>
  </si>
  <si>
    <t>N-linoleoyltaurine*</t>
  </si>
  <si>
    <t>C20H37NO4S</t>
  </si>
  <si>
    <t>S(O)(=O)(=O)CCNC(=O)CCCCCCC/C=C\C/C=C\CCCCC</t>
  </si>
  <si>
    <t>InChI=1S/C20H37NO4S/c1-2-3-4-5-6-7-8-9-10-11-12-13-14-15-16-17-20(22)21-18-19-26(23,24)25/h6-7,9-10H,2-5,8,11-19H2,1H3,(H,21,22)(H,23,24,25)/b7-6-,10-9-</t>
  </si>
  <si>
    <t>N-margaroyl-sphingosine (d18:1/17:0)*</t>
  </si>
  <si>
    <t>N-methylalanine</t>
  </si>
  <si>
    <t>OC(=O)C(NC)C</t>
  </si>
  <si>
    <t>InChI=1S/C4H9NO2/c1-3(5-2)4(6)7/h3,5H,1-2H3,(H,6,7)</t>
  </si>
  <si>
    <t>N-methylhydantoin</t>
  </si>
  <si>
    <t>CN1CC(=O)NC1=O</t>
  </si>
  <si>
    <t>InChI=1S/C4H6N2O2/c1-6-2-3(7)5-4(6)8/h2H2,1H3,(H,5,7,8)</t>
  </si>
  <si>
    <t>HMDB03646</t>
  </si>
  <si>
    <t>N-methylhydroxyproline**</t>
  </si>
  <si>
    <t>[C@H]1(C[C@@H](O)CN1C)C(=O)O</t>
  </si>
  <si>
    <t>InChI=1S/C6H11NO3/c1-7-3-4(8)2-5(7)6(9)10/h4-5,8H,2-3H2,1H3,(H,9,10)/t4-,5+/m1/s1</t>
  </si>
  <si>
    <t>N-methylproline</t>
  </si>
  <si>
    <t>C6H11NO2</t>
  </si>
  <si>
    <t>[C@H]1(CCCN1C)C(O)=O</t>
  </si>
  <si>
    <t>InChI=1S/C6H11NO2/c1-7-4-2-3-5(7)6(8)9/h5H,2-4H2,1H3,(H,8,9)/t5-/m0/s1</t>
  </si>
  <si>
    <t>N-myristoyltaurine*</t>
  </si>
  <si>
    <t>C16H33NO4S</t>
  </si>
  <si>
    <t>C(C(NCCS(O)(=O)=O)=O)CCCCCCCCCCCC</t>
  </si>
  <si>
    <t>InChI=1S/C16H33NO4S/c1-2-3-4-5-6-7-8-9-10-11-12-13-16(18)17-14-15-22(19,20)21/h2-15H2,1H3,(H,17,18)(H,19,20,21)</t>
  </si>
  <si>
    <t>N-oleoylglycine</t>
  </si>
  <si>
    <t>C20H37NO3</t>
  </si>
  <si>
    <t>C(\CCCCCCCC(=O)NCC(O)=O)=C\CCCCCCCC</t>
  </si>
  <si>
    <t>InChI=1S/C20H37NO3/c1-2-3-4-5-6-7-8-9-10-11-12-13-14-15-16-17-19(22)21-18-20(23)24/h9-10H,2-8,11-18H2,1H3,(H,21,22)(H,23,24)/b10-9-</t>
  </si>
  <si>
    <t>HMDB13631</t>
  </si>
  <si>
    <t>N-oleoylserine</t>
  </si>
  <si>
    <t>C21H39NO4</t>
  </si>
  <si>
    <t>C(\CCCCCCCC(=O)N[C@H](C(O)=O)CO)=C\CCCCCCCC</t>
  </si>
  <si>
    <t>InChI=1S/C21H39NO4/c1-2-3-4-5-6-7-8-9-10-11-12-13-14-15-16-17-20(24)22-19(18-23)21(25)26/h9-10,19,23H,2-8,11-18H2,1H3,(H,22,24)(H,25,26)/b10-9-/t19-/m0/s1</t>
  </si>
  <si>
    <t>N-oleoyl-sphingosine (d18:1/18:1)*</t>
  </si>
  <si>
    <t>HMDB04948</t>
  </si>
  <si>
    <t>N-oleoyltaurine</t>
  </si>
  <si>
    <t>C20H39NO4S</t>
  </si>
  <si>
    <t>C(C(NCCS(O)(=O)=O)=O)CCCCCC/C=C\CCCCCCCC</t>
  </si>
  <si>
    <t>InChI=1S/C20H39NO4S/c1-2-3-4-5-6-7-8-9-10-11-12-13-14-15-16-17-20(22)21-18-19-26(23,24)25/h9-10H,2-8,11-19H2,1H3,(H,21,22)(H,23,24,25)/b10-9-</t>
  </si>
  <si>
    <t>nonadecanoate (19:0)</t>
  </si>
  <si>
    <t>HMDB00772</t>
  </si>
  <si>
    <t>norvaline</t>
  </si>
  <si>
    <t>CCCC(N)C(O)=O</t>
  </si>
  <si>
    <t>InChI=1S/C5H11NO2/c1-2-3-4(6)5(7)8/h4H,2-3,6H2,1H3,(H,7,8)</t>
  </si>
  <si>
    <t>HMDB13716</t>
  </si>
  <si>
    <t>N-palmitoleoyltaurine*</t>
  </si>
  <si>
    <t>N-palmitoylglycine</t>
  </si>
  <si>
    <t>C18H35NO3</t>
  </si>
  <si>
    <t>C(CCCCCCCCCC)CCCCC(NCC(O)=O)=O</t>
  </si>
  <si>
    <t>InChI=1S/C18H35NO3/c1-2-3-4-5-6-7-8-9-10-11-12-13-14-15-17(20)19-16-18(21)22/h2-16H2,1H3,(H,19,20)(H,21,22)</t>
  </si>
  <si>
    <t>HMDB13034</t>
  </si>
  <si>
    <t>N-palmitoyl-heptadecasphingosine (d17:1/16:0)*</t>
  </si>
  <si>
    <t>N-palmitoylserine</t>
  </si>
  <si>
    <t>C19H37NO4</t>
  </si>
  <si>
    <t>O=C(N[C@@H](CO)C(O)=O)CCCCCCCCCCCCCCC</t>
  </si>
  <si>
    <t>InChI=1S/C19H37NO4/c1-2-3-4-5-6-7-8-9-10-11-12-13-14-15-18(22)20-17(16-21)19(23)24/h17,21H,2-16H2,1H3,(H,20,22)(H,23,24)/t17-/m0/s1</t>
  </si>
  <si>
    <t>N-palmitoyl-sphingadienine (d18:2/16:0)*</t>
  </si>
  <si>
    <t>N-palmitoyl-sphinganine (d18:0/16:0)</t>
  </si>
  <si>
    <t>HMDB11760</t>
  </si>
  <si>
    <t>N-palmitoyl-sphingosine (d18:1/16:0)</t>
  </si>
  <si>
    <t>HMDB04949</t>
  </si>
  <si>
    <t>N-palmitoyltaurine</t>
  </si>
  <si>
    <t>C18H37NO4S</t>
  </si>
  <si>
    <t>C(C(NCCS(O)(=O)=O)=O)CCCCCCCCCCCCCC</t>
  </si>
  <si>
    <t>InChI=1S/C18H37NO4S/c1-2-3-4-5-6-7-8-9-10-11-12-13-14-15-18(20)19-16-17-24(21,22)23/h2-17H2,1H3,(H,19,20)(H,21,22,23)</t>
  </si>
  <si>
    <t>N-propionylalanine</t>
  </si>
  <si>
    <t>N-propionylmethionine</t>
  </si>
  <si>
    <t>C8H15NO3S</t>
  </si>
  <si>
    <t>C(=O)([C@@H](NC(=O)CC)CCSC)O</t>
  </si>
  <si>
    <t>InChI=1S/C8H15NO3S/c1-3-7(10)9-6(8(11)12)4-5-13-2/h6H,3-5H2,1-2H3,(H,9,10)(H,11,12)/t6-/m0/s1</t>
  </si>
  <si>
    <t>N-stearoylserine*</t>
  </si>
  <si>
    <t>C21H41NO4</t>
  </si>
  <si>
    <t>O=C(N[C@@H](CO)C(O)=O)CCCCCCCCCCCCCCCCC</t>
  </si>
  <si>
    <t>InChI=1S/C21H41NO4/c1-2-3-4-5-6-7-8-9-10-11-12-13-14-15-16-17-20(24)22-19(18-23)21(25)26/h19,23H,2-18H2,1H3,(H,22,24)(H,25,26)/t19-/m0/s1</t>
  </si>
  <si>
    <t>N-stearoyl-sphinganine (d18:0/18:0)*</t>
  </si>
  <si>
    <t>N-stearoyl-sphingosine (d18:1/18:0)*</t>
  </si>
  <si>
    <t>N-stearoyltaurine</t>
  </si>
  <si>
    <t>C20H41NO4S</t>
  </si>
  <si>
    <t>C(C(NCCS(O)(=O)=O)=O)CCCCCCCCCCCCCCCC</t>
  </si>
  <si>
    <t>InChI=1S/C20H41NO4S/c1-2-3-4-5-6-7-8-9-10-11-12-13-14-15-16-17-20(22)21-18-19-26(23,24)25/h2-19H2,1H3,(H,21,22)(H,23,24,25)</t>
  </si>
  <si>
    <t>N-tetracosadienoyl-sphingosine (d18:1/24:2)*</t>
  </si>
  <si>
    <t>N-trimethyl 5-aminovalerate</t>
  </si>
  <si>
    <t>OAHSA (18:1/OH-18:0)</t>
  </si>
  <si>
    <t>octadecanedioate (C18-DC)</t>
  </si>
  <si>
    <t>HMDB00782</t>
  </si>
  <si>
    <t>octadecanedioylcarnitine (C18-DC)*</t>
  </si>
  <si>
    <t>octadecenedioate (C18:1-DC)*</t>
  </si>
  <si>
    <t>octadecenedioylcarnitine (C18:1-DC)*</t>
  </si>
  <si>
    <t>octanoylcarnitine (C8)</t>
  </si>
  <si>
    <t>HMDB00791</t>
  </si>
  <si>
    <t>oleamide</t>
  </si>
  <si>
    <t>C18H35NO</t>
  </si>
  <si>
    <t>CCCCCCCC\C=C/CCCCCCCC(N)=O</t>
  </si>
  <si>
    <t>InChI=1S/C18H35NO/c1-2-3-4-5-6-7-8-9-10-11-12-13-14-15-16-17-18(19)20/h9-10H,2-8,11-17H2,1H3,(H2,19,20)/b10-9-</t>
  </si>
  <si>
    <t>HMDB02117</t>
  </si>
  <si>
    <t>oleanolate</t>
  </si>
  <si>
    <t>[H][C@@]12CC(C)(C)CC[C@@]1(CC[C@]1(C)C2=CC[C@]2([H])[C@@]3(C)CC[C@H](O)C(C)(C)[C@]3([H])CC[C@@]12C)C(O)=O</t>
  </si>
  <si>
    <t>InChI=1S/C30H48O3/c1-25(2)14-16-30(24(32)33)17-15-28(6)19(20(30)18-25)8-9-22-27(5)12-11-23(31)26(3,4)21(27)10-13-29(22,28)7/h8,20-23,31H,9-18H2,1-7H3,(H,32,33)/t20-,21-,22+,23-,27-,28+,29+,30-/m0/s1</t>
  </si>
  <si>
    <t>HMDB02364</t>
  </si>
  <si>
    <t>oleate/vaccenate (18:1)</t>
  </si>
  <si>
    <t>oleoyl ethanolamide</t>
  </si>
  <si>
    <t>C20H39NO2</t>
  </si>
  <si>
    <t>CCCCCCCC\C=C/CCCCCCCC(=O)NCCO</t>
  </si>
  <si>
    <t>InChI=1S/C20H39NO2/c1-2-3-4-5-6-7-8-9-10-11-12-13-14-15-16-17-20(23)21-18-19-22/h9-10,22H,2-8,11-19H2,1H3,(H,21,23)/b10-9-</t>
  </si>
  <si>
    <t>HMDB02088</t>
  </si>
  <si>
    <t>oleoyl-arachidonoyl-glycerol (18:1/20:4) [2]*</t>
  </si>
  <si>
    <t>HMDB07228</t>
  </si>
  <si>
    <t>oleoylcarnitine (C18:1)</t>
  </si>
  <si>
    <t>HMDB05065</t>
  </si>
  <si>
    <t>oleoylcholine</t>
  </si>
  <si>
    <t>C23H46NO2+</t>
  </si>
  <si>
    <t>CCCCCCCC/C=C\CCCCCCCC(OCC[N+](C)(C)C)=O</t>
  </si>
  <si>
    <t>InChI=1S/C23H46NO2/c1-5-6-7-8-9-10-11-12-13-14-15-16-17-18-19-20-23(25)26-22-21-24(2,3)4/h12-13H,5-11,14-22H2,1-4H3/q+1/b13-12-</t>
  </si>
  <si>
    <t>oleoyl-linolenoyl-glycerol (18:1/18:3) [2]*</t>
  </si>
  <si>
    <t>HMDB07220</t>
  </si>
  <si>
    <t>oleoyl-linoleoyl-glycerol (18:1/18:2) [1]</t>
  </si>
  <si>
    <t>HMDB07219</t>
  </si>
  <si>
    <t>oleoyl-linoleoyl-glycerol (18:1/18:2) [2]</t>
  </si>
  <si>
    <t>oleoyl-oleoyl-glycerol (18:1/18:1) [2]*</t>
  </si>
  <si>
    <t>HMDB07218</t>
  </si>
  <si>
    <t>ornithine</t>
  </si>
  <si>
    <t>C5H12N2O2</t>
  </si>
  <si>
    <t>NCCCC(N)C(O)=O</t>
  </si>
  <si>
    <t>InChI=1S/C5H12N2O2/c6-3-1-2-4(7)5(8)9/h4H,1-3,6-7H2,(H,8,9)</t>
  </si>
  <si>
    <t>HMDB03374</t>
  </si>
  <si>
    <t>orotate</t>
  </si>
  <si>
    <t>C5H4N2O4</t>
  </si>
  <si>
    <t>OC(=O)c1cc(=O)[nH]c(=O)[nH]1</t>
  </si>
  <si>
    <t>InChI=1S/C5H4N2O4/c8-3-1-2(4(9)10)6-5(11)7-3/h1H,(H,9,10)(H2,6,7,8,11)</t>
  </si>
  <si>
    <t>HMDB00226</t>
  </si>
  <si>
    <t>orotidine</t>
  </si>
  <si>
    <t>C10H12N2O8</t>
  </si>
  <si>
    <t>OC[C@H]1O[C@H]([C@H](O)[C@@H]1O)n1c(cc(=O)[nH]c1=O)C(O)=O</t>
  </si>
  <si>
    <t>InChI=1S/C10H12N2O8/c13-2-4-6(15)7(16)8(20-4)12-3(9(17)18)1-5(14)11-10(12)19/h1,4,6-8,13,15-16H,2H2,(H,17,18)(H,11,14,19)/t4-,6-,7-,8-/m1/s1</t>
  </si>
  <si>
    <t>HMDB00788</t>
  </si>
  <si>
    <t>O-sulfo-L-tyrosine</t>
  </si>
  <si>
    <t>C9H11NO6S</t>
  </si>
  <si>
    <t>O=C(O)[C@@H](N)CC=1C=CC(=CC1)OS(O)(=O)=O</t>
  </si>
  <si>
    <t>InChI=1S/C9H11NO6S/c10-8(9(11)12)5-6-1-3-7(4-2-6)16-17(13,14)15/h1-4,8H,5,10H2,(H,11,12)(H,13,14,15)/t8-/m0/s1</t>
  </si>
  <si>
    <t>o-Tyrosine</t>
  </si>
  <si>
    <t>C9H11NO3</t>
  </si>
  <si>
    <t>HMDB06050</t>
  </si>
  <si>
    <t>PAHSA (16:0/OH-18:0)</t>
  </si>
  <si>
    <t>palmitate (16:0)</t>
  </si>
  <si>
    <t>HMDB00220</t>
  </si>
  <si>
    <t>palmitoleamide (16:1)*</t>
  </si>
  <si>
    <t>palmitoleate (16:1n7)</t>
  </si>
  <si>
    <t>HMDB03229</t>
  </si>
  <si>
    <t>palmitoleoyl ethanolamide*</t>
  </si>
  <si>
    <t>C18H35NO2</t>
  </si>
  <si>
    <t>CCCCCC\C=C/CCCCCCCC(=O)NCCO</t>
  </si>
  <si>
    <t>InChI=1S/C18H35NO2/c1-2-3-4-5-6-7-8-9-10-11-12-13-14-15-18(21)19-16-17-20/h7-8,20H,2-6,9-17H2,1H3,(H,19,21)/b8-7-</t>
  </si>
  <si>
    <t>HMDB13648</t>
  </si>
  <si>
    <t>palmitoleoylcarnitine (C16:1)*</t>
  </si>
  <si>
    <t>palmitoleoyl-linoleoyl-glycerol (16:1/18:2) [1]*</t>
  </si>
  <si>
    <t>HMDB07132</t>
  </si>
  <si>
    <t>palmitoyl dihydrosphingomyelin (d18:0/16:0)*</t>
  </si>
  <si>
    <t>C39H81N2O6P</t>
  </si>
  <si>
    <t>CCCCCCCCCCCCCCC[C@@H](O)[C@H](COP([O-])(=O)OCC[N+](C)(C)C)NC(=O)CCCCCCCCCCCCCCC</t>
  </si>
  <si>
    <t>InChI=1S/C39H81N2O6P/c1-6-8-10-12-14-16-18-20-22-24-26-28-30-32-38(42)37(36-47-48(44,45)46-35-34-41(3,4)5)40-39(43)33-31-29-27-25-23-21-19-17-15-13-11-9-7-2/h37-38,42H,6-36H2,1-5H3,(H-,40,43,44,45)/t37-,38+/m0/s1</t>
  </si>
  <si>
    <t>palmitoyl sphingomyelin (d18:1/16:0)</t>
  </si>
  <si>
    <t>C39H79N2O6P</t>
  </si>
  <si>
    <t>CCCCCCCCCCCCCCCC(=O)N[C@@H](COP([O-])(=O)OCC[N+](C)(C)C)[C@H](O)\C=C\CCCCCCCCCCCCC</t>
  </si>
  <si>
    <t>InChI=1S/C39H79N2O6P/c1-6-8-10-12-14-16-18-20-22-24-26-28-30-32-38(42)37(36-47-48(44,45)46-35-34-41(3,4)5)40-39(43)33-31-29-27-25-23-21-19-17-15-13-11-9-7-2/h30,32,37-38,42H,6-29,31,33-36H2,1-5H3,(H-,40,43,44,45)/b32-30+/t37-,38+/m0/s1</t>
  </si>
  <si>
    <t>palmitoylcarnitine (C16)</t>
  </si>
  <si>
    <t>HMDB00222</t>
  </si>
  <si>
    <t>palmitoylcholine</t>
  </si>
  <si>
    <t>C21H44NO2+</t>
  </si>
  <si>
    <t>C(CCCCCCCCCCCCC(OCC[N+](C)(C)C)=O)CC</t>
  </si>
  <si>
    <t>InChI=1S/C21H44NO2/c1-5-6-7-8-9-10-11-12-13-14-15-16-17-18-21(23)24-20-19-22(2,3)4/h5-20H2,1-4H3/q+1</t>
  </si>
  <si>
    <t>palmitoyl-linoleoyl-glycerol (16:0/18:2) [1]*</t>
  </si>
  <si>
    <t>HMDB07103</t>
  </si>
  <si>
    <t>palmitoyl-linoleoyl-glycerol (16:0/18:2) [2]*</t>
  </si>
  <si>
    <t>palmitoyl-oleoyl-glycerol (16:0/18:1) [2]*</t>
  </si>
  <si>
    <t>HMDB07102</t>
  </si>
  <si>
    <t>pantothenate</t>
  </si>
  <si>
    <t>C9H17NO5</t>
  </si>
  <si>
    <t>CC(C)(CO)C(O)C(=O)NCCC(O)=O</t>
  </si>
  <si>
    <t>InChI=1S/C9H17NO5/c1-9(2,5-11)7(14)8(15)10-4-3-6(12)13/h7,11,14H,3-5H2,1-2H3,(H,10,15)(H,12,13)</t>
  </si>
  <si>
    <t>p-cresol</t>
  </si>
  <si>
    <t>C7H8O</t>
  </si>
  <si>
    <t>Cc1ccc(O)cc1</t>
  </si>
  <si>
    <t>InChI=1S/C7H8O/c1-6-2-4-7(8)5-3-6/h2-5,8H,1H3</t>
  </si>
  <si>
    <t>HMDB01858</t>
  </si>
  <si>
    <t>p-cresol sulfate</t>
  </si>
  <si>
    <t>C7H8O4S</t>
  </si>
  <si>
    <t>Cc1ccc(OS(O)(=O)=O)cc1</t>
  </si>
  <si>
    <t>InChI=1S/C7H8O4S/c1-6-2-4-7(5-3-6)11-12(8,9)10/h2-5H,1H3,(H,8,9,10)</t>
  </si>
  <si>
    <t>HMDB11635</t>
  </si>
  <si>
    <t>pentadecanoate (15:0)</t>
  </si>
  <si>
    <t>HMDB00826</t>
  </si>
  <si>
    <t>perfluorooctanesulfonate (PFOS)</t>
  </si>
  <si>
    <t>HMDB59586</t>
  </si>
  <si>
    <t>phenethylamine</t>
  </si>
  <si>
    <t>C8H11N</t>
  </si>
  <si>
    <t>NCCc1ccccc1</t>
  </si>
  <si>
    <t>InChI=1S/C8H11N/c9-7-6-8-4-2-1-3-5-8/h1-5H,6-7,9H2</t>
  </si>
  <si>
    <t>HMDB02017</t>
  </si>
  <si>
    <t>phenol sulfate</t>
  </si>
  <si>
    <t>C6H6O4S</t>
  </si>
  <si>
    <t>OS(=O)(=O)Oc1ccccc1</t>
  </si>
  <si>
    <t>InChI=1S/C6H6O4S/c7-11(8,9)10-6-4-2-1-3-5-6/h1-5H,(H,7,8,9)</t>
  </si>
  <si>
    <t>HMDB60015</t>
  </si>
  <si>
    <t>phenylacetate</t>
  </si>
  <si>
    <t>C8H8O2</t>
  </si>
  <si>
    <t>OC(=O)Cc1ccccc1</t>
  </si>
  <si>
    <t>InChI=1S/C8H8O2/c9-8(10)6-7-4-2-1-3-5-7/h1-5H,6H2,(H,9,10)</t>
  </si>
  <si>
    <t>HMDB00209</t>
  </si>
  <si>
    <t>phenylacetylalanine</t>
  </si>
  <si>
    <t>phenylacetylglutamine</t>
  </si>
  <si>
    <t>C13H16N2O4</t>
  </si>
  <si>
    <t>NC(=O)CCC(NC(=O)Cc1ccccc1)C(O)=O</t>
  </si>
  <si>
    <t>InChI=1S/C13H16N2O4/c14-11(16)7-6-10(13(18)19)15-12(17)8-9-4-2-1-3-5-9/h1-5,10H,6-8H2,(H2,14,16)(H,15,17)(H,18,19)</t>
  </si>
  <si>
    <t>HMDB06344</t>
  </si>
  <si>
    <t>phenylacetylglycine</t>
  </si>
  <si>
    <t>OC(=O)CNC(=O)Cc1ccccc1</t>
  </si>
  <si>
    <t>InChI=1S/C10H11NO3/c12-9(11-7-10(13)14)6-8-4-2-1-3-5-8/h1-5H,6-7H2,(H,11,12)(H,13,14)</t>
  </si>
  <si>
    <t>HMDB00821</t>
  </si>
  <si>
    <t>phenylacetylphenylalanine</t>
  </si>
  <si>
    <t>C17H17NO3</t>
  </si>
  <si>
    <t>OC(=O)[C@@H](NC(=O)CC1=CC=CC=C1)CC2=CC=CC=C2</t>
  </si>
  <si>
    <t>InChI=1S/C17H17NO3/c19-16(12-14-9-5-2-6-10-14)18-15(17(20)21)11-13-7-3-1-4-8-13/h1-10,15H,11-12H2,(H,18,19)(H,20,21)/t15-/m0/s1</t>
  </si>
  <si>
    <t>phenylalanine</t>
  </si>
  <si>
    <t>C9H11NO2</t>
  </si>
  <si>
    <t>NC(Cc1ccccc1)C(O)=O</t>
  </si>
  <si>
    <t>InChI=1S/C9H11NO2/c10-8(9(11)12)6-7-4-2-1-3-5-7/h1-5,8H,6,10H2,(H,11,12)</t>
  </si>
  <si>
    <t>phenylalanylalanine</t>
  </si>
  <si>
    <t>C12H16N2O3</t>
  </si>
  <si>
    <t>O=C(NC(C)C(O)=O)C(N)CC1=CC=CC=C1</t>
  </si>
  <si>
    <t>InChI=1S/C12H16N2O3/c1-8(12(16)17)14-11(15)10(13)7-9-5-3-2-4-6-9/h2-6,8,10H,7,13H2,1H3,(H,14,15)(H,16,17)</t>
  </si>
  <si>
    <t>phenylalanylglycine</t>
  </si>
  <si>
    <t>C11H14N2O3</t>
  </si>
  <si>
    <t>N[C@@H](Cc1ccccc1)C(=O)NCC(O)=O</t>
  </si>
  <si>
    <t>InChI=1S/C11H14N2O3/c12-9(11(16)13-7-10(14)15)6-8-4-2-1-3-5-8/h1-5,9H,6-7,12H2,(H,13,16)(H,14,15)/t9-/m0/s1</t>
  </si>
  <si>
    <t>HMDB28995</t>
  </si>
  <si>
    <t>phenyllactate (PLA)</t>
  </si>
  <si>
    <t>HMDB00779</t>
  </si>
  <si>
    <t>phenylpyruvate</t>
  </si>
  <si>
    <t>HMDB00205</t>
  </si>
  <si>
    <t>pheophorbide A</t>
  </si>
  <si>
    <t>C35H36N4O5</t>
  </si>
  <si>
    <t>CCc1c(C)c2cc3[nH]c(cc4nc([C@@H](CCC(O)=O)[C@@H]4C)c4[C@@H](C(=O)OC)C(=O)c5c(C)c(cc1n2)[nH]c45)c(C)c3C=C</t>
  </si>
  <si>
    <t>InChI=1S/C35H36N4O5/c1-8-19-15(3)22-12-24-17(5)21(10-11-28(40)41)32(38-24)30-31(35(43)44-7)34(42)29-18(6)25(39-33(29)30)14-27-20(9-2)16(4)23(37-27)13-26(19)36-22/h8,12-14,17,21,31,36,39H,1,9-11H2,2-7H3,(H,40,41)/b22-12-,23-13-,24-12-,25-14-,26-13-,27-14-,32-30-/t17-,21-,31+/m0/s1</t>
  </si>
  <si>
    <t>pheophytin A</t>
  </si>
  <si>
    <t>C55H74N4O5</t>
  </si>
  <si>
    <t>CCc1c(C)c2cc3[nH]c(cc4nc([C@@H](CCC(=O)OC\C=C(/C)CCC[C@H](C)CCC[C@H](C)CCCC(C)C)[C@@H]4C)c4[C@@H](C(=O)OC)C(=O)c5c(C)c(cc1n2)[nH]c45)c(C)c3C=C</t>
  </si>
  <si>
    <t>InChI=1S/C55H74N4O5/c1-13-39-35(8)42-28-44-37(10)41(24-25-48(60)64-27-26-34(7)23-17-22-33(6)21-16-20-32(5)19-15-18-31(3)4)52(58-44)50-51(55(62)63-12)54(61)49-38(11)45(59-53(49)50)30-47-40(14-2)36(9)43(57-47)29-46(39)56-42/h13,26,28-33,37,41,51,56,59H,1,14-25,27H2,2-12H3/b34-26+,42-28-,43-29-,44-28-,45-30-,46-29-,47-30-,52-50-/t32-,33-,37+,41+,51-/m1/s1</t>
  </si>
  <si>
    <t>phosphate</t>
  </si>
  <si>
    <t>H3O4P</t>
  </si>
  <si>
    <t>[H]OP(=O)(O[H])O[H]</t>
  </si>
  <si>
    <t>InChI=1S/H3O4P/c1-5(2,3)4/h(H3,1,2,3,4)</t>
  </si>
  <si>
    <t>HMDB01429</t>
  </si>
  <si>
    <t>choline phosphate</t>
  </si>
  <si>
    <t>C5H15NO4P</t>
  </si>
  <si>
    <t>C[N+](C)(C)CCOP(O)(O)=O</t>
  </si>
  <si>
    <t>InChI=1S/C5H14NO4P/c1-6(2,3)4-5-10-11(7,8)9/h4-5H2,1-3H3,(H-,7,8,9)/p+1</t>
  </si>
  <si>
    <t>HMDB01565</t>
  </si>
  <si>
    <t>p-hydroxybenzaldehyde</t>
  </si>
  <si>
    <t>[H]C(=O)c1ccc(O)cc1</t>
  </si>
  <si>
    <t>InChI=1S/C7H6O2/c8-5-6-1-3-7(9)4-2-6/h1-5,9H</t>
  </si>
  <si>
    <t>HMDB11718</t>
  </si>
  <si>
    <t>phytosphingosine</t>
  </si>
  <si>
    <t>C18H39NO3</t>
  </si>
  <si>
    <t>CCCCCCCCCCCCCC[C@@H](O)[C@@H](O)[C@@H](N)CO</t>
  </si>
  <si>
    <t>InChI=1S/C18H39NO3/c1-2-3-4-5-6-7-8-9-10-11-12-13-14-17(21)18(22)16(19)15-20/h16-18,20-22H,2-15,19H2,1H3/t16-,17+,18-/m0/s1</t>
  </si>
  <si>
    <t>HMDB04610</t>
  </si>
  <si>
    <t>picolinate</t>
  </si>
  <si>
    <t>OC(=O)c1ccccn1</t>
  </si>
  <si>
    <t>InChI=1S/C6H5NO2/c8-6(9)5-3-1-2-4-7-5/h1-4H,(H,8,9)</t>
  </si>
  <si>
    <t>HMDB02243</t>
  </si>
  <si>
    <t>pimelate (C7-DC)</t>
  </si>
  <si>
    <t>HMDB00857</t>
  </si>
  <si>
    <t>pinosylvin</t>
  </si>
  <si>
    <t>C14H12O2</t>
  </si>
  <si>
    <t>[H]C(=C([H])c1cc(O)cc(O)c1)c1ccccc1</t>
  </si>
  <si>
    <t>InChI=1S/C14H12O2/c15-13-8-12(9-14(16)10-13)7-6-11-4-2-1-3-5-11/h1-10,15-16H</t>
  </si>
  <si>
    <t>pinosylvin monomethylether</t>
  </si>
  <si>
    <t>C15H14O2</t>
  </si>
  <si>
    <t>COc1cc(O)cc(\C=C\c2ccccc2)c1</t>
  </si>
  <si>
    <t>InChI=1S/C15H14O2/c1-17-15-10-13(9-14(16)11-15)8-7-12-5-3-2-4-6-12/h2-11,16H,1H3/b8-7+</t>
  </si>
  <si>
    <t>pipecolate</t>
  </si>
  <si>
    <t>OC(=O)C1CCCCN1</t>
  </si>
  <si>
    <t>InChI=1S/C6H11NO2/c8-6(9)5-3-1-2-4-7-5/h5,7H,1-4H2,(H,8,9)</t>
  </si>
  <si>
    <t>HMDB00070</t>
  </si>
  <si>
    <t>piperidine</t>
  </si>
  <si>
    <t>C5H11N</t>
  </si>
  <si>
    <t>C1CCNCC1</t>
  </si>
  <si>
    <t>InChI=1S/C5H11N/c1-2-4-6-5-3-1/h6H,1-5H2</t>
  </si>
  <si>
    <t>HMDB34301</t>
  </si>
  <si>
    <t>ponciretin</t>
  </si>
  <si>
    <t>pregnanolone/allopregnanolone sulfate</t>
  </si>
  <si>
    <t>pregnenediol disulfate (C21H34O8S2)*</t>
  </si>
  <si>
    <t>pregnenolone sulfate</t>
  </si>
  <si>
    <t>C21H32O5S</t>
  </si>
  <si>
    <t>C1[C@@]2([C@]3(CC[C@]4(C)[C@@H](C(C)=O)CC[C@]4([C@@]3(CC=C2C[C@H](C1)OS(O)(=O)=O)[H])[H])[H])C</t>
  </si>
  <si>
    <t>InChI=1S/C21H32O5S/c1-13(22)17-6-7-18-16-5-4-14-12-15(26-27(23,24)25)8-10-20(14,2)19(16)9-11-21(17,18)3/h4,15-19H,5-12H2,1-3H3,(H,23,24,25)/t15-,16-,17+,18-,19-,20-,21+/m0/s1</t>
  </si>
  <si>
    <t>HMDB00774</t>
  </si>
  <si>
    <t>proline</t>
  </si>
  <si>
    <t>C5H9NO2</t>
  </si>
  <si>
    <t>OC(=O)C1CCCN1</t>
  </si>
  <si>
    <t>InChI=1S/C5H9NO2/c7-5(8)4-2-1-3-6-4/h4,6H,1-3H2,(H,7,8)</t>
  </si>
  <si>
    <t>pro-hydroxy-pro</t>
  </si>
  <si>
    <t>C10H16N2O4</t>
  </si>
  <si>
    <t>O[C@@H]1C[C@H](N(C1)C(=O)[C@H]2[NH2+]CCC2)C([O-])=O</t>
  </si>
  <si>
    <t>InChI=1S/C10H16N2O4/c13-6-4-8(10(15)16)12(5-6)9(14)7-2-1-3-11-7/h6-8,11,13H,1-5H2,(H,15,16)/t6-,7+,8+/m1/s1</t>
  </si>
  <si>
    <t>HMDB06695</t>
  </si>
  <si>
    <t>propionylglutamine</t>
  </si>
  <si>
    <t>propionylglycine</t>
  </si>
  <si>
    <t>C(CNC(=O)CC)(=O)O</t>
  </si>
  <si>
    <t>InChI=1S/C5H9NO3/c1-2-4(7)6-3-5(8)9/h2-3H2,1H3,(H,6,7)(H,8,9)</t>
  </si>
  <si>
    <t>HMDB00783</t>
  </si>
  <si>
    <t>propyl 4-hydroxybenzoate</t>
  </si>
  <si>
    <t>C10H12O3</t>
  </si>
  <si>
    <t>CCCOC(=O)c1ccc(O)cc1</t>
  </si>
  <si>
    <t>InChI=1S/C10H12O3/c1-2-7-13-10(12)8-3-5-9(11)6-4-8/h3-6,11H,2,7H2,1H3</t>
  </si>
  <si>
    <t>HMDB32574</t>
  </si>
  <si>
    <t>protoporphyrin IX</t>
  </si>
  <si>
    <t>C34H34N4O4</t>
  </si>
  <si>
    <t>Cc1c(CCC(O)=O)c2cc3[nH]c(cc4nc(cc5[nH]c(cc1n2)c(C)c5C=C)c(C)c4C=C)c(C)c3CCC(O)=O</t>
  </si>
  <si>
    <t>InChI=1S/C34H34N4O4/c1-7-21-17(3)25-13-26-19(5)23(9-11-33(39)40)31(37-26)16-32-24(10-12-34(41)42)20(6)28(38-32)15-30-22(8-2)18(4)27(36-30)14-29(21)35-25/h7-8,13-16,35,38H,1-2,9-12H2,3-6H3,(H,39,40)(H,41,42)/b25-13-,26-13-,27-14-,28-15-,29-14-,30-15-,31-16-,32-16-</t>
  </si>
  <si>
    <t>HMDB00241</t>
  </si>
  <si>
    <t>pseudouridine</t>
  </si>
  <si>
    <t>C9H12N2O6</t>
  </si>
  <si>
    <t>OC[C@H]1O[C@H]([C@H](O)[C@@H]1O)c1c[nH]c(=O)[nH]c1=O</t>
  </si>
  <si>
    <t>InChI=1S/C9H12N2O6/c12-2-4-5(13)6(14)7(17-4)3-1-10-9(16)11-8(3)15/h1,4-7,12-14H,2H2,(H2,10,11,15,16)/t4-,5-,6-,7+/m1/s1</t>
  </si>
  <si>
    <t>HMDB00767</t>
  </si>
  <si>
    <t>pterin</t>
  </si>
  <si>
    <t>C6H5N5O</t>
  </si>
  <si>
    <t>HMDB00802</t>
  </si>
  <si>
    <t>putrescine</t>
  </si>
  <si>
    <t>C4H12N2</t>
  </si>
  <si>
    <t>NCCCCN</t>
  </si>
  <si>
    <t>InChI=1S/C4H12N2/c5-3-1-2-4-6/h1-6H2</t>
  </si>
  <si>
    <t>pyridoxal</t>
  </si>
  <si>
    <t>C8H9NO3</t>
  </si>
  <si>
    <t>[H]C(=O)c1c(CO)cnc(C)c1O</t>
  </si>
  <si>
    <t>InChI=1S/C8H9NO3/c1-5-8(12)7(4-11)6(3-10)2-9-5/h2,4,10,12H,3H2,1H3</t>
  </si>
  <si>
    <t>HMDB01545</t>
  </si>
  <si>
    <t>pyridoxamine</t>
  </si>
  <si>
    <t>C8H12N2O2</t>
  </si>
  <si>
    <t>Cc1ncc(CO)c(CN)c1O</t>
  </si>
  <si>
    <t>InChI=1S/C8H12N2O2/c1-5-8(12)7(2-9)6(4-11)3-10-5/h3,11-12H,2,4,9H2,1H3</t>
  </si>
  <si>
    <t>HMDB01431</t>
  </si>
  <si>
    <t>pyridoxate</t>
  </si>
  <si>
    <t>C8H9NO4</t>
  </si>
  <si>
    <t>HMDB00017</t>
  </si>
  <si>
    <t>pyridoxine (Vitamin B6)</t>
  </si>
  <si>
    <t>HMDB02075</t>
  </si>
  <si>
    <t>pyroglutamine*</t>
  </si>
  <si>
    <t>C1(NC(C(CC1)N)=O)=O</t>
  </si>
  <si>
    <t>InChI=1S/C5H8N2O2/c6-3-1-2-4(8)7-5(3)9/h3H,1-2,6H2,(H,7,8,9)</t>
  </si>
  <si>
    <t>pyrraline</t>
  </si>
  <si>
    <t>C6H7NO2</t>
  </si>
  <si>
    <t>C=1C=C(C(=O)[H])NC1CO</t>
  </si>
  <si>
    <t>InChI=1S/C6H7NO2/c8-3-5-1-2-6(4-9)7-5/h1-3,7,9H,4H2</t>
  </si>
  <si>
    <t>HMDB33143</t>
  </si>
  <si>
    <t>pyruvate</t>
  </si>
  <si>
    <t>C3H4O3</t>
  </si>
  <si>
    <t>CC(=O)C(O)=O</t>
  </si>
  <si>
    <t>InChI=1S/C3H4O3/c1-2(4)3(5)6/h1H3,(H,5,6)</t>
  </si>
  <si>
    <t>HMDB00243</t>
  </si>
  <si>
    <t>quercitrin (quercetin 3-rhamnoside)</t>
  </si>
  <si>
    <t>HMDB33751</t>
  </si>
  <si>
    <t>quinate</t>
  </si>
  <si>
    <t>C7H12O6</t>
  </si>
  <si>
    <t>O[C@@H]1C[C@@](O)(C[C@@H](O)[C@H]1O)C(O)=O</t>
  </si>
  <si>
    <t>InChI=1S/C7H12O6/c8-3-1-7(13,6(11)12)2-4(9)5(3)10/h3-5,8-10,13H,1-2H2,(H,11,12)/t3-,4-,5-,7+/m1/s1</t>
  </si>
  <si>
    <t>HMDB03072</t>
  </si>
  <si>
    <t>quinolinate</t>
  </si>
  <si>
    <t>C7H5NO4</t>
  </si>
  <si>
    <t>OC(=O)c1cccnc1C(O)=O</t>
  </si>
  <si>
    <t>InChI=1S/C7H5NO4/c9-6(10)4-2-1-3-8-5(4)7(11)12/h1-3H,(H,9,10)(H,11,12)</t>
  </si>
  <si>
    <t>HMDB00232</t>
  </si>
  <si>
    <t>retinol (Vitamin A)</t>
  </si>
  <si>
    <t>HMDB00305</t>
  </si>
  <si>
    <t>rhodamine B</t>
  </si>
  <si>
    <t>C28H31ClN2O3</t>
  </si>
  <si>
    <t>[Cl-].CCN(CC)c1ccc2c(-c3ccccc3C(O)=O)c3ccc(cc3oc2c1)=[N+](CC)CC</t>
  </si>
  <si>
    <t>InChI=1S/C28H30N2O3.ClH/c1-5-29(6-2)19-13-15-23-25(17-19)33-26-18-20(30(7-3)8-4)14-16-24(26)27(23)21-11-9-10-12-22(21)28(31)32;/h9-18H,5-8H2,1-4H3;1H</t>
  </si>
  <si>
    <t>riboflavin (Vitamin B2)</t>
  </si>
  <si>
    <t>C17H20N4O6</t>
  </si>
  <si>
    <t>Cc1cc2nc3c(nc(=O)[nH]c3=O)n(C[C@H](O)[C@H](O)[C@H](O)CO)c2cc1C</t>
  </si>
  <si>
    <t>InChI=1S/C17H20N4O6/c1-7-3-9-10(4-8(7)2)21(5-11(23)14(25)12(24)6-22)15-13(18-9)16(26)20-17(27)19-15/h3-4,11-12,14,22-25H,5-6H2,1-2H3,(H,20,26,27)/t11-,12+,14-/m0/s1</t>
  </si>
  <si>
    <t>HMDB00244</t>
  </si>
  <si>
    <t>ribonate</t>
  </si>
  <si>
    <t>HMDB00867</t>
  </si>
  <si>
    <t>ribose</t>
  </si>
  <si>
    <t>HMDB00283</t>
  </si>
  <si>
    <t>ribulonate/xylulonate*</t>
  </si>
  <si>
    <t>ribulose/xylulose</t>
  </si>
  <si>
    <t>C(O)C(=O)[C@@H](O)[C@H](O)CO</t>
  </si>
  <si>
    <t>InChI=1S/C5H10O5/c6-1-3(8)5(10)4(9)2-7/h3,5-8,10H,1-2H2/t3-,5+/m1/s1</t>
  </si>
  <si>
    <t>S-(3-hydroxypropyl)mercapturic acid (HPMA)</t>
  </si>
  <si>
    <t>saccharin</t>
  </si>
  <si>
    <t>C7H5NO3S</t>
  </si>
  <si>
    <t>O=C1NS(=O)(=O)c2ccccc12</t>
  </si>
  <si>
    <t>InChI=1S/C7H5NO3S/c9-7-5-3-1-2-4-6(5)12(10,11)8-7/h1-4H,(H,8,9)</t>
  </si>
  <si>
    <t>HMDB29723</t>
  </si>
  <si>
    <t>saccharopine</t>
  </si>
  <si>
    <t>C11H20N2O6</t>
  </si>
  <si>
    <t>N[C@@H](CCCCN[C@@H](CCC(O)=O)C(O)=O)C(O)=O</t>
  </si>
  <si>
    <t>InChI=1S/C11H20N2O6/c12-7(10(16)17)3-1-2-6-13-8(11(18)19)4-5-9(14)15/h7-8,13H,1-6,12H2,(H,14,15)(H,16,17)(H,18,19)/t7-,8-/m0/s1</t>
  </si>
  <si>
    <t>HMDB00279</t>
  </si>
  <si>
    <t>salicylate</t>
  </si>
  <si>
    <t>OC(=O)c1ccccc1O</t>
  </si>
  <si>
    <t>InChI=1S/C7H6O3/c8-6-4-2-1-3-5(6)7(9)10/h1-4,8H,(H,9,10)</t>
  </si>
  <si>
    <t>HMDB01895</t>
  </si>
  <si>
    <t>sarcosine</t>
  </si>
  <si>
    <t>CNCC(O)=O</t>
  </si>
  <si>
    <t>InChI=1S/C3H7NO2/c1-4-2-3(5)6/h4H,2H2,1H3,(H,5,6)</t>
  </si>
  <si>
    <t>HMDB00271</t>
  </si>
  <si>
    <t>S-carboxymethyl-L-cysteine</t>
  </si>
  <si>
    <t>C5H9NO4S</t>
  </si>
  <si>
    <t>N[C@@H](CSCC(O)=O)C(O)=O</t>
  </si>
  <si>
    <t>InChI=1S/C5H9NO4S/c6-3(5(9)10)1-11-2-4(7)8/h3H,1-2,6H2,(H,7,8)(H,9,10)/t3-/m0/s1</t>
  </si>
  <si>
    <t>HMDB29415</t>
  </si>
  <si>
    <t>sebacate (C10-DC)</t>
  </si>
  <si>
    <t>HMDB00792</t>
  </si>
  <si>
    <t>secoisolariciresinol</t>
  </si>
  <si>
    <t>C20H26O6</t>
  </si>
  <si>
    <t>COc1cc(C[C@@H](CO)[C@H](CO)Cc2ccc(O)c(OC)c2)ccc1O</t>
  </si>
  <si>
    <t>InChI=1S/C20H26O6/c1-25-19-9-13(3-5-17(19)23)7-15(11-21)16(12-22)8-14-4-6-18(24)20(10-14)26-2/h3-6,9-10,15-16,21-24H,7-8,11-12H2,1-2H3/t15-,16-/m0/s1</t>
  </si>
  <si>
    <t>HMDB13692</t>
  </si>
  <si>
    <t>secoisolariciresinol diglucoside</t>
  </si>
  <si>
    <t>sedoheptulose</t>
  </si>
  <si>
    <t>C7H14O7</t>
  </si>
  <si>
    <t>OC[C@@H](O)[C@@H](O)[C@@H](O)[C@H](O)C(=O)CO</t>
  </si>
  <si>
    <t>InChI=1S/C7H14O7/c8-1-3(10)5(12)7(14)6(13)4(11)2-9/h3,5-10,12-14H,1-2H2/t3-,5-,6-,7-/m1/s1</t>
  </si>
  <si>
    <t>HMDB03219</t>
  </si>
  <si>
    <t>serine</t>
  </si>
  <si>
    <t>C3H7NO3</t>
  </si>
  <si>
    <t>NC(CO)C(O)=O</t>
  </si>
  <si>
    <t>InChI=1S/C3H7NO3/c4-2(1-5)3(6)7/h2,5H,1,4H2,(H,6,7)</t>
  </si>
  <si>
    <t>serotonin</t>
  </si>
  <si>
    <t>C10H12N2O</t>
  </si>
  <si>
    <t>C1=CC(=CC=2C(=CNC12)CCN)O</t>
  </si>
  <si>
    <t>InChI=1S/C10H12N2O/c11-4-3-7-6-12-10-2-1-8(13)5-9(7)10/h1-2,5-6,12-13H,3-4,11H2</t>
  </si>
  <si>
    <t>sinapate</t>
  </si>
  <si>
    <t>C11H12O5</t>
  </si>
  <si>
    <t>COc1cc(cc(OC)c1O)\C=C\C(O)=O</t>
  </si>
  <si>
    <t>InChI=1S/C11H12O5/c1-15-8-5-7(3-4-10(12)13)6-9(16-2)11(8)14/h3-6,14H,1-2H3,(H,12,13)/b4-3+</t>
  </si>
  <si>
    <t>HMDB32616</t>
  </si>
  <si>
    <t>sinensetin</t>
  </si>
  <si>
    <t>C20H20O7</t>
  </si>
  <si>
    <t>COc1ccc(cc1OC)-c1cc(=O)c2c(OC)c(OC)c(OC)cc2o1</t>
  </si>
  <si>
    <t>InChI=1S/C20H20O7/c1-22-13-7-6-11(8-15(13)23-2)14-9-12(21)18-16(27-14)10-17(24-3)19(25-4)20(18)26-5/h6-10H,1-5H3</t>
  </si>
  <si>
    <t>HMDB36633</t>
  </si>
  <si>
    <t>solanidine</t>
  </si>
  <si>
    <t>C27H43NO</t>
  </si>
  <si>
    <t>[H][C@]12CC[C@H](C)CN1[C@@]1([H])C[C@@]3([H])[C@]4([H])CC=C5C[C@@H](O)CC[C@]5(C)[C@@]4([H])CC[C@]3(C)[C@@]1([H])[C@@H]2C</t>
  </si>
  <si>
    <t>InChI=1S/C27H43NO/c1-16-5-8-23-17(2)25-24(28(23)15-16)14-22-20-7-6-18-13-19(29)9-11-26(18,3)21(20)10-12-27(22,25)4/h6,16-17,19-25,29H,5,7-15H2,1-4H3/t16-,17+,19-,20+,21-,22-,23+,24-,25-,26-,27-/m0/s1</t>
  </si>
  <si>
    <t>HMDB03236</t>
  </si>
  <si>
    <t>soyasaponin I</t>
  </si>
  <si>
    <t>C48H78O18</t>
  </si>
  <si>
    <t>[H][C@@]12CC(C)(C)C[C@@H](O)[C@]1(C)CC[C@]1(C)C2=CC[C@]2([H])[C@@]3(C)CC[C@H](O[C@@H]4O[C@@H]([C@@H](O)[C@H](O)[C@H]4O[C@@H]4O[C@H](CO)[C@H](O)[C@H](O)[C@H]4O[C@@H]4O[C@@H](C)[C@H](O)[C@@H](O)[C@H]4O)C(O)=O)[C@](C)(CO)[C@]3([H])CC[C@@]12C</t>
  </si>
  <si>
    <t>InChI=1S/C48H78O18/c1-21-29(52)31(54)35(58)40(61-21)65-37-32(55)30(53)24(19-49)62-41(37)66-38-34(57)33(56)36(39(59)60)64-42(38)63-28-12-13-45(5)25(46(28,6)20-50)11-14-48(8)26(45)10-9-22-23-17-43(2,3)18-27(51)44(23,4)15-16-47(22,48)7/h9,21,23-38,40-42,49-58H,10-20H2,1-8H3,(H,59,60)/t21-,23-,24+,25+,26+,27+,28-,29-,30-,31+,32-,33-,34-,35+,36-,37+,38+,40-,41-,42+,44+,45-,46+,47+,48+/m0/s1</t>
  </si>
  <si>
    <t>HMDB34649</t>
  </si>
  <si>
    <t>soyasaponin II</t>
  </si>
  <si>
    <t>C47H76O17</t>
  </si>
  <si>
    <t>C[C@@H]1O[C@@H](O[C@@H]2[C@@H](O)[C@@H](O)CO[C@H]2O[C@@H]2[C@@H](O)[C@H](O)[C@H](O[C@H]2O[C@H]2CC[C@@]3(C)[C@@H](CC[C@]4(C)[C@@H]3CC=C3[C@@H]5CC(C)(C)C[C@@H](O)[C@]5(C)CC[C@@]43C)[C@@]2(C)CO)C(O)=O)[C@H](O)[C@H](O)[C@H]1O</t>
  </si>
  <si>
    <t>InChI=1S/C47H76O17/c1-21-29(51)31(53)34(56)39(60-21)63-36-30(52)24(49)19-59-40(36)64-37-33(55)32(54)35(38(57)58)62-41(37)61-28-12-13-44(5)25(45(28,6)20-48)11-14-47(8)26(44)10-9-22-23-17-42(2,3)18-27(50)43(23,4)15-16-46(22,47)7/h9,21,23-37,39-41,48-56H,10-20H2,1-8H3,(H,57,58)/t21-,23-,24-,25+,26+,27+,28-,29-,30-,31+,32-,33-,34+,35-,36+,37+,39-,40-,41+,43+,44-,45+,46+,47+/m0/s1</t>
  </si>
  <si>
    <t>HMDB34650</t>
  </si>
  <si>
    <t>soyasaponin III</t>
  </si>
  <si>
    <t>C42H68O14</t>
  </si>
  <si>
    <t>[H][C@@]12CC(C)(C)C[C@@H](O)[C@]1(C)CC[C@]1(C)C2=CC[C@]2([H])[C@@]3(C)CC[C@H](O[C@@H]4O[C@@H]([C@@H](O)[C@H](O)[C@H]4O[C@@H]4O[C@H](CO)[C@H](O)[C@H](O)[C@H]4O)C(O)=O)[C@](C)(CO)[C@]3([H])CC[C@@]12C</t>
  </si>
  <si>
    <t>InChI=1S/C42H68O14/c1-37(2)16-21-20-8-9-24-39(4)12-11-26(40(5,19-44)23(39)10-13-42(24,7)41(20,6)15-14-38(21,3)25(45)17-37)54-36-33(30(49)29(48)32(55-36)34(51)52)56-35-31(50)28(47)27(46)22(18-43)53-35/h8,21-33,35-36,43-50H,9-19H2,1-7H3,(H,51,52)/t21-,22+,23+,24+,25+,26-,27-,28-,29-,30-,31+,32-,33+,35-,36+,38+,39-,40+,41+,42+/m0/s1</t>
  </si>
  <si>
    <t>spermidine</t>
  </si>
  <si>
    <t>C7H19N3</t>
  </si>
  <si>
    <t>NCCCCNCCCN</t>
  </si>
  <si>
    <t>InChI=1S/C7H19N3/c8-4-1-2-6-10-7-3-5-9/h10H,1-9H2</t>
  </si>
  <si>
    <t>HMDB01257</t>
  </si>
  <si>
    <t>sphinganine</t>
  </si>
  <si>
    <t>C18H39NO2</t>
  </si>
  <si>
    <t>CCCCCCCCCCCCCCC[C@@H](O)[C@@H](N)CO</t>
  </si>
  <si>
    <t>InChI=1S/C18H39NO2/c1-2-3-4-5-6-7-8-9-10-11-12-13-14-15-18(21)17(19)16-20/h17-18,20-21H,2-16,19H2,1H3/t17-,18+/m0/s1</t>
  </si>
  <si>
    <t>HMDB00269</t>
  </si>
  <si>
    <t>sphingomyelin (d17:1/16:0, d18:1/15:0, d16:1/17:0)*</t>
  </si>
  <si>
    <t>sphingomyelin (d18:0/18:0, d19:0/17:0)*</t>
  </si>
  <si>
    <t>HMDB12087</t>
  </si>
  <si>
    <t>sphingomyelin (d18:1/14:0, d16:1/16:0)*</t>
  </si>
  <si>
    <t>HMDB12097</t>
  </si>
  <si>
    <t>sphingomyelin (d18:1/17:0, d17:1/18:0, d19:1/16:0)</t>
  </si>
  <si>
    <t>sphingomyelin (d18:1/19:0, d19:1/18:0)*</t>
  </si>
  <si>
    <t>sphingomyelin (d18:1/20:0, d16:1/22:0)*</t>
  </si>
  <si>
    <t>HMDB12102</t>
  </si>
  <si>
    <t>sphingomyelin (d18:1/20:1, d18:2/20:0)*</t>
  </si>
  <si>
    <t>sphingomyelin (d18:1/22:1, d18:2/22:0, d16:1/24:1)*</t>
  </si>
  <si>
    <t>HMDB12104</t>
  </si>
  <si>
    <t>sphingomyelin (d18:1/24:1, d18:2/24:0)*</t>
  </si>
  <si>
    <t>HMDB12107</t>
  </si>
  <si>
    <t>sphingomyelin (d18:2/16:0, d18:1/16:1)*</t>
  </si>
  <si>
    <t>sphingomyelin (d18:2/24:1, d18:1/24:2)*</t>
  </si>
  <si>
    <t>sphingosine</t>
  </si>
  <si>
    <t>CCCCCCCCCCCCC\C=C\[C@@H](O)[C@@H](N)CO</t>
  </si>
  <si>
    <t>InChI=1S/C18H37NO2/c1-2-3-4-5-6-7-8-9-10-11-12-13-14-15-18(21)17(19)16-20/h14-15,17-18,20-21H,2-13,16,19H2,1H3/b15-14+/t17-,18+/m0/s1</t>
  </si>
  <si>
    <t>HMDB00252</t>
  </si>
  <si>
    <t>stachydrine</t>
  </si>
  <si>
    <t>C7H13NO2</t>
  </si>
  <si>
    <t>C[N+]1(C)CCC[C@H]1C([O-])=O</t>
  </si>
  <si>
    <t>InChI=1S/C7H13NO2/c1-8(2)5-3-4-6(8)7(9)10/h6H,3-5H2,1-2H3/t6-/m0/s1</t>
  </si>
  <si>
    <t>HMDB04827</t>
  </si>
  <si>
    <t>stearate (18:0)</t>
  </si>
  <si>
    <t>HMDB00827</t>
  </si>
  <si>
    <t>stearidonate (18:4n3)</t>
  </si>
  <si>
    <t>C18H28O2</t>
  </si>
  <si>
    <t>CC\C=C/C\C=C/C\C=C/C\C=C/CCCCC(O)=O</t>
  </si>
  <si>
    <t>InChI=1S/C18H28O2/c1-2-3-4-5-6-7-8-9-10-11-12-13-14-15-16-17-18(19)20/h3-4,6-7,9-10,12-13H,2,5,8,11,14-17H2,1H3,(H,19,20)/b4-3-,7-6-,10-9-,13-12-</t>
  </si>
  <si>
    <t>HMDB06547</t>
  </si>
  <si>
    <t>stearoyl ethanolamide</t>
  </si>
  <si>
    <t>C20H41NO2</t>
  </si>
  <si>
    <t>CCCCCCCCCCCCCCCCCC(=O)NCCO</t>
  </si>
  <si>
    <t>InChI=1S/C20H41NO2/c1-2-3-4-5-6-7-8-9-10-11-12-13-14-15-16-17-20(23)21-18-19-22/h22H,2-19H2,1H3,(H,21,23)</t>
  </si>
  <si>
    <t>HMDB13078</t>
  </si>
  <si>
    <t>stearoyl sphingomyelin (d18:1/18:0)</t>
  </si>
  <si>
    <t>HMDB01348</t>
  </si>
  <si>
    <t>stearoylcarnitine (C18)</t>
  </si>
  <si>
    <t>HMDB00848</t>
  </si>
  <si>
    <t>stearoylcholine*</t>
  </si>
  <si>
    <t>stearoyl-linoleoyl-glycerol (18:0/18:2) [2]*</t>
  </si>
  <si>
    <t>stigmasterol</t>
  </si>
  <si>
    <t>[H][C@@]1(CC[C@@]2([H])[C@]3([H])CC=C4C[C@@H](O)CC[C@]4(C)[C@@]3([H])CC[C@]12C)[C@H](C)\C=C\[C@@H](CC)C(C)C</t>
  </si>
  <si>
    <t>InChI=1S/C29H48O/c1-7-21(19(2)3)9-8-20(4)25-12-13-26-24-11-10-22-18-23(30)14-16-28(22,5)27(24)15-17-29(25,26)6/h8-10,19-21,23-27,30H,7,11-18H2,1-6H3/b9-8+/t20-,21-,23+,24+,25-,26+,27+,28+,29-/m1/s1</t>
  </si>
  <si>
    <t>HMDB00937</t>
  </si>
  <si>
    <t>STVLT</t>
  </si>
  <si>
    <t>suberate (C8-DC)</t>
  </si>
  <si>
    <t>HMDB00893</t>
  </si>
  <si>
    <t>succinate</t>
  </si>
  <si>
    <t>C4H5O4</t>
  </si>
  <si>
    <t>HMDB00254</t>
  </si>
  <si>
    <t>sulfate*</t>
  </si>
  <si>
    <t>H2O4S</t>
  </si>
  <si>
    <t>[H]OS(=O)(=O)O[H]</t>
  </si>
  <si>
    <t>InChI=1S/H2O4S/c1-5(2,3)4/h(H2,1,2,3,4)</t>
  </si>
  <si>
    <t>HMDB01448</t>
  </si>
  <si>
    <t>syringic acid</t>
  </si>
  <si>
    <t>C9H10O5</t>
  </si>
  <si>
    <t>COc1cc(cc(OC)c1O)C(O)=O</t>
  </si>
  <si>
    <t>InChI=1S/C9H10O5/c1-13-6-3-5(9(11)12)4-7(14-2)8(6)10/h3-4,10H,1-2H3,(H,11,12)</t>
  </si>
  <si>
    <t>HMDB02085</t>
  </si>
  <si>
    <t>taurine</t>
  </si>
  <si>
    <t>C2H7NO3S</t>
  </si>
  <si>
    <t>C(CS(O)(=O)=O)N</t>
  </si>
  <si>
    <t>InChI=1S/C2H7NO3S/c3-1-2-7(4,5)6/h1-3H2,(H,4,5,6)</t>
  </si>
  <si>
    <t>taurochenodeoxycholate</t>
  </si>
  <si>
    <t>C26H45NO6S</t>
  </si>
  <si>
    <t>[H][C@@]12C[C@H](O)CC[C@]1(C)[C@@]1([H])CC[C@]3(C)[C@]([H])(CC[C@@]3([H])[C@]1([H])[C@H](O)C2)[C@H](C)CCC(=O)NCCS(O)(=O)=O</t>
  </si>
  <si>
    <t>InChI=1S/C26H45NO6S/c1-16(4-7-23(30)27-12-13-34(31,32)33)19-5-6-20-24-21(9-11-26(19,20)3)25(2)10-8-18(28)14-17(25)15-22(24)29/h16-22,24,28-29H,4-15H2,1-3H3,(H,27,30)(H,31,32,33)/t16-,17+,18-,19-,20+,21+,22-,24+,25+,26-/m1/s1</t>
  </si>
  <si>
    <t>HMDB00951</t>
  </si>
  <si>
    <t>taurochenodeoxycholate sulfate</t>
  </si>
  <si>
    <t>taurocholate</t>
  </si>
  <si>
    <t>C26H45NO7S</t>
  </si>
  <si>
    <t>[H][C@@]12C[C@H](O)CC[C@]1(C)[C@@]1([H])C[C@H](O)[C@]3(C)[C@]([H])(CC[C@@]3([H])[C@]1([H])[C@H](O)C2)[C@H](C)CCC(=O)NCCS(O)(=O)=O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</si>
  <si>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</si>
  <si>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HMDB00036</t>
  </si>
  <si>
    <t>taurocholenate sulfate*</t>
  </si>
  <si>
    <t>C26H43NO10S2</t>
  </si>
  <si>
    <t>S(O[C@H]1C[C@@]2([C@@]([C@@]3([C@]([C@]4([C@@]([C@](CC4)([C@H](C)/C=C/C(=O)NCCS(O)(=O)=O)[H])([C@@H](O)C3)C)[H])([C@H](O)C2)[H])[H])(CC1)C)[H])(O)(=O)=O</t>
  </si>
  <si>
    <t>InChI=1S/C26H43NO10S2/c1-15(4-7-23(30)27-10-11-38(31,32)33)18-5-6-19-24-20(14-22(29)26(18,19)3)25(2)9-8-17(37-39(34,35)36)12-16(25)13-21(24)28/h4,7,15-22,24,28-29H,5-6,8-14H2,1-3H3,(H,27,30)(H,31,32,33)(H,34,35,36)/b7-4+/t15-,16+,17-,18-,19+,20+,21-,22+,24+,25+,26-/m1/s1</t>
  </si>
  <si>
    <t>taurodeoxycholate</t>
  </si>
  <si>
    <t>[H][C@]12CC[C@@]3([H])[C@]4([H])CC[C@]([H])([C@H](C)CCC(=O)NCCS(O)(=O)=O)[C@@]4(C)[C@@H](O)C[C@]3([H])[C@@]1(C)CC[C@@H](O)C2</t>
  </si>
  <si>
    <t>InChI=1S/C26H45NO6S/c1-16(4-9-24(30)27-12-13-34(31,32)33)20-7-8-21-19-6-5-17-14-18(28)10-11-25(17,2)22(19)15-23(29)26(20,21)3/h16-23,28-29H,4-15H2,1-3H3,(H,27,30)(H,31,32,33)/t16-,17-,18-,19+,20-,21+,22+,23+,25+,26-/m1/s1</t>
  </si>
  <si>
    <t>HMDB00896</t>
  </si>
  <si>
    <t>taurohyodeoxycholic acid</t>
  </si>
  <si>
    <t>S(O)(=O)(=O)CCN(C(=O)CC[C@H]([C@@]1([C@@]2([C@]([C@]3([C@@]([C@@]4([C@]([C@@H](O)C3)(C[C@H](O)CC4)[H])C)(CC2)[H])[H])(CC1)[H])C)[H])C)[H]</t>
  </si>
  <si>
    <t>InChI=1S/C26H45NO6S/c1-16(4-7-24(30)27-12-13-34(31,32)33)19-5-6-20-18-15-23(29)22-14-17(28)8-10-26(22,3)21(18)9-11-25(19,20)2/h16-23,28-29H,4-15H2,1-3H3,(H,27,30)(H,31,32,33)/t16-,17-,18+,19-,20+,21+,22+,23+,25-,26-/m1/s1</t>
  </si>
  <si>
    <t>taurolithocholate</t>
  </si>
  <si>
    <t>C26H45NO5S</t>
  </si>
  <si>
    <t>C[C@H](CCC(=O)NCCS(O)(=O)=O)[C@H]1CC[C@H]2[C@@H]3CC[C@@H]4C[C@H](O)CC[C@]4(C)[C@H]3CC[C@]12C</t>
  </si>
  <si>
    <t>InChI=1S/C26H45NO5S/c1-17(4-9-24(29)27-14-15-33(30,31)32)21-7-8-22-20-6-5-18-16-19(28)10-12-25(18,2)23(20)11-13-26(21,22)3/h17-23,28H,4-16H2,1-3H3,(H,27,29)(H,30,31,32)/t17-,18-,19-,20+,21-,22+,23+,25+,26-/m1/s1</t>
  </si>
  <si>
    <t>HMDB00722</t>
  </si>
  <si>
    <t>taurolithocholate 3-sulfate</t>
  </si>
  <si>
    <t>HMDB02580</t>
  </si>
  <si>
    <t>tauroursodeoxycholate</t>
  </si>
  <si>
    <t>C1[C@@]2([C@]3(CC[C@]4([C@]([C@@]3([C@H](C[C@@]2(C[C@@H](C1)O)[H])O)[H])(CC[C@]4([H])[C@@H](CCC(NCCS(O)(=O)=O)=O)C)[H])C)[H])C</t>
  </si>
  <si>
    <t>InChI=1S/C26H45NO6S/c1-16(4-7-23(30)27-12-13-34(31,32)33)19-5-6-20-24-21(9-11-26(19,20)3)25(2)10-8-18(28)14-17(25)15-22(24)29/h16-22,24,28-29H,4-15H2,1-3H3,(H,27,30)(H,31,32,33)/t16-,17+,18-,19-,20+,21+,22+,24+,25+,26-/m1/s1</t>
  </si>
  <si>
    <t>HMDB00874</t>
  </si>
  <si>
    <t>tetradecanedioate (C14-DC)</t>
  </si>
  <si>
    <t>HMDB00872</t>
  </si>
  <si>
    <t>thiamin (Vitamin B1)</t>
  </si>
  <si>
    <t>HMDB00235</t>
  </si>
  <si>
    <t>thiamin monophosphate</t>
  </si>
  <si>
    <t>C12H17N4O4PS</t>
  </si>
  <si>
    <t>Cc1ncc(C[n+]2csc(CCOP(O)([O-])=O)c2C)c(N)n1</t>
  </si>
  <si>
    <t>InChI=1S/C12H17N4O4PS/c1-8-11(3-4-20-21(17,18)19)22-7-16(8)6-10-5-14-9(2)15-12(10)13/h5,7H,3-4,6H2,1-2H3,(H3-,13,14,15,17,18,19)</t>
  </si>
  <si>
    <t>HMDB02666</t>
  </si>
  <si>
    <t>thioproline</t>
  </si>
  <si>
    <t>C4H7NO2S</t>
  </si>
  <si>
    <t>OC(=O)C1CSCN1</t>
  </si>
  <si>
    <t>InChI=1S/C4H7NO2S/c6-4(7)3-1-8-2-5-3/h3,5H,1-2H2,(H,6,7)</t>
  </si>
  <si>
    <t>threonate</t>
  </si>
  <si>
    <t>HMDB00943</t>
  </si>
  <si>
    <t>threonine</t>
  </si>
  <si>
    <t>threonylphenylalanine</t>
  </si>
  <si>
    <t>C13H18N2O4</t>
  </si>
  <si>
    <t>C[C@@H](O)[C@H](N)C(=O)N[C@@H](Cc1ccccc1)C(O)=O</t>
  </si>
  <si>
    <t>InChI=1S/C13H18N2O4/c1-8(16)11(14)12(17)15-10(13(18)19)7-9-5-3-2-4-6-9/h2-6,8,10-11,16H,7,14H2,1H3,(H,15,17)(H,18,19)/t8-,10+,11+/m1/s1</t>
  </si>
  <si>
    <t>HMDB29068</t>
  </si>
  <si>
    <t>thymidine</t>
  </si>
  <si>
    <t>C10H14N2O5</t>
  </si>
  <si>
    <t>Cc1cn([C@H]2C[C@H](O)[C@@H](CO)O2)c(=O)[nH]c1=O</t>
  </si>
  <si>
    <t>InChI=1S/C10H14N2O5/c1-5-3-12(10(16)11-9(5)15)8-2-6(14)7(4-13)17-8/h3,6-8,13-14H,2,4H2,1H3,(H,11,15,16)/t6-,7+,8+/m0/s1</t>
  </si>
  <si>
    <t>HMDB00273</t>
  </si>
  <si>
    <t>thymine</t>
  </si>
  <si>
    <t>Cc1c[nH]c(=O)[nH]c1=O</t>
  </si>
  <si>
    <t>InChI=1S/C5H6N2O2/c1-3-2-6-5(9)7-4(3)8/h2H,1H3,(H2,6,7,8,9)</t>
  </si>
  <si>
    <t>HMDB00262</t>
  </si>
  <si>
    <t>thymidine 5'-monophosphate</t>
  </si>
  <si>
    <t>C10H15N2O8P</t>
  </si>
  <si>
    <t>HMDB01227</t>
  </si>
  <si>
    <t>trans-nonadecenoate (tr 19:1)*</t>
  </si>
  <si>
    <t>trans-urocanate</t>
  </si>
  <si>
    <t>C(\C=1N=CNC1)=C/C(=O)O</t>
  </si>
  <si>
    <t>InChI=1S/C6H6N2O2/c9-6(10)2-1-5-3-7-4-8-5/h1-4H,(H,7,8)(H,9,10)/b2-1+</t>
  </si>
  <si>
    <t>trehalose</t>
  </si>
  <si>
    <t>OC[C@H]1OC(OC2O[C@H](CO)[C@@H](O)[C@H](O)[C@H]2O)[C@H](O)[C@@H](O)[C@@H]1O</t>
  </si>
  <si>
    <t>InChI=1S/C12H22O11/c13-1-3-5(15)7(17)9(19)11(21-3)23-12-10(20)8(18)6(16)4(2-14)22-12/h3-20H,1-2H2/t3-,4-,5-,6-,7+,8+,9-,10-,11?,12?/m1/s1</t>
  </si>
  <si>
    <t>HMDB00975</t>
  </si>
  <si>
    <t>tricarballylate</t>
  </si>
  <si>
    <t>C6H8O6</t>
  </si>
  <si>
    <t>OC(=O)CC(CC(O)=O)C(O)=O</t>
  </si>
  <si>
    <t>InChI=1S/C6H8O6/c7-4(8)1-3(6(11)12)2-5(9)10/h3H,1-2H2,(H,7,8)(H,9,10)(H,11,12)</t>
  </si>
  <si>
    <t>HMDB31193</t>
  </si>
  <si>
    <t>trigonelline (N'-methylnicotinate)</t>
  </si>
  <si>
    <t>HMDB00875</t>
  </si>
  <si>
    <t>trimethylamine N-oxide</t>
  </si>
  <si>
    <t>C3H9NO</t>
  </si>
  <si>
    <t>C[N+](C)([O-])C</t>
  </si>
  <si>
    <t>InChI=1S/C3H9NO/c1-4(2,3)5/h1-3H3</t>
  </si>
  <si>
    <t>HMDB00925</t>
  </si>
  <si>
    <t>tryptamine</t>
  </si>
  <si>
    <t>C10H12N2</t>
  </si>
  <si>
    <t>NCCc1c[nH]c2ccccc12</t>
  </si>
  <si>
    <t>InChI=1S/C10H12N2/c11-6-5-8-7-12-10-4-2-1-3-9(8)10/h1-4,7,12H,5-6,11H2</t>
  </si>
  <si>
    <t>tryptophan</t>
  </si>
  <si>
    <t>C11H12N2O2</t>
  </si>
  <si>
    <t>NC(Cc1c[nH]c2ccccc12)C(O)=O</t>
  </si>
  <si>
    <t>InChI=1S/C11H12N2O2/c12-9(11(14)15)5-7-6-13-10-4-2-1-3-8(7)10/h1-4,6,9,13H,5,12H2,(H,14,15)</t>
  </si>
  <si>
    <t>tryptophan betaine</t>
  </si>
  <si>
    <t>C14H18N2O2</t>
  </si>
  <si>
    <t>C1(=CNC2=C1C=CC=C2)C[C@@H](C(=O)[O-])[N+](C)(C)C</t>
  </si>
  <si>
    <t>InChI=1S/C14H18N2O2/c1-16(2,3)13(14(17)18)8-10-9-15-12-7-5-4-6-11(10)12/h4-7,9,13,15H,8H2,1-3H3/t13-/m0/s1</t>
  </si>
  <si>
    <t>HMDB61115</t>
  </si>
  <si>
    <t>tryptophylglycine</t>
  </si>
  <si>
    <t>C13H15N3O3</t>
  </si>
  <si>
    <t>N[C@@H](Cc1c[nH]c2ccccc12)C(=O)NCC(O)=O</t>
  </si>
  <si>
    <t>InChI=1S/C13H15N3O3/c14-10(13(19)16-7-12(17)18)5-8-6-15-11-4-2-1-3-9(8)11/h1-4,6,10,15H,5,7,14H2,(H,16,19)(H,17,18)/t10-/m0/s1</t>
  </si>
  <si>
    <t>HMDB29083</t>
  </si>
  <si>
    <t>tyramine</t>
  </si>
  <si>
    <t>C8H11NO</t>
  </si>
  <si>
    <t>NCCc1ccc(O)cc1</t>
  </si>
  <si>
    <t>InChI=1S/C8H11NO/c9-6-5-7-1-3-8(10)4-2-7/h1-4,10H,5-6,9H2</t>
  </si>
  <si>
    <t>HMDB00306</t>
  </si>
  <si>
    <t>tyramine O-sulfate</t>
  </si>
  <si>
    <t>C8H11NO4S</t>
  </si>
  <si>
    <t>C=1(C=CC(=CC1)CCN)OS(O)(=O)=O</t>
  </si>
  <si>
    <t>InChI=1S/C8H11NO4S/c9-6-5-7-1-3-8(4-2-7)13-14(10,11)12/h1-4H,5-6,9H2,(H,10,11,12)</t>
  </si>
  <si>
    <t>HMDB06409</t>
  </si>
  <si>
    <t>tyrosine</t>
  </si>
  <si>
    <t>NC(Cc1ccc(O)cc1)C(O)=O</t>
  </si>
  <si>
    <t>InChI=1S/C9H11NO3/c10-8(9(12)13)5-6-1-3-7(11)4-2-6/h1-4,8,11H,5,10H2,(H,12,13)</t>
  </si>
  <si>
    <t>tyrosol</t>
  </si>
  <si>
    <t>C8H10O2</t>
  </si>
  <si>
    <t>OCCC1=CC=C(O)C=C1</t>
  </si>
  <si>
    <t>InChI=1S/C8H10O2/c9-6-5-7-1-3-8(10)4-2-7/h1-4,9-10H,5-6H2</t>
  </si>
  <si>
    <t>HMDB04284</t>
  </si>
  <si>
    <t>tyrosylglycine</t>
  </si>
  <si>
    <t>C11H14N2O4</t>
  </si>
  <si>
    <t>N[C@@H](Cc1ccc(O)cc1)C(=O)NCC(O)=O</t>
  </si>
  <si>
    <t>InChI=1S/C11H14N2O4/c12-9(11(17)13-6-10(15)16)5-7-1-3-8(14)4-2-7/h1-4,9,14H,5-6,12H2,(H,13,17)(H,15,16)/t9-/m0/s1</t>
  </si>
  <si>
    <t>HMDB29105</t>
  </si>
  <si>
    <t>uridine 5'-monophosphate (UMP)</t>
  </si>
  <si>
    <t>HMDB00288</t>
  </si>
  <si>
    <t>undecanedioate (C11-DC)</t>
  </si>
  <si>
    <t>HMDB00888</t>
  </si>
  <si>
    <t>undecanoate (11:0)</t>
  </si>
  <si>
    <t>HMDB00947</t>
  </si>
  <si>
    <t>uracil</t>
  </si>
  <si>
    <t>C4H4N2O2</t>
  </si>
  <si>
    <t>O=c1cc[nH]c(=O)[nH]1</t>
  </si>
  <si>
    <t>InChI=1S/C4H4N2O2/c7-3-1-2-5-4(8)6-3/h1-2H,(H2,5,6,7,8)</t>
  </si>
  <si>
    <t>HMDB00300</t>
  </si>
  <si>
    <t>urate</t>
  </si>
  <si>
    <t>C5H4N4O3</t>
  </si>
  <si>
    <t>O=c1[nH]c2[nH]c(=O)[nH]c(=O)c2[nH]1</t>
  </si>
  <si>
    <t>InChI=1S/C5H4N4O3/c10-3-1-2(7-4(11)6-1)8-5(12)9-3/h(H4,6,7,8,9,10,11,12)</t>
  </si>
  <si>
    <t>HMDB00289</t>
  </si>
  <si>
    <t>uridine</t>
  </si>
  <si>
    <t>OC[C@H]1O[C@H]([C@H](O)[C@@H]1O)n1ccc(=O)[nH]c1=O</t>
  </si>
  <si>
    <t>InChI=1S/C9H12N2O6/c12-3-4-6(14)7(15)8(17-4)11-2-1-5(13)10-9(11)16/h1-2,4,6-8,12,14-15H,3H2,(H,10,13,16)/t4-,6-,7-,8-/m1/s1</t>
  </si>
  <si>
    <t>uridine-2',3'-cyclic monophosphate</t>
  </si>
  <si>
    <t>HMDB11640</t>
  </si>
  <si>
    <t>ursocholate</t>
  </si>
  <si>
    <t>C1[C@@]2([C@]3(C[C@@H]([C@]4([C@]([C@@]3([C@H](C[C@@]2(C[C@@H](C1)O)[H])O)[H])(CC[C@@]4([C@@H](CCC(O)=O)C)[H])[H])C)O)[H])C</t>
  </si>
  <si>
    <t>InChI=1S/C24H40O5/c1-13(4-7-21(28)29)16-5-6-17-22-18(12-20(27)24(16,17)3)23(2)9-8-15(25)10-14(23)11-19(22)26/h13-20,22,25-27H,4-12H2,1-3H3,(H,28,29)/t13-,14+,15-,16-,17+,18+,19+,20+,22+,23+,24-/m1/s1</t>
  </si>
  <si>
    <t>ursodeoxycholate</t>
  </si>
  <si>
    <t>[H][C@@]12C[C@H](O)CC[C@]1(C)[C@@]1([H])CC[C@]3(C)[C@]([H])(CC[C@@]3([H])[C@]1([H])[C@@H](O)C2)[C@H](C)CCC(O)=O</t>
  </si>
  <si>
    <t>InChI=1S/C24H40O4/c1-14(4-7-21(27)28)17-5-6-18-22-19(9-11-24(17,18)3)23(2)10-8-16(25)12-15(23)13-20(22)26/h14-20,22,25-26H,4-13H2,1-3H3,(H,27,28)/t14-,15+,16-,17-,18+,19+,20+,22+,23+,24-/m1/s1</t>
  </si>
  <si>
    <t>HMDB00946</t>
  </si>
  <si>
    <t>ursodeoxycholate sulfate (1)</t>
  </si>
  <si>
    <t>ursodeoxycholate sulfate (2)</t>
  </si>
  <si>
    <t>ursolic acid</t>
  </si>
  <si>
    <t>[H][C@@]12[C@@H](C)[C@H](C)CC[C@@]1(CC[C@]1(C)C2=CC[C@]2([H])[C@@]3(C)CC[C@H](O)C(C)(C)[C@]3([H])CC[C@@]12C)C(O)=O</t>
  </si>
  <si>
    <t>InChI=1S/C30H48O3/c1-18-10-15-30(25(32)33)17-16-28(6)20(24(30)19(18)2)8-9-22-27(5)13-12-23(31)26(3,4)21(27)11-14-29(22,28)7/h8,18-19,21-24,31H,9-17H2,1-7H3,(H,32,33)/t18-,19+,21+,22-,23+,24+,27+,28-,29-,30+/m1/s1</t>
  </si>
  <si>
    <t>HMDB02395</t>
  </si>
  <si>
    <t>valerate (5:0)</t>
  </si>
  <si>
    <t>HMDB00892</t>
  </si>
  <si>
    <t>valerylglutamine</t>
  </si>
  <si>
    <t>valerylphenylalanine</t>
  </si>
  <si>
    <t>valeryltryptophan*</t>
  </si>
  <si>
    <t>valine</t>
  </si>
  <si>
    <t>CC(C)C(N)C(O)=O</t>
  </si>
  <si>
    <t>InChI=1S/C5H11NO2/c1-3(2)4(6)5(7)8/h3-4H,6H2,1-2H3,(H,7,8)</t>
  </si>
  <si>
    <t>valylglutamine</t>
  </si>
  <si>
    <t>C10H19N3O4</t>
  </si>
  <si>
    <t>CC(C)[C@H](N)C(=O)N[C@@H](CCC(N)=O)C(O)=O</t>
  </si>
  <si>
    <t>InChI=1S/C10H19N3O4/c1-5(2)8(12)9(15)13-6(10(16)17)3-4-7(11)14/h5-6,8H,3-4,12H2,1-2H3,(H2,11,14)(H,13,15)(H,16,17)/t6-,8-/m0/s1</t>
  </si>
  <si>
    <t>HMDB29125</t>
  </si>
  <si>
    <t>valylglycine</t>
  </si>
  <si>
    <t>CC(C)[C@H](N)C(=O)NCC(O)=O</t>
  </si>
  <si>
    <t>InChI=1S/C7H14N2O3/c1-4(2)6(8)7(12)9-3-5(10)11/h4,6H,3,8H2,1-2H3,(H,9,12)(H,10,11)/t6-/m0/s1</t>
  </si>
  <si>
    <t>HMDB29127</t>
  </si>
  <si>
    <t>valylleucine</t>
  </si>
  <si>
    <t>C11H22N2O3</t>
  </si>
  <si>
    <t>CC(C)C[C@H](NC(=O)[C@@H](N)C(C)C)C(O)=O</t>
  </si>
  <si>
    <t>InChI=1S/C11H22N2O3/c1-6(2)5-8(11(15)16)13-10(14)9(12)7(3)4/h6-9H,5,12H2,1-4H3,(H,13,14)(H,15,16)/t8-,9-/m0/s1</t>
  </si>
  <si>
    <t>HMDB29131</t>
  </si>
  <si>
    <t>vanillate</t>
  </si>
  <si>
    <t>COc1cc(ccc1O)C(O)=O</t>
  </si>
  <si>
    <t>InChI=1S/C8H8O4/c1-12-7-4-5(8(10)11)2-3-6(7)9/h2-4,9H,1H3,(H,10,11)</t>
  </si>
  <si>
    <t>vanillic alcohol sulfate</t>
  </si>
  <si>
    <t>vanillin</t>
  </si>
  <si>
    <t>[H]C(=O)C1=CC(OC)=C(O)C=C1</t>
  </si>
  <si>
    <t>InChI=1S/C8H8O3/c1-11-8-4-6(5-9)2-3-7(8)10/h2-5,10H,1H3</t>
  </si>
  <si>
    <t>vanillin sulfate</t>
  </si>
  <si>
    <t>HMDB41789</t>
  </si>
  <si>
    <t>xanthine</t>
  </si>
  <si>
    <t>C5H4N4O2</t>
  </si>
  <si>
    <t>xanthosine</t>
  </si>
  <si>
    <t>C10H12N4O6</t>
  </si>
  <si>
    <t>OC[C@H]1O[C@H]([C@H](O)[C@@H]1O)n1cnc2c1[nH]c(=O)[nH]c2=O</t>
  </si>
  <si>
    <t>InChI=1S/C10H12N4O6/c15-1-3-5(16)6(17)9(20-3)14-2-11-4-7(14)12-10(19)13-8(4)18/h2-3,5-6,9,15-17H,1H2,(H2,12,13,18,19)/t3-,5-,6-,9-/m1/s1</t>
  </si>
  <si>
    <t>HMDB00299</t>
  </si>
  <si>
    <t>xanthurenate</t>
  </si>
  <si>
    <t>C10H7NO4</t>
  </si>
  <si>
    <t>OC(=O)c1cc(O)c2cccc(O)c2n1</t>
  </si>
  <si>
    <t>InChI=1S/C10H7NO4/c12-7-3-1-2-5-8(13)4-6(10(14)15)11-9(5)7/h1-4,12H,(H,11,13)(H,14,15)</t>
  </si>
  <si>
    <t>HMDB00881</t>
  </si>
  <si>
    <t>xylose</t>
  </si>
  <si>
    <t>HMDB00098</t>
  </si>
  <si>
    <t>GC/LC</t>
  </si>
  <si>
    <t>1-Monopalmitin</t>
  </si>
  <si>
    <t>2-Aminobutanoic acid</t>
  </si>
  <si>
    <t>2-Hydroxy-3-methylbutyric acid</t>
  </si>
  <si>
    <t>2-hydroxybutyric acid</t>
  </si>
  <si>
    <t>2-ketoisocaproic acid</t>
  </si>
  <si>
    <t>3-Hydroxybutyric acid</t>
  </si>
  <si>
    <t>3-methyl-2-oxobutanoic acid</t>
  </si>
  <si>
    <t>4-Aminobutanoic acid</t>
  </si>
  <si>
    <t>Acetoacetate</t>
  </si>
  <si>
    <t>Alanine</t>
  </si>
  <si>
    <t>alpha tocophereol</t>
  </si>
  <si>
    <t>Arachidonic acid</t>
  </si>
  <si>
    <t>Asparagine</t>
  </si>
  <si>
    <t>Beta-alanine</t>
  </si>
  <si>
    <t>Cholesterol</t>
  </si>
  <si>
    <t>Citramalic acid</t>
  </si>
  <si>
    <t>Creatinine</t>
  </si>
  <si>
    <t>Fructose</t>
  </si>
  <si>
    <t>Glutamic acid</t>
  </si>
  <si>
    <t>Glutamine</t>
  </si>
  <si>
    <t>Glycerol</t>
  </si>
  <si>
    <t>Histidine</t>
  </si>
  <si>
    <t>Isoleucine</t>
  </si>
  <si>
    <t>Itaconic acid</t>
  </si>
  <si>
    <t>Lactamide</t>
  </si>
  <si>
    <t>Lactic acid</t>
  </si>
  <si>
    <t>Leucine</t>
  </si>
  <si>
    <t>Linoleic acid</t>
  </si>
  <si>
    <t>Lysine</t>
  </si>
  <si>
    <t>Malonic acid</t>
  </si>
  <si>
    <t>Mannitol</t>
  </si>
  <si>
    <t>Methionine</t>
  </si>
  <si>
    <t>methyl-beta-D-galactopyranoside</t>
  </si>
  <si>
    <t>MONOSACCHARIDES</t>
  </si>
  <si>
    <t>Nonanoic acid</t>
  </si>
  <si>
    <t>Oleic acid</t>
  </si>
  <si>
    <t>Palmitic acid</t>
  </si>
  <si>
    <t>Palmitoleic acid</t>
  </si>
  <si>
    <t>Phosphoric acid</t>
  </si>
  <si>
    <t>Pyruvic acid</t>
  </si>
  <si>
    <t>Serine</t>
  </si>
  <si>
    <t>Stearic acid</t>
  </si>
  <si>
    <t>Succinic acid</t>
  </si>
  <si>
    <t>Threitol</t>
  </si>
  <si>
    <t>Threonine</t>
  </si>
  <si>
    <t>trans-4-hydroxy-L-proline</t>
  </si>
  <si>
    <t>Trans-aconitic acid</t>
  </si>
  <si>
    <t>Tryptophan</t>
  </si>
  <si>
    <t>Tyrosine</t>
  </si>
  <si>
    <t>Urea</t>
  </si>
  <si>
    <t>Uric acid</t>
  </si>
  <si>
    <t>Valine</t>
  </si>
  <si>
    <t>Pubmed</t>
  </si>
  <si>
    <t>LC/MS</t>
  </si>
  <si>
    <t>ms/ms pos</t>
  </si>
  <si>
    <t>   Furfural</t>
  </si>
  <si>
    <t>C5H4O2</t>
  </si>
  <si>
    <t>   Octachlorostyrene</t>
  </si>
  <si>
    <t>C8Cl8</t>
  </si>
  <si>
    <t> 1'H-5alpha-Androst-2-eno[3,2-b]indol-17beta-ol</t>
  </si>
  <si>
    <t>C25H33NO</t>
  </si>
  <si>
    <t> alpha,beta-Dihydroxyethyl-TPP</t>
  </si>
  <si>
    <t>C14H22N4O9P2S</t>
  </si>
  <si>
    <t> Azimsulfuron;  3-Glucosyl-2,3',4,4',6-pentahydroxybenzophenone</t>
  </si>
  <si>
    <t>C13H16N10O5S; C19H20O11</t>
  </si>
  <si>
    <t> Bis(4-isothiocyanatobutyl) disulfide</t>
  </si>
  <si>
    <t>C10H16N2S4</t>
  </si>
  <si>
    <t> Furosemide glucuronide</t>
  </si>
  <si>
    <t>C18H19ClN2O11S</t>
  </si>
  <si>
    <t> Tetrahydropentoxyline</t>
  </si>
  <si>
    <t>C17H22N2O7</t>
  </si>
  <si>
    <t>10-formyldihydrofolate</t>
  </si>
  <si>
    <t>C20H21N7O7</t>
  </si>
  <si>
    <t>15-HETE-G</t>
  </si>
  <si>
    <t>C23H38O5</t>
  </si>
  <si>
    <t>2-(α-D-Mannosyl)-3-phosphoglycerate</t>
  </si>
  <si>
    <t>C9H17O12P</t>
  </si>
  <si>
    <t>2,2',4,4',5-Pentabromodiphenyl ether (PBDE99)</t>
  </si>
  <si>
    <t>C12H5Br5O</t>
  </si>
  <si>
    <t>2-Isopropylmaleate</t>
  </si>
  <si>
    <t>C7H10O4</t>
  </si>
  <si>
    <t>3-Oxa-9-azoniatricyclo[3.3.1.02,4]nonane, 9-ethyl-7-hydroxy-9-methyl-</t>
  </si>
  <si>
    <t>C10H17NO2</t>
  </si>
  <si>
    <t>5,8-Dihydro-6-(4-methyl-3-pentenyl)-1,2,3,4-tetrathiocin</t>
  </si>
  <si>
    <t>C10H16S4</t>
  </si>
  <si>
    <t>Aromatic phytochemical</t>
  </si>
  <si>
    <t>C12H16O4</t>
  </si>
  <si>
    <t>Betaine aldehyde</t>
  </si>
  <si>
    <t>C5H11NO</t>
  </si>
  <si>
    <t>Cefamandole sodium;  alpha,beta-Dihydroxyethyl-TPP; Chloramphenicol Monoglucuronide</t>
  </si>
  <si>
    <t>C18H17N6NaO5S2; C14H22N4O9P2S; C17H22Cl2N2O10</t>
  </si>
  <si>
    <t>Cochineal Red A</t>
  </si>
  <si>
    <t>C20H14N2O10S3</t>
  </si>
  <si>
    <t>Decenedioic acid</t>
  </si>
  <si>
    <t>C10H16O4</t>
  </si>
  <si>
    <t>Dehydrochorismic acid</t>
  </si>
  <si>
    <t>C10H8O6</t>
  </si>
  <si>
    <t>Desmethylastemizole</t>
  </si>
  <si>
    <t>C27H29FN4O</t>
  </si>
  <si>
    <t>Desmethylsertraline</t>
  </si>
  <si>
    <t>C16H15Cl2N</t>
  </si>
  <si>
    <t>Docosenamide</t>
  </si>
  <si>
    <t>C22H43NO</t>
  </si>
  <si>
    <t>Feruloylagmatine</t>
  </si>
  <si>
    <t>C15H22N4O3</t>
  </si>
  <si>
    <t>Flavanoid glucuronide</t>
  </si>
  <si>
    <t>C22H20O13</t>
  </si>
  <si>
    <t>Flavonoid glucuronide</t>
  </si>
  <si>
    <t>C21H18O11</t>
  </si>
  <si>
    <t xml:space="preserve">Flavonoid glucuronide; Se-Adenosylselenomethionine </t>
  </si>
  <si>
    <t>C21H18O11; C15H22N6O5Se</t>
  </si>
  <si>
    <t>Furosemide glucuronide</t>
  </si>
  <si>
    <t>Glutamyl-Cysteine</t>
  </si>
  <si>
    <t>C8H13N2O5S</t>
  </si>
  <si>
    <t>imidazole; pyrazole</t>
  </si>
  <si>
    <t>C3H4N2</t>
  </si>
  <si>
    <t>Linolenic Acid</t>
  </si>
  <si>
    <t>C18H30O2</t>
  </si>
  <si>
    <t>Linoleoyl Glycerol</t>
  </si>
  <si>
    <t>C21H38O4</t>
  </si>
  <si>
    <t>Octachlorostyrene</t>
  </si>
  <si>
    <t>PE(15:1(9Z))</t>
  </si>
  <si>
    <t>C20H40NO7P</t>
  </si>
  <si>
    <t>Pentachloroethane</t>
  </si>
  <si>
    <t>C2HCl5</t>
  </si>
  <si>
    <t>Phenylacetaldehyde</t>
  </si>
  <si>
    <t>C8H8O</t>
  </si>
  <si>
    <t>phospholipid</t>
  </si>
  <si>
    <t>C20H42NO7P</t>
  </si>
  <si>
    <t>Phytochemical</t>
  </si>
  <si>
    <t>C12H14O4</t>
  </si>
  <si>
    <t>Phytochemical (terpine or flavonoid)</t>
  </si>
  <si>
    <t>C15H22O</t>
  </si>
  <si>
    <t>C15H22</t>
  </si>
  <si>
    <t>Prostaglandin M</t>
  </si>
  <si>
    <t>C16H24O7</t>
  </si>
  <si>
    <t>Sebacic acid</t>
  </si>
  <si>
    <t>C10H18O4</t>
  </si>
  <si>
    <t>Sedamine</t>
  </si>
  <si>
    <t>C14H21NO</t>
  </si>
  <si>
    <t>Tetrabromobisphenol A</t>
  </si>
  <si>
    <t>C15H12Br4O2</t>
  </si>
  <si>
    <t>Tetrahydropteridine</t>
  </si>
  <si>
    <t>C6H8N4</t>
  </si>
  <si>
    <t>Trichlormethiazide</t>
  </si>
  <si>
    <t>C8H8Cl3N3O4S2</t>
  </si>
  <si>
    <t>tridecenal</t>
  </si>
  <si>
    <t>C13H24O</t>
  </si>
  <si>
    <t>Tridecenal</t>
  </si>
  <si>
    <t>Tripeptide: Cys, His, Lys</t>
  </si>
  <si>
    <t>C15H26N6O4S1</t>
  </si>
  <si>
    <t>Tripeptide: Leu/Ile, Lys, Gln</t>
  </si>
  <si>
    <t>C17H33N5O5</t>
  </si>
  <si>
    <t>Tripeptide: Leu/Ile, Tyr, Lys</t>
  </si>
  <si>
    <t>C21H34N4O5</t>
  </si>
  <si>
    <t>control vs pd</t>
  </si>
  <si>
    <t>   b-D-Glucopyranuronic acid</t>
  </si>
  <si>
    <t>C22H24F3NO7</t>
  </si>
  <si>
    <t> (2E)-4-hydroxy-3-methylbut-2-en-1-yl trihydrogen diphosphate</t>
  </si>
  <si>
    <t>C5H12O8P2</t>
  </si>
  <si>
    <t> 2-(α-D-Mannosyl)-3-phosphoglycerate</t>
  </si>
  <si>
    <t> 2-Naphthalenepropanol, 6-hydroxy-a-methyl-</t>
  </si>
  <si>
    <t>C14H16O2</t>
  </si>
  <si>
    <t> 2-tridecenal</t>
  </si>
  <si>
    <t> alpha-curcumene</t>
  </si>
  <si>
    <t> Musca-aurin-II</t>
  </si>
  <si>
    <t>C18H16N2O10</t>
  </si>
  <si>
    <t> PI(O-16:0/12:0)</t>
  </si>
  <si>
    <t>C37H73O12P</t>
  </si>
  <si>
    <t>1'H-5alpha-Androst-2-eno[3,2-b]indol-17beta-ol</t>
  </si>
  <si>
    <t>2-n-Tetrahydrothiophenecarboxylic acid</t>
  </si>
  <si>
    <t>C5H8O2S</t>
  </si>
  <si>
    <t>2-Oxoarginine</t>
  </si>
  <si>
    <t>3-(3,4-Dihydroxyphenyl)pyruvate</t>
  </si>
  <si>
    <t>C9H8O5</t>
  </si>
  <si>
    <t>4-Hydroxystyrene</t>
  </si>
  <si>
    <t>Azimsulfuron</t>
  </si>
  <si>
    <t>C13H16N10O5S</t>
  </si>
  <si>
    <t>bile acid or Lovastatin</t>
  </si>
  <si>
    <t>Bronopol</t>
  </si>
  <si>
    <t>C3H6BrNO4</t>
  </si>
  <si>
    <t>Cefamandole sodium</t>
  </si>
  <si>
    <t>C18H17N6NaO5S2</t>
  </si>
  <si>
    <t>Celiprolol</t>
  </si>
  <si>
    <t>C20H33N3O4</t>
  </si>
  <si>
    <t>Dicloxacillin sodium</t>
  </si>
  <si>
    <t>C19H18Cl2N3NaO6S</t>
  </si>
  <si>
    <t>Elaeocarpidine</t>
  </si>
  <si>
    <t>C17H21N3</t>
  </si>
  <si>
    <t>glucuronide conjugate</t>
  </si>
  <si>
    <t>Hexose sphingosine</t>
  </si>
  <si>
    <t>C24H47NO7</t>
  </si>
  <si>
    <t>hexylresorcinol</t>
  </si>
  <si>
    <t>C12H18O2</t>
  </si>
  <si>
    <t>Norpseudoephedrine</t>
  </si>
  <si>
    <t>C9H13NO</t>
  </si>
  <si>
    <t>octadecenal</t>
  </si>
  <si>
    <t>C18H34O</t>
  </si>
  <si>
    <t>Oxprenolol</t>
  </si>
  <si>
    <t>C15H23NO3</t>
  </si>
  <si>
    <t>PBDE 99</t>
  </si>
  <si>
    <t>Possible bile acid</t>
  </si>
  <si>
    <t>C24H32O4</t>
  </si>
  <si>
    <t>Possible dihydroxy unsaturated fatty acid</t>
  </si>
  <si>
    <t>C22H34O4</t>
  </si>
  <si>
    <t>Possible flavonoid</t>
  </si>
  <si>
    <t>C21H18O7</t>
  </si>
  <si>
    <t>Possible prenol lipid</t>
  </si>
  <si>
    <t>C20H32O</t>
  </si>
  <si>
    <t>possible prenol lipid</t>
  </si>
  <si>
    <t>C20H28O6</t>
  </si>
  <si>
    <t>Se-Adenosylselenomethionine</t>
  </si>
  <si>
    <t>C15H22N6O5Se</t>
  </si>
  <si>
    <t>Tripeptide: Cys-Lys-His</t>
  </si>
  <si>
    <t>Tripeptide: Leu/Ile-Asp-Arg; Gln-Gln-Lys; Arg-Val-Glu; Val-Val-Trp</t>
  </si>
  <si>
    <t>C16H30N6O6; C21H30N4O4</t>
  </si>
  <si>
    <t>Tripeptide: Leu/Ile-Lys-Gln</t>
  </si>
  <si>
    <t>Tripeptide: Leu/Ile-Tyr-Lys</t>
  </si>
  <si>
    <t>Tripeptide: Thr-Pro-Ala</t>
  </si>
  <si>
    <t>C12H21N3O5</t>
  </si>
  <si>
    <t>Tumonoic Acid H</t>
  </si>
  <si>
    <t>C26H45NO7</t>
  </si>
  <si>
    <t>rapid vs slow pogression markes</t>
  </si>
  <si>
    <t>3beta-Hydroxy-5alpha-pregnan-20-one acetate</t>
  </si>
  <si>
    <t>C23H36O3</t>
  </si>
  <si>
    <t>Acetylspermidine</t>
  </si>
  <si>
    <t>C9H21N3O</t>
  </si>
  <si>
    <t>Amlodipine</t>
  </si>
  <si>
    <t>C20H25ClN2O5</t>
  </si>
  <si>
    <t>Batrachotoxin</t>
  </si>
  <si>
    <t>C31H42N2O6</t>
  </si>
  <si>
    <t>Buturon</t>
  </si>
  <si>
    <t>C12H13ClN2O</t>
  </si>
  <si>
    <t>Cannabinol</t>
  </si>
  <si>
    <t>C21H26O2</t>
  </si>
  <si>
    <t>Cyhexatin</t>
  </si>
  <si>
    <t>C18H34OSn</t>
  </si>
  <si>
    <t>Emetine</t>
  </si>
  <si>
    <t>C29H40N2O4</t>
  </si>
  <si>
    <t>Estrane</t>
  </si>
  <si>
    <t>C18H30</t>
  </si>
  <si>
    <t>L-Octanoylcarnitine</t>
  </si>
  <si>
    <t>C15H29NO4</t>
  </si>
  <si>
    <t>LysoPE(0:0/18:2(9Z,12Z))</t>
  </si>
  <si>
    <t>LysoPE(0:0/20:1(11Z))</t>
  </si>
  <si>
    <t>C25H50NO7P</t>
  </si>
  <si>
    <t>LysoPE(0:0/20:3(11Z,14Z,17Z))</t>
  </si>
  <si>
    <t>C25H46NO7P</t>
  </si>
  <si>
    <t>LysoPE(0:0/20:4(5Z,8Z,11Z,14Z))</t>
  </si>
  <si>
    <t>C25H44NO7P</t>
  </si>
  <si>
    <t>LysoPE(0:0/20:5(5Z,8Z,11Z,14Z,17Z))</t>
  </si>
  <si>
    <t>C25H42NO7P</t>
  </si>
  <si>
    <t>LysoPE(0:0/22:4(7Z,10Z,13Z,16Z))</t>
  </si>
  <si>
    <t>C27H48NO7P</t>
  </si>
  <si>
    <t>Metipranolol</t>
  </si>
  <si>
    <t>C17H27NO4</t>
  </si>
  <si>
    <t>PE(18:0/0:0)</t>
  </si>
  <si>
    <t>PE(18:1(9Z)/0:0)</t>
  </si>
  <si>
    <t>C23H46NO7P</t>
  </si>
  <si>
    <t>Symplocoside</t>
  </si>
  <si>
    <t>C22H26O11</t>
  </si>
  <si>
    <t>Tripeptide: Arg-Asp-Asp</t>
  </si>
  <si>
    <t>C14H24N6O8</t>
  </si>
  <si>
    <t>Tripeptide: Glu-Trp-Ala</t>
  </si>
  <si>
    <t>C19H24N4O6</t>
  </si>
  <si>
    <t>Tripeptide: Phe-Arg-Arg</t>
  </si>
  <si>
    <t>C21H35N9O4</t>
  </si>
  <si>
    <t>Tripeptide: Trp-Cys-His</t>
  </si>
  <si>
    <t>C20H24N6O4S1</t>
  </si>
  <si>
    <t>Tripeptide: Trp-Gln-Glu</t>
  </si>
  <si>
    <t>C21H27N5O7</t>
  </si>
  <si>
    <t>m/z found by PCLS</t>
  </si>
  <si>
    <t>Hydroxyibuprofen</t>
  </si>
  <si>
    <t>C13H18O3</t>
  </si>
  <si>
    <t>1,3-Dichloropropene</t>
  </si>
  <si>
    <t>C3H4Cl2</t>
  </si>
  <si>
    <t>2,3',4,6-Tetrahydroxybenzophenone</t>
  </si>
  <si>
    <t>C13H10O5</t>
  </si>
  <si>
    <t>3-hydroxychlorpropamide</t>
  </si>
  <si>
    <t>C10H13ClN2O4S</t>
  </si>
  <si>
    <t>Agnuside</t>
  </si>
  <si>
    <t>Borreline</t>
  </si>
  <si>
    <t>C17H18N2O</t>
  </si>
  <si>
    <t>Diethylpropion or Heptopargil</t>
  </si>
  <si>
    <t>C13H19NO</t>
  </si>
  <si>
    <t>Dinitrosopentamethylenetetramine</t>
  </si>
  <si>
    <t>C5H10N6O2</t>
  </si>
  <si>
    <t>C8H15N3O5S2</t>
  </si>
  <si>
    <t>Streptidine 6-phosphate</t>
  </si>
  <si>
    <t>C8H19N6O7P</t>
  </si>
  <si>
    <t>Tripeptide: Cys, Cys, Cys</t>
  </si>
  <si>
    <t>C9H17N3O4S3</t>
  </si>
  <si>
    <t>1-[2-Bromo-1-(4-chlorophenyl)ethenyl]-2-chlorobenzene</t>
  </si>
  <si>
    <t>C14H9BrCl2</t>
  </si>
  <si>
    <t>10-carbon fatty aldehyde</t>
  </si>
  <si>
    <t>C10H18O</t>
  </si>
  <si>
    <t>11-carbon fatty acid</t>
  </si>
  <si>
    <t>C11H20O3</t>
  </si>
  <si>
    <t>12-carbon fatty acid</t>
  </si>
  <si>
    <t>13-carbon fatty acid</t>
  </si>
  <si>
    <t>C13H22O2</t>
  </si>
  <si>
    <t>14-carbon fatty acid</t>
  </si>
  <si>
    <t>C14H22O3</t>
  </si>
  <si>
    <t>C14H28O2</t>
  </si>
  <si>
    <t>16 carbon fatty acid</t>
  </si>
  <si>
    <t>C16H26O2</t>
  </si>
  <si>
    <t>16-Dehydropregnenolone acetate</t>
  </si>
  <si>
    <t>C23H32O3</t>
  </si>
  <si>
    <t>1-Naphthylmethanol</t>
  </si>
  <si>
    <t>C11H10O</t>
  </si>
  <si>
    <t>2-Amino-1,2-bis(p-chlorophenyl)ethanol</t>
  </si>
  <si>
    <t>C14H13Cl2NO</t>
  </si>
  <si>
    <t>2-Chloro-5-methylmaleylacetate</t>
  </si>
  <si>
    <t>C7H7ClO5</t>
  </si>
  <si>
    <t>3,4-Bis(7-chloroindol-3-yl)pyrrole-2,5-dicarboxylate</t>
  </si>
  <si>
    <t>C22H13Cl2N3O4</t>
  </si>
  <si>
    <t>3,4-Dihydroxybenzylamine</t>
  </si>
  <si>
    <t>C7H9NO2</t>
  </si>
  <si>
    <t>3-Methylindole</t>
  </si>
  <si>
    <t>C9H9N</t>
  </si>
  <si>
    <t>3Z)-Phycoerythrobilin</t>
  </si>
  <si>
    <t>C33H38N4O6</t>
  </si>
  <si>
    <t>4-Chloroacetanilide</t>
  </si>
  <si>
    <t>C8H8ClNO</t>
  </si>
  <si>
    <t>8',10'-Dihydroxydihydroergotamine</t>
  </si>
  <si>
    <t>C33H39N5O5</t>
  </si>
  <si>
    <t>alpha-Amylcinnamaldehyde</t>
  </si>
  <si>
    <t>C14H18O</t>
  </si>
  <si>
    <t>Aspidinol</t>
  </si>
  <si>
    <t>Atenolol</t>
  </si>
  <si>
    <t>Bisphenol A dimethacrylate</t>
  </si>
  <si>
    <t>C23H24O4</t>
  </si>
  <si>
    <t>Brompheniramine (didemethylated)</t>
  </si>
  <si>
    <t>C14H15BrN2</t>
  </si>
  <si>
    <t>Bromuconazole</t>
  </si>
  <si>
    <t>C13H12BrCl2N3O</t>
  </si>
  <si>
    <t>Capecitabine</t>
  </si>
  <si>
    <t>C15H22FN3O6</t>
  </si>
  <si>
    <t>Caprylic acid</t>
  </si>
  <si>
    <t>C8H16O2</t>
  </si>
  <si>
    <t>Cefuroxime sodium</t>
  </si>
  <si>
    <t>C16H15N4NaO8S</t>
  </si>
  <si>
    <t>Chorismic acid</t>
  </si>
  <si>
    <t>C10H10O6</t>
  </si>
  <si>
    <t>cis-1,2-Dihydroxy-1,2-dihydrodibenzothiophene</t>
  </si>
  <si>
    <t>C12H10O2S</t>
  </si>
  <si>
    <t>cis-Caryophyllene</t>
  </si>
  <si>
    <t>C14H22</t>
  </si>
  <si>
    <t>Clonidine Metabolite VI</t>
  </si>
  <si>
    <t>C7H7Cl2N3O</t>
  </si>
  <si>
    <t>Conhydrine</t>
  </si>
  <si>
    <t>C8H17NO</t>
  </si>
  <si>
    <t>Cystine</t>
  </si>
  <si>
    <t>dicarboxylic acid or pharmaceutical</t>
  </si>
  <si>
    <t>C12H13ClN2O; C9H16O5S; C10H12N4OS</t>
  </si>
  <si>
    <t>Difenoxuron (4 other possible)</t>
  </si>
  <si>
    <t>C16H18N2O3</t>
  </si>
  <si>
    <t>Difenpiramide</t>
  </si>
  <si>
    <t>C19H16N2O</t>
  </si>
  <si>
    <t>dihydroergocornine</t>
  </si>
  <si>
    <t>C31H41N5O5</t>
  </si>
  <si>
    <t>Docosanedioic acid</t>
  </si>
  <si>
    <t>C22H42O4</t>
  </si>
  <si>
    <t>Dopal (3,4-Dihydroxyphenyl)acetaldehyde)</t>
  </si>
  <si>
    <t>Estrane skeleton</t>
  </si>
  <si>
    <t>Fenthiaprop</t>
  </si>
  <si>
    <t>C16H12ClNO4S</t>
  </si>
  <si>
    <t>Fenuron or kynuramine</t>
  </si>
  <si>
    <t>C9H12N2O</t>
  </si>
  <si>
    <t>Flavanoid</t>
  </si>
  <si>
    <t>C24H24O13</t>
  </si>
  <si>
    <t>flower extract</t>
  </si>
  <si>
    <t>C15H26O3</t>
  </si>
  <si>
    <t>Gly-Ser-OH</t>
  </si>
  <si>
    <t>C10H10N2O7</t>
  </si>
  <si>
    <t>Metipranolol or Nadolol</t>
  </si>
  <si>
    <t>N-Acetyl-L-Histidine</t>
  </si>
  <si>
    <t>Nicotinuric acid</t>
  </si>
  <si>
    <t>C8H8N2O3</t>
  </si>
  <si>
    <t>Octanal</t>
  </si>
  <si>
    <t>C8H16O</t>
  </si>
  <si>
    <t>Olopatadine</t>
  </si>
  <si>
    <t>Panaxynol</t>
  </si>
  <si>
    <t>PC(22:6)</t>
  </si>
  <si>
    <t>PC(O-16:1)</t>
  </si>
  <si>
    <t>Poloxalene</t>
  </si>
  <si>
    <t>polyphenolic compound</t>
  </si>
  <si>
    <t>possible bile salt</t>
  </si>
  <si>
    <t>possible phytochemical</t>
  </si>
  <si>
    <t>Possible steroid</t>
  </si>
  <si>
    <t>PS(22:6)</t>
  </si>
  <si>
    <t>Pyridostigmine</t>
  </si>
  <si>
    <t>Repenone</t>
  </si>
  <si>
    <t>S-(2-Hydroxyethyl)-N-acetyl-L-cysteine</t>
  </si>
  <si>
    <t>Sulfometuron methyl</t>
  </si>
  <si>
    <t>Tecostanine</t>
  </si>
  <si>
    <t>Tetralin</t>
  </si>
  <si>
    <t>Tripeptide: Cys, His, Trp</t>
  </si>
  <si>
    <t>Tripeptide: Leu/Ile,Asn, Pro; Val, Gln, Pro</t>
  </si>
  <si>
    <t>Tyr-Tyr-OH</t>
  </si>
  <si>
    <t>unknown</t>
  </si>
  <si>
    <t>RP</t>
  </si>
  <si>
    <t>L-5-Oxoproline</t>
  </si>
  <si>
    <t>OC(=O)[C@@H]1CCC(O)=N1</t>
  </si>
  <si>
    <t>ODHCTXKNWHHXJC-VKHMYHEASA-N</t>
  </si>
  <si>
    <t>N[C@@H](CCC(O)=N)C(O)=O</t>
  </si>
  <si>
    <t>ZDXPYRJPNDTMRX-VKHMYHEASA-N</t>
  </si>
  <si>
    <t>KDXKERNSBIXSRK-UHFFFAOYNA-N</t>
  </si>
  <si>
    <t>C1CCN[C@@H](C1)C(=O)O</t>
  </si>
  <si>
    <t>HXEACLLIILLPRG-YFKPBYRVSA-N</t>
  </si>
  <si>
    <t>Uracil</t>
  </si>
  <si>
    <t>c1cnc(nc1O)O</t>
  </si>
  <si>
    <t>ISAKRJDGNUQOIC-UHFFFAOYSA-N</t>
  </si>
  <si>
    <t>N[C@@H](CCCNC(N)=N)C(O)=O</t>
  </si>
  <si>
    <t>ODKSFYDXXFIFQN-BYPYZUCNSA-N</t>
  </si>
  <si>
    <t>Glycine-Betaine</t>
  </si>
  <si>
    <t>KWIUHFFTVRNATP-UHFFFAOYSA-N</t>
  </si>
  <si>
    <t>c12c([nH]c(n2)O)nc(nc1O)O</t>
  </si>
  <si>
    <t>LEHOTFFKMJEONL-UHFFFAOYSA-N</t>
  </si>
  <si>
    <t>OC1=NC=NC=2NC=NC12</t>
  </si>
  <si>
    <t>FDGQSTZJBFJUBT-UHFFFAOYSA-N</t>
  </si>
  <si>
    <t>1-Amino-1-cyclopentanecarboxylic acid</t>
  </si>
  <si>
    <t>NC1(CCCC1)C(O)=O</t>
  </si>
  <si>
    <t>NILQLFBWTXNUOE-UHFFFAOYSA-N</t>
  </si>
  <si>
    <t>O=C([O-])C1=CC=C[N+](=C1)C</t>
  </si>
  <si>
    <t>WWNNZCOKKKDOPX-UHFFFAOYSA-N</t>
  </si>
  <si>
    <t>CH4N2O</t>
  </si>
  <si>
    <t>N=C(O)N</t>
  </si>
  <si>
    <t>XSQUKJJJFZCRTK-UHFFFAOYSA-N</t>
  </si>
  <si>
    <t>Paracetamol</t>
  </si>
  <si>
    <t>C8H9NO2</t>
  </si>
  <si>
    <t>CC(O)=NC1=CC=C(O)C=C1</t>
  </si>
  <si>
    <t>RZVAJINKPMORJF-UHFFFAOYSA-N</t>
  </si>
  <si>
    <t>(2R)-6-methylpiperidine-2-carboxylic acid</t>
  </si>
  <si>
    <t>O=C(O)C1NC(C)CCC1</t>
  </si>
  <si>
    <t>IHLDCUQUFBWSJU-PRJDIBJQSA-N</t>
  </si>
  <si>
    <t>KZSNJWFQEVHDMF-UHFFFAOYNA-N</t>
  </si>
  <si>
    <t>c1nc2c([nH]1)nc(nc2O)O</t>
  </si>
  <si>
    <t>LRFVTYWOQMYALW-UHFFFAOYSA-N</t>
  </si>
  <si>
    <t>Pyrrolidine</t>
  </si>
  <si>
    <t>C4H9N</t>
  </si>
  <si>
    <t>C1CCNC1</t>
  </si>
  <si>
    <t>RWRDLPDLKQPQOW-UHFFFAOYSA-N</t>
  </si>
  <si>
    <t>Oxypurinol</t>
  </si>
  <si>
    <t>OC1=NC(=O)N=C2NNC=C12</t>
  </si>
  <si>
    <t>HXNFUBHNUDHIGC-UHFFFAOYSA-N</t>
  </si>
  <si>
    <t>Homostachydrine</t>
  </si>
  <si>
    <t>C8H15NO2</t>
  </si>
  <si>
    <t>C[N+]1(C)CCCC[C@H]1C(=O)[O-]</t>
  </si>
  <si>
    <t>XULZWQRXYTVUTE-ZETCQYMHSA-N</t>
  </si>
  <si>
    <t>Betaine</t>
  </si>
  <si>
    <t>O=C([O-])C[N+](C)(C)C</t>
  </si>
  <si>
    <t>N,N-Dimethylformamide</t>
  </si>
  <si>
    <t>C3H7NO</t>
  </si>
  <si>
    <t>CN(C)C=O</t>
  </si>
  <si>
    <t>ZMXDDKWLCZADIW-UHFFFAOYSA-N</t>
  </si>
  <si>
    <t>O=C(O)C1NCCC1</t>
  </si>
  <si>
    <t>ONIBWKKTOPOVIA-UHFFFAOYNA-N</t>
  </si>
  <si>
    <t>N=C1N=C(O)CN1C</t>
  </si>
  <si>
    <t>DDRJAANPRJIHGJ-UHFFFAOYSA-N</t>
  </si>
  <si>
    <t>Phenylacetylglutamine</t>
  </si>
  <si>
    <t>O=C(O)C(N=C(O)CC=1C=CC=CC1)CCC(=N)O</t>
  </si>
  <si>
    <t>JFLIEFSWGNOPJJ-UHFFFAOYNA-N</t>
  </si>
  <si>
    <t>Acetylcarnitine</t>
  </si>
  <si>
    <t>C9H18NO4</t>
  </si>
  <si>
    <t>O=C(OC(CC(=O)O)C[N+](C)(C)C)C</t>
  </si>
  <si>
    <t>RDHQFKQIGNGIED-UHFFFAOYNA-O</t>
  </si>
  <si>
    <t>O=C([O-])CC(O)C[N+](C)(C)C</t>
  </si>
  <si>
    <t>PHIQHXFUZVPYII-UHFFFAOYNA-N</t>
  </si>
  <si>
    <t>DDAO</t>
  </si>
  <si>
    <t>C12H27NO</t>
  </si>
  <si>
    <t>CCCCCCCCCCN(C)(C)=O</t>
  </si>
  <si>
    <t>ZRKZFNZPJKEWPC-UHFFFAOYSA-N</t>
  </si>
  <si>
    <t>5-Aminovaleric acid betaine</t>
  </si>
  <si>
    <t>C8H17NO2</t>
  </si>
  <si>
    <t>C[N+](C)(C)CCCCC(=O)[O-]</t>
  </si>
  <si>
    <t>CDLVFVFTRQPQFU-UHFFFAOYSA-N</t>
  </si>
  <si>
    <t>Creatine</t>
  </si>
  <si>
    <t>CN(CC(=O)O)C(=N)N</t>
  </si>
  <si>
    <t>CVSVTCORWBXHQV-UHFFFAOYSA-N</t>
  </si>
  <si>
    <t>ROHFNLRQFUQHCH-UHFFFAOYNA-N</t>
  </si>
  <si>
    <t>Indole-3-carbinol</t>
  </si>
  <si>
    <t>C9H9NO</t>
  </si>
  <si>
    <t>OCC1=CNC2=CC=CC=C12</t>
  </si>
  <si>
    <t>IVYPNXXAYMYVSP-UHFFFAOYSA-N</t>
  </si>
  <si>
    <t>Piperidine</t>
  </si>
  <si>
    <t>NQRYJNQNLNOLGT-UHFFFAOYSA-N</t>
  </si>
  <si>
    <t>NC(CC1=CC=C(O)C=C1)C(O)=O</t>
  </si>
  <si>
    <t>OUYCCCASQSFEME-UHFFFAOYNA-N</t>
  </si>
  <si>
    <t>Metformin</t>
  </si>
  <si>
    <t>C4H11N5</t>
  </si>
  <si>
    <t>CN(C)C(=N)NC(=N)N</t>
  </si>
  <si>
    <t>XZWYZXLIPXDOLR-UHFFFAOYSA-N</t>
  </si>
  <si>
    <t>FFEARJCKVFRZRR-UHFFFAOYNA-N</t>
  </si>
  <si>
    <t>Cn1c2c(c(nc1=O)O)nc[nH]2</t>
  </si>
  <si>
    <t>GMSNIKWWOQHZGF-UHFFFAOYSA-N</t>
  </si>
  <si>
    <t>Adenosine</t>
  </si>
  <si>
    <t>NC1=C2N=CN([C@@H]3O[C@H](CO)[C@@H](O)[C@H]3O)C2=NC=N1</t>
  </si>
  <si>
    <t>OIRDTQYFTABQOQ-KQYNXXCUSA-N</t>
  </si>
  <si>
    <t>BETA-INDOLEACETIC ACID</t>
  </si>
  <si>
    <t>OC(=O)CC1=CNC2=CC=CC=C12</t>
  </si>
  <si>
    <t>SEOVTRFCIGRIMH-UHFFFAOYSA-N</t>
  </si>
  <si>
    <t>2-hydroxy-6,7-dihydro-5H-cyclopenta[b]pyridine-3-carbonitrile</t>
  </si>
  <si>
    <t>C9H8N2O</t>
  </si>
  <si>
    <t>N#CC=1C=C2C(=NC1O)CCC2</t>
  </si>
  <si>
    <t>CNZRRQHIZFDOSX-UHFFFAOYSA-N</t>
  </si>
  <si>
    <t>securinine</t>
  </si>
  <si>
    <t>C13H15NO2</t>
  </si>
  <si>
    <t>O=C1OC23C(C=CC(N4CCCCC42)C3)=C1</t>
  </si>
  <si>
    <t>SWZMSZQQJRKFBP-DMDPSCGWSA-N</t>
  </si>
  <si>
    <t>Deoxyvasicinone</t>
  </si>
  <si>
    <t>C11H10N2O</t>
  </si>
  <si>
    <t>O=C1N2CCCC2=NC2=CC=CC=C12</t>
  </si>
  <si>
    <t>VARHXCYGZKSOOO-UHFFFAOYSA-N</t>
  </si>
  <si>
    <t>Cotinine</t>
  </si>
  <si>
    <t>CN1C(CCC1=O)C=2C=CC=NC2</t>
  </si>
  <si>
    <t>UIKROCXWUNQSPJ-UHFFFAOYNA-N</t>
  </si>
  <si>
    <t>Triethanolamine</t>
  </si>
  <si>
    <t>C6H15NO3</t>
  </si>
  <si>
    <t>OCCN(CCO)CCO</t>
  </si>
  <si>
    <t>GSEJCLTVZPLZKY-UHFFFAOYSA-N</t>
  </si>
  <si>
    <t>D-Alloisoleucine</t>
  </si>
  <si>
    <t>CC[C@H](C)[C@@H](N)C(O)=O</t>
  </si>
  <si>
    <t>AGPKZVBTJJNPAG-CRCLSJGQSA-N</t>
  </si>
  <si>
    <t>O=CC1=CC=C(O)C(OC)=C1</t>
  </si>
  <si>
    <t>MWOOGOJBHIARFG-UHFFFAOYSA-N</t>
  </si>
  <si>
    <t>Hypaphorine</t>
  </si>
  <si>
    <t>O=C([O-])C(CC1=CNC=2C=CC=CC21)[N+](C)(C)C</t>
  </si>
  <si>
    <t>AOHCBEAZXHZMOR-UHFFFAOYSA-N</t>
  </si>
  <si>
    <t>3-Indolepropionic acid</t>
  </si>
  <si>
    <t>O=C(O)CCC1=CNC=2C=CC=CC21</t>
  </si>
  <si>
    <t>GOLXRNDWAUTYKT-UHFFFAOYSA-N</t>
  </si>
  <si>
    <t>Propionylcarnitine</t>
  </si>
  <si>
    <t>C10H19NO4</t>
  </si>
  <si>
    <t>O=C([O-])CC(OC(=O)CC)C[N+](C)(C)C</t>
  </si>
  <si>
    <t>UFAHZIUFPNSHSL-UHFFFAOYNA-N</t>
  </si>
  <si>
    <t>Citric acid</t>
  </si>
  <si>
    <t>O=C(O)CC(O)(C(=O)O)CC(=O)O</t>
  </si>
  <si>
    <t>KRKNYBCHXYNGOX-UHFFFAOYSA-N</t>
  </si>
  <si>
    <t>2-Methylpyrrolidine</t>
  </si>
  <si>
    <t>CC1CCCN1</t>
  </si>
  <si>
    <t>RGHPCLZJAFCTIK-UHFFFAOYSA-N</t>
  </si>
  <si>
    <t>NC(CC1=CC=CC=C1)C(O)=O</t>
  </si>
  <si>
    <t>COLNVLDHVKWLRT-UHFFFAOYNA-N</t>
  </si>
  <si>
    <t>Lathyrol</t>
  </si>
  <si>
    <t>C20H30O4</t>
  </si>
  <si>
    <t>O=C1C(=CC2C(CCC(=C)C(O)C3C(O)C(C)CC13O)C2(C)C)C</t>
  </si>
  <si>
    <t>SDBITTRHSROXCY-ORCCYPRRSA-N</t>
  </si>
  <si>
    <t>4-Acetamidoantipyrine</t>
  </si>
  <si>
    <t>C13H15N3O2</t>
  </si>
  <si>
    <t>CN1N(C(=O)C(N=C(C)O)=C1C)C1=CC=CC=C1</t>
  </si>
  <si>
    <t>OIAGWXKSCXPNNZ-UHFFFAOYSA-N</t>
  </si>
  <si>
    <t>p-Coumaraldehyde</t>
  </si>
  <si>
    <t>OC1=CC=C(\C=C\C=O)C=C1</t>
  </si>
  <si>
    <t>CJXMVKYNVIGQBS-OWOJBTEDSA-N</t>
  </si>
  <si>
    <t>Theobromine</t>
  </si>
  <si>
    <t>C7H8N4O2</t>
  </si>
  <si>
    <t>O=C1NC(=O)N(C=2N=CN(C12)C)C</t>
  </si>
  <si>
    <t>YAPQBXQYLJRXSA-UHFFFAOYSA-N</t>
  </si>
  <si>
    <t>Caffeine</t>
  </si>
  <si>
    <t>C8H10N4O2</t>
  </si>
  <si>
    <t>CN1C=NC2=C1C(=O)N(C)C(=O)N2C</t>
  </si>
  <si>
    <t>RYYVLZVUVIJVGH-UHFFFAOYSA-N</t>
  </si>
  <si>
    <t>Toddalolactone</t>
  </si>
  <si>
    <t>C16H20O6</t>
  </si>
  <si>
    <t>O=C1OC2=CC(OC)=C(C(OC)=C2C=C1)CC(O)C(O)(C)C</t>
  </si>
  <si>
    <t>GLWPLQBQHWYKRK-CYBMUJFWSA-N</t>
  </si>
  <si>
    <t>CC1=C(O)C(CN)=C(CO)C=N1</t>
  </si>
  <si>
    <t>NHZMQXZHNVQTQA-UHFFFAOYSA-N</t>
  </si>
  <si>
    <t>TRYPTOPHAN</t>
  </si>
  <si>
    <t>O=C(O)C(N)CC1=CNC=2C=CC=CC21</t>
  </si>
  <si>
    <t>QIVBCDIJIAJPQS-VIFPVBQESA-N</t>
  </si>
  <si>
    <t>PIPERINE</t>
  </si>
  <si>
    <t>C17H19NO3</t>
  </si>
  <si>
    <t>O=C(C=CC=CC1=CC=C2OCOC2=C1)N3CCCCC3</t>
  </si>
  <si>
    <t>MXXWOMGUGJBKIW-YPCIICBESA-N</t>
  </si>
  <si>
    <t>O=C1C=2NC=NC2N(C(=O)N1C)C</t>
  </si>
  <si>
    <t>ZFXYFBGIUFBOJW-UHFFFAOYSA-N</t>
  </si>
  <si>
    <t>Indole-3-carboxaldehyde</t>
  </si>
  <si>
    <t>O=CC1=CNC=2C=CC=CC12</t>
  </si>
  <si>
    <t>OLNJUISKUQQNIM-UHFFFAOYSA-N</t>
  </si>
  <si>
    <t>O=C1C=2N=CNC2N=C(O)N1C</t>
  </si>
  <si>
    <t>MVOYJPOZRLFTCP-UHFFFAOYSA-N</t>
  </si>
  <si>
    <t>Methoxyindoleacetic acid</t>
  </si>
  <si>
    <t>COC1=CC2=C(NC=C2CC(O)=O)C=C1</t>
  </si>
  <si>
    <t>COCNDHOPIHDTHK-UHFFFAOYSA-N</t>
  </si>
  <si>
    <t>Cinnamic acid</t>
  </si>
  <si>
    <t>O=C(O)C=CC=1C=CC=CC1</t>
  </si>
  <si>
    <t>WBYWAXJHAXSJNI-VOTSOKGWSA-N</t>
  </si>
  <si>
    <t>Cyclohexanamine</t>
  </si>
  <si>
    <t>C6H13N</t>
  </si>
  <si>
    <t>NC1CCCCC1</t>
  </si>
  <si>
    <t>PAFZNILMFXTMIY-UHFFFAOYSA-N</t>
  </si>
  <si>
    <t>1-Naphthylamine</t>
  </si>
  <si>
    <t>C10H9N</t>
  </si>
  <si>
    <t>C1=CC=C2C(=C1)C=CC=C2N</t>
  </si>
  <si>
    <t>RUFPHBVGCFYCNW-UHFFFAOYSA-N</t>
  </si>
  <si>
    <t>methyl 2-((4-methyl-2-oxo-2H-chromen-7-yl)oxy)propanoate</t>
  </si>
  <si>
    <t>C14H14O5</t>
  </si>
  <si>
    <t>O=C1OC=2C=C(OC(C(=O)OC)C)C=CC2C(=C1)C</t>
  </si>
  <si>
    <t>NPTOZJLCWXEGKK-UHFFFAOYSA-N</t>
  </si>
  <si>
    <t>2-Methylindole</t>
  </si>
  <si>
    <t>CC1=CC2=CC=CC=C2N1</t>
  </si>
  <si>
    <t>BHNHHSOHWZKFOX-UHFFFAOYSA-N</t>
  </si>
  <si>
    <t>Fluconazole</t>
  </si>
  <si>
    <t>C13H12F2N6O</t>
  </si>
  <si>
    <t>OC(CN1C=NC=N1)(CN1C=NC=N1)C1=C(F)C=C(F)C=C1</t>
  </si>
  <si>
    <t>RFHAOTPXVQNOHP-UHFFFAOYSA-N</t>
  </si>
  <si>
    <t>4-Aminoantipyrine</t>
  </si>
  <si>
    <t>C11H13N3O</t>
  </si>
  <si>
    <t>CN1N(C(=O)C(N)=C1C)C1=CC=CC=C1</t>
  </si>
  <si>
    <t>RLFWWDJHLFCNIJ-UHFFFAOYSA-N</t>
  </si>
  <si>
    <t>3-Formylindole</t>
  </si>
  <si>
    <t>O=CC1=CNC2=CC=CC=C12</t>
  </si>
  <si>
    <t>CC1=C(C(N(C2=CC=CC=C2)N1C)=O)N</t>
  </si>
  <si>
    <t>Cyclo(proline-leucine)</t>
  </si>
  <si>
    <t>C11H18N2O2</t>
  </si>
  <si>
    <t>CC(C)CC1N=C(O)C2CCCN2C1=O</t>
  </si>
  <si>
    <t>SZJNCZMRZAUNQT-UHFFFAOYNA-N</t>
  </si>
  <si>
    <t>Trimethylamine N-oxide</t>
  </si>
  <si>
    <t>O=N(C)(C)C</t>
  </si>
  <si>
    <t>UYPYRKYUKCHHIB-UHFFFAOYSA-N</t>
  </si>
  <si>
    <t>Methyl-3-hydroxybutyric acid</t>
  </si>
  <si>
    <t>O=C(O)C(C)C(O)C</t>
  </si>
  <si>
    <t>VEXDRERIMPLZLU-UHFFFAOYNA-N</t>
  </si>
  <si>
    <t>Aniline</t>
  </si>
  <si>
    <t>C6H7N</t>
  </si>
  <si>
    <t>NC1=CC=CC=C1</t>
  </si>
  <si>
    <t>PAYRUJLWNCNPSJ-UHFFFAOYSA-N</t>
  </si>
  <si>
    <t>Amantadine</t>
  </si>
  <si>
    <t>C10H17N</t>
  </si>
  <si>
    <t>NC12CC3CC(CC(C3)C1)C2</t>
  </si>
  <si>
    <t>DKNWSYNQZKUICI-UHFFFAOYSA-N</t>
  </si>
  <si>
    <t>?-Gentiobiose</t>
  </si>
  <si>
    <t>OCC1OC(OCC2OC(O)C(O)C(O)C2O)C(O)C(O)C1O</t>
  </si>
  <si>
    <t>DLRVVLDZNNYCBX-CQUJWQHSSA-N</t>
  </si>
  <si>
    <t>4-hydroxy-4-(pyridin-2-yl)butan-2-one</t>
  </si>
  <si>
    <t>O=C(C)CC(O)C1=NC=CC=C1</t>
  </si>
  <si>
    <t>NYKHQRHPWDLZTL-UHFFFAOYSA-N</t>
  </si>
  <si>
    <t>DEET</t>
  </si>
  <si>
    <t>C12H17NO</t>
  </si>
  <si>
    <t>CCN(CC)C(=O)C1=CC=CC(C)=C1</t>
  </si>
  <si>
    <t>MMOXZBCLCQITDF-UHFFFAOYSA-N</t>
  </si>
  <si>
    <t>6,7-dihydroxybenzofuran-3(2H)-one</t>
  </si>
  <si>
    <t>C8H6O4</t>
  </si>
  <si>
    <t>O=C1C2=CC=C(O)C(O)=C2OC1</t>
  </si>
  <si>
    <t>ZDHCVQNIRWDINX-UHFFFAOYSA-N</t>
  </si>
  <si>
    <t>OC(=O)C1=CC=C(O)C=C1</t>
  </si>
  <si>
    <t>FJKROLUGYXJWQN-UHFFFAOYSA-N</t>
  </si>
  <si>
    <t>Choline</t>
  </si>
  <si>
    <t>C5H14NO</t>
  </si>
  <si>
    <t>OEYIOHPDSNJKLS-UHFFFAOYSA-N</t>
  </si>
  <si>
    <t>Unknown (carbon number 7); PlaSMA ID-62</t>
  </si>
  <si>
    <t>Unknown (carbon number 8); PlaSMA ID-53</t>
  </si>
  <si>
    <t>C8H6O</t>
  </si>
  <si>
    <t>Unknown (carbon number 9); PlaSMA ID-195</t>
  </si>
  <si>
    <t>C9H6O2</t>
  </si>
  <si>
    <t>Unknown (carbon number 9); PlaSMA ID-339</t>
  </si>
  <si>
    <t>Unknown (carbon number 7); PlaSMA ID-32</t>
  </si>
  <si>
    <t>C7H11N</t>
  </si>
  <si>
    <t>Unknown (carbon number 12); PlaSMA ID-298</t>
  </si>
  <si>
    <t>C12H17</t>
  </si>
  <si>
    <t>Unknown (carbon number 11); PlaSMA ID-544</t>
  </si>
  <si>
    <t>C11H12N2O</t>
  </si>
  <si>
    <t>Unknown (carbon number 18); PlaSMA ID-1009</t>
  </si>
  <si>
    <t>C18H26</t>
  </si>
  <si>
    <t>Unknown (carbon number 10); PlaSMA ID-169</t>
  </si>
  <si>
    <t>HILIC</t>
  </si>
  <si>
    <t>C2H7NO</t>
  </si>
  <si>
    <t>OCCN</t>
  </si>
  <si>
    <t>HZAXFHJVJLSVMW-UHFFFAOYSA-N</t>
  </si>
  <si>
    <t>1-Hexylamine</t>
  </si>
  <si>
    <t>C6H15N</t>
  </si>
  <si>
    <t>CCCCCCN</t>
  </si>
  <si>
    <t>BMVXCPBXGZKUPN-UHFFFAOYSA-N</t>
  </si>
  <si>
    <t>MTCFGRXMJLQNBG-UHFFFAOYNA-N</t>
  </si>
  <si>
    <t>O=C(O)C(N)C(C)C</t>
  </si>
  <si>
    <t>KZSNJWFQEVHDMF-UHFFFAOYSA-N</t>
  </si>
  <si>
    <t>C[N+](C)(C)CC(=O)[O-]</t>
  </si>
  <si>
    <t>CC(O)C(N)C(O)=O</t>
  </si>
  <si>
    <t>AYFVYJQAPQTCCC-UHFFFAOYNA-N</t>
  </si>
  <si>
    <t>O=C(O)C(N)C(O)C</t>
  </si>
  <si>
    <t>N,N-Dimethylaniline</t>
  </si>
  <si>
    <t>CN(C)C1=CC=CC=C1</t>
  </si>
  <si>
    <t>JLTDJTHDQAWBAV-UHFFFAOYSA-N</t>
  </si>
  <si>
    <t>Nicotinamide</t>
  </si>
  <si>
    <t>N=C(O)C=1C=NC=CC1</t>
  </si>
  <si>
    <t>DFPAKSUCGFBDDF-UHFFFAOYSA-N</t>
  </si>
  <si>
    <t>NCCS(O)(=O)=O</t>
  </si>
  <si>
    <t>XOAAWQZATWQOTB-UHFFFAOYSA-N</t>
  </si>
  <si>
    <t>CREATINE</t>
  </si>
  <si>
    <t>O=C(O)CN(C(=N)N)C</t>
  </si>
  <si>
    <t>CCC(C)C(N)C(O)=O</t>
  </si>
  <si>
    <t>AGPKZVBTJJNPAG-UHFFFAOYNA-N</t>
  </si>
  <si>
    <t>O=C(O)C(N)CCCN</t>
  </si>
  <si>
    <t>AHLPHDHHMVZTML-UHFFFAOYSA-N</t>
  </si>
  <si>
    <t>2-Phenylacetamide</t>
  </si>
  <si>
    <t>C8H9NO</t>
  </si>
  <si>
    <t>N=C(O)CC=1C=CC=CC1</t>
  </si>
  <si>
    <t>LSBDFXRDZJMBSC-UHFFFAOYSA-N</t>
  </si>
  <si>
    <t>N-Methylnicotinamide; CE10; ZYVXHFWBYUDDBM-UHFFFAOYSA-N</t>
  </si>
  <si>
    <t>C7H8N2O</t>
  </si>
  <si>
    <t>CN=C(c1cccnc1)O</t>
  </si>
  <si>
    <t>ZYVXHFWBYUDDBM-UHFFFAOYSA-N</t>
  </si>
  <si>
    <t>Ectoine</t>
  </si>
  <si>
    <t>O=C(O)C1NC(=NCC1)C</t>
  </si>
  <si>
    <t>WQXNXVUDBPYKBA-YFKPBYRVSA-N</t>
  </si>
  <si>
    <t>4-GUANIDINOBUTANOATE</t>
  </si>
  <si>
    <t>O=C(O)CCCN=C(N)N</t>
  </si>
  <si>
    <t>TUHVEAJXIMEOSA-UHFFFAOYSA-N</t>
  </si>
  <si>
    <t>Acetylcholine</t>
  </si>
  <si>
    <t>C7H16NO2</t>
  </si>
  <si>
    <t>CC(=O)OCC[N+](C)(C)C</t>
  </si>
  <si>
    <t>OIPILFWXSMYKGL-UHFFFAOYSA-N</t>
  </si>
  <si>
    <t>DEOXYCARNITINE</t>
  </si>
  <si>
    <t>O=C([O-])CCC[N+](C)(C)C</t>
  </si>
  <si>
    <t>JHPNVNIEXXLNTR-UHFFFAOYSA-N</t>
  </si>
  <si>
    <t>Cumarin</t>
  </si>
  <si>
    <t>C1=CC=C2C(=C1)C=CC(=O)O2</t>
  </si>
  <si>
    <t>ZYGHJZDHTFUPRJ-UHFFFAOYSA-N</t>
  </si>
  <si>
    <t>L-Glutamic acid</t>
  </si>
  <si>
    <t>N[C@@H](CCC(O)=O)C(O)=O</t>
  </si>
  <si>
    <t>WHUUTDBJXJRKMK-VKHMYHEASA-N</t>
  </si>
  <si>
    <t>N[C@@H](CC1=CN=CN1)C(O)=O</t>
  </si>
  <si>
    <t>HNDVDQJCIGZPNO-YFKPBYRVSA-N</t>
  </si>
  <si>
    <t>p-coumaric acid</t>
  </si>
  <si>
    <t>O=C(O)C=CC1=CC=C(O)C=C1</t>
  </si>
  <si>
    <t>NGSWKAQJJWESNS-ZZXKWVIFSA-N</t>
  </si>
  <si>
    <t>3-Methylhistidine</t>
  </si>
  <si>
    <t>O=C(O)C(N)CC1=CN=CN1C</t>
  </si>
  <si>
    <t>JDHILDINMRGULE-UHFFFAOYNA-N</t>
  </si>
  <si>
    <t>Arginine</t>
  </si>
  <si>
    <t>O=C(O)C(N)CCCN=C(N)N</t>
  </si>
  <si>
    <t>ODKSFYDXXFIFQN-UHFFFAOYSA-N</t>
  </si>
  <si>
    <t>L-citrulline</t>
  </si>
  <si>
    <t>O=C(O)C(N)CCCNC(=N)O</t>
  </si>
  <si>
    <t>RHGKLRLOHDJJDR-BYPYZUCNSA-N</t>
  </si>
  <si>
    <t>Vasicine</t>
  </si>
  <si>
    <t>O[C@@H]1CCN2CC3=CC=CC=C3N=C12</t>
  </si>
  <si>
    <t>YIICVSCAKJMMDJ-SNVBAGLBSA-N</t>
  </si>
  <si>
    <t>N,N-Dimethylarginine</t>
  </si>
  <si>
    <t>C8H18N4O2</t>
  </si>
  <si>
    <t>O=C(O)C(N(C)C)CCCNC(=N)N</t>
  </si>
  <si>
    <t>NWGZOALPWZDXNG-UHFFFAOYNA-N</t>
  </si>
  <si>
    <t>Proline-hydroxyproline</t>
  </si>
  <si>
    <t>O=C(O)C1N(C(=O)C2NCCC2)CC(O)C1</t>
  </si>
  <si>
    <t>ONPXCLZMBSJLSP-UHFFFAOYNA-N</t>
  </si>
  <si>
    <t>4-Formylaminoantipyrine</t>
  </si>
  <si>
    <t>C12H13N3O2</t>
  </si>
  <si>
    <t>CN1N(C(=O)C(N=CO)=C1C)C1=CC=CC=C1</t>
  </si>
  <si>
    <t>WSJBSKRPKADYRQ-UHFFFAOYSA-N</t>
  </si>
  <si>
    <t>Butyryl carnitine</t>
  </si>
  <si>
    <t>C11H21NO4</t>
  </si>
  <si>
    <t>O=C([O-])CC(OC(=O)C(C)C)C[N+](C)(C)C</t>
  </si>
  <si>
    <t>LRCNOZRCYBNMEP-UHFFFAOYNA-N</t>
  </si>
  <si>
    <t>HEPES</t>
  </si>
  <si>
    <t>C8H18N2O4S</t>
  </si>
  <si>
    <t>C1CN(CCN1CCO)CCS(=O)(=O)O</t>
  </si>
  <si>
    <t>JKMHFZQWWAIEOD-UHFFFAOYSA-N</t>
  </si>
  <si>
    <t>LEVWYRKDKASIDU-UHFFFAOYNA-N</t>
  </si>
  <si>
    <t>lenticin</t>
  </si>
  <si>
    <t>haplamine</t>
  </si>
  <si>
    <t>C15H15NO3</t>
  </si>
  <si>
    <t>O=C1NC=2C=CC(OC)=CC2C=3OC(C=CC13)(C)C</t>
  </si>
  <si>
    <t>IXRKDGGGFFCRIR-UHFFFAOYSA-N</t>
  </si>
  <si>
    <t>1-Methyladenosine</t>
  </si>
  <si>
    <t>C11H15N5O4</t>
  </si>
  <si>
    <t>N=C1C=2N=CN(C2N=CN1C)C3OC(CO)C(O)C3O</t>
  </si>
  <si>
    <t>GFYLSDSUCHVORB-IOSLPCCCSA-N</t>
  </si>
  <si>
    <t>Piperine</t>
  </si>
  <si>
    <t>Cyanidin</t>
  </si>
  <si>
    <t>C15H11O6</t>
  </si>
  <si>
    <t>OC1=CC2=[O+]C(=C(O)C=C2C(O)=C1)C1=CC(O)=C(O)C=C1</t>
  </si>
  <si>
    <t>VEVZSMAEJFVWIL-UHFFFAOYSA-O</t>
  </si>
  <si>
    <t>Decanoyl-L-carnitine</t>
  </si>
  <si>
    <t>C17H33NO4</t>
  </si>
  <si>
    <t>O=C([O-])CC(OC(=O)CCCCCCCCC)C[N+](C)(C)C</t>
  </si>
  <si>
    <t>LZOSYCMHQXPBFU-UHFFFAOYSA-N</t>
  </si>
  <si>
    <t>Melibiose</t>
  </si>
  <si>
    <t>DLRVVLDZNNYCBX-ABXHMFFYSA-N</t>
  </si>
  <si>
    <t>CN1CC(=O)N=C1N</t>
  </si>
  <si>
    <t>C(CC(=O)N)[C@@H](C(=O)O)N</t>
  </si>
  <si>
    <t>C(CC(=O)O)[C@@H](C(=O)O)N</t>
  </si>
  <si>
    <t>CSCC[C@@H](C(=O)O)N</t>
  </si>
  <si>
    <t>FFEARJCKVFRZRR-BYPYZUCNSA-N</t>
  </si>
  <si>
    <t>C1=C(NC=N1)C[C@@H](C(=O)O)N</t>
  </si>
  <si>
    <t>C(C[C@@H](C(=O)O)N)CN=C(N)N</t>
  </si>
  <si>
    <t>D-Dopa</t>
  </si>
  <si>
    <t>C9H11NO4</t>
  </si>
  <si>
    <t>C1=CC(=C(C=C1C[C@H](C(=O)O)N)O)O</t>
  </si>
  <si>
    <t>WTDRDQBEARUVNC-ZCFIWIBFSA-N</t>
  </si>
  <si>
    <t>C1=NC(=C2C(=N1)N(C=N2)[C@H]3[C@@H]([C@@H]([C@H](O3)CO)O)O)N</t>
  </si>
  <si>
    <t>Metoprolol</t>
  </si>
  <si>
    <t>C15H25NO3</t>
  </si>
  <si>
    <t>CC(C)NCC(COC1=CC=C(C=C1)CCOC)O</t>
  </si>
  <si>
    <t>IUBSYMUCCVWXPE-UHFFFAOYSA-N</t>
  </si>
  <si>
    <t>Cortisone</t>
  </si>
  <si>
    <t>C21H28O5</t>
  </si>
  <si>
    <t>C[C@]12CCC(=O)C=C1CC[C@@H]3[C@@H]2C(=O)C[C@]4([C@H]3CC[C@@]4(C(=O)CO)O)C</t>
  </si>
  <si>
    <t>MFYSYFVPBJMHGN-ZPOLXVRWSA-N</t>
  </si>
  <si>
    <t>Hydrocortisone</t>
  </si>
  <si>
    <t>C21H30O5</t>
  </si>
  <si>
    <t>C[C@]12CCC(=O)C=C1CC[C@@H]3[C@@H]2[C@H](C[C@]4([C@H]3CC[C@@]4(C(=O)CO)O)C)O</t>
  </si>
  <si>
    <t>JYGXADMDTFJGBT-VWUMJDOOSA-N</t>
  </si>
  <si>
    <t>C[N+](C)(C)[O-]</t>
  </si>
  <si>
    <t>C(CS(=O)(=O)O)N</t>
  </si>
  <si>
    <t>L-Pyroglutamic acid</t>
  </si>
  <si>
    <t>C1CC(=O)N[C@@H]1C(=O)O</t>
  </si>
  <si>
    <t>Isoquinoline</t>
  </si>
  <si>
    <t>C9H7N</t>
  </si>
  <si>
    <t>C1=CC=C2C=NC=CC2=C1</t>
  </si>
  <si>
    <t>AWJUIBRHMBBTKR-UHFFFAOYSA-N</t>
  </si>
  <si>
    <t>Cycloleucine</t>
  </si>
  <si>
    <t>C1CCC(C1)(C(=O)O)N</t>
  </si>
  <si>
    <t>3-Guanidinopropionic acid</t>
  </si>
  <si>
    <t>C(CN=C(N)N)C(=O)O</t>
  </si>
  <si>
    <t>KMXXSJLYVJEBHI-UHFFFAOYSA-N</t>
  </si>
  <si>
    <t>Allopurinol</t>
  </si>
  <si>
    <t>C1=NNC2=C1C(=O)NC=N2</t>
  </si>
  <si>
    <t>OFCNXPDARWKPPY-UHFFFAOYSA-N</t>
  </si>
  <si>
    <t>C1=CC(=CC=C1C(=O)O)O</t>
  </si>
  <si>
    <t>DL-Lysine</t>
  </si>
  <si>
    <t>C(CCN)CC(C(=O)O)N</t>
  </si>
  <si>
    <t>KDXKERNSBIXSRK-UHFFFAOYSA-N</t>
  </si>
  <si>
    <t>D-Methionine</t>
  </si>
  <si>
    <t>CSCC[C@H](C(=O)O)N</t>
  </si>
  <si>
    <t>FFEARJCKVFRZRR-SCSAIBSYSA-N</t>
  </si>
  <si>
    <t>C1C2CC3CC1CC(C2)(C3)N</t>
  </si>
  <si>
    <t>C1=CC(=CC=C1/C=C/C(=O)O)O</t>
  </si>
  <si>
    <t>3-methyl-7H-purine-2,6-dione</t>
  </si>
  <si>
    <t>CN1C2=C(C(=O)NC1=O)NC=N2</t>
  </si>
  <si>
    <t>D-Arginine</t>
  </si>
  <si>
    <t>C(C[C@H](C(=O)O)N)CN=C(N)N</t>
  </si>
  <si>
    <t>ODKSFYDXXFIFQN-SCSAIBSYSA-N</t>
  </si>
  <si>
    <t>Indole-3-acetic acid</t>
  </si>
  <si>
    <t>C1=CC=C2C(=C1)C(=CN2)CC(=O)O</t>
  </si>
  <si>
    <t>Diethyltoluamide</t>
  </si>
  <si>
    <t>CCN(CC)C(=O)C1=CC=CC(=C1)C</t>
  </si>
  <si>
    <t>Primidone</t>
  </si>
  <si>
    <t>C12H14N2O2</t>
  </si>
  <si>
    <t>CCC1(C(=O)NCNC1=O)C2=CC=CC=C2</t>
  </si>
  <si>
    <t>DQMZLTXERSFNPB-UHFFFAOYSA-N</t>
  </si>
  <si>
    <t>CC(C)(CO)[C@H](C(=O)NCCC(=O)O)O</t>
  </si>
  <si>
    <t>GHOKWGTUZJEAQD-ZETCQYMHSA-N</t>
  </si>
  <si>
    <t>D-Cystine</t>
  </si>
  <si>
    <t>C([C@H](C(=O)O)N)SSC[C@H](C(=O)O)N</t>
  </si>
  <si>
    <t>LEVWYRKDKASIDU-QWWZWVQMSA-N</t>
  </si>
  <si>
    <t>1-(Isopropylamino)-3-(1-naphthyloxy)-2-propanol</t>
  </si>
  <si>
    <t>C16H21NO2</t>
  </si>
  <si>
    <t>CC(C)NC[C@@H](COC1=CC=CC2=CC=CC=C21)O</t>
  </si>
  <si>
    <t>AQHHHDLHHXJYJD-AWEZNQCLSA-N</t>
  </si>
  <si>
    <t>1-[4-(2-methoxyethyl)phenoxy]-3-(propan-2-ylamino)propan-2-ol</t>
  </si>
  <si>
    <t>C1CCN(CC1)C(=O)/C=C/C=C/C2=CC3=C(C=C2)OCO3</t>
  </si>
  <si>
    <t>C1=CC(=C(C=C1F)F)C(CN2C=NC=N2)(CN3C=NC=N3)O</t>
  </si>
  <si>
    <t>Trimethylamine oxide</t>
  </si>
  <si>
    <t>Pipecolic acid</t>
  </si>
  <si>
    <t>C1CCNC(C1)C(=O)O</t>
  </si>
  <si>
    <t>HXEACLLIILLPRG-UHFFFAOYSA-N</t>
  </si>
  <si>
    <t>C(CCN)C[C@@H](C(=O)O)N</t>
  </si>
  <si>
    <t>KDXKERNSBIXSRK-YFKPBYRVSA-N</t>
  </si>
  <si>
    <t>Propranolol</t>
  </si>
  <si>
    <t>CC(C)NCC(COC1=CC=CC2=CC=CC=C21)O</t>
  </si>
  <si>
    <t>AQHHHDLHHXJYJD-UHFFFAOYSA-N</t>
  </si>
  <si>
    <t>Salicylic acid</t>
  </si>
  <si>
    <t>C1=CC=C(C(=C1)C(=O)O)O</t>
  </si>
  <si>
    <t>YGSDEFSMJLZEOE-UHFFFAOYSA-N</t>
  </si>
  <si>
    <t>(2S)-1-naphthalen-1-yloxy-3-(propan-2-ylamino)propan-2-ol</t>
  </si>
  <si>
    <t>3-Aminobenzoic acid</t>
  </si>
  <si>
    <t>C1=CC(=CC(=C1)N)C(=O)O</t>
  </si>
  <si>
    <t>XFDUHJPVQKIXHO-UHFFFAOYSA-N</t>
  </si>
  <si>
    <t>D-Glutamine</t>
  </si>
  <si>
    <t>C(CC(=O)N)[C@H](C(=O)O)N</t>
  </si>
  <si>
    <t>ZDXPYRJPNDTMRX-GSVOUGTGSA-N</t>
  </si>
  <si>
    <t>D-Lysine</t>
  </si>
  <si>
    <t>C(CCN)C[C@H](C(=O)O)N</t>
  </si>
  <si>
    <t>KDXKERNSBIXSRK-RXMQYKEDSA-N</t>
  </si>
  <si>
    <t>C1=NNC2=C1C(=O)NC(=O)N2</t>
  </si>
  <si>
    <t>D-Histidine</t>
  </si>
  <si>
    <t>C1=C(NC=N1)C[C@H](C(=O)O)N</t>
  </si>
  <si>
    <t>HNDVDQJCIGZPNO-RXMQYKEDSA-N</t>
  </si>
  <si>
    <t>2-Hydroxycinnamic acid</t>
  </si>
  <si>
    <t>C1=CC=C(C(=C1)/C=C/C(=O)O)O</t>
  </si>
  <si>
    <t>PMOWTIHVNWZYFI-AATRIKPKSA-N</t>
  </si>
  <si>
    <t>CC1=C(C(=O)N(N1C)C2=CC=CC=C2)N</t>
  </si>
  <si>
    <t>2-METHYLINDOLE</t>
  </si>
  <si>
    <t>allopurinol</t>
  </si>
  <si>
    <t>3-AMINOBENZOIC ACID</t>
  </si>
  <si>
    <t>4-HYDROXYBENZOIC ACID</t>
  </si>
  <si>
    <t>1-NAPHTHYLAMINE</t>
  </si>
  <si>
    <t>L-glutamine</t>
  </si>
  <si>
    <t>L-lysine</t>
  </si>
  <si>
    <t>L-glutamic acid</t>
  </si>
  <si>
    <t>L-methionine</t>
  </si>
  <si>
    <t>amantadine</t>
  </si>
  <si>
    <t>Histidine, alpha-methyl-</t>
  </si>
  <si>
    <t>C[C@](CC1=CN=CN1)(C(=O)O)N</t>
  </si>
  <si>
    <t>HRRYYCWYCMJNGA-ZETCQYMHSA-N</t>
  </si>
  <si>
    <t>L-arginine</t>
  </si>
  <si>
    <t>indole-3-acetic acid</t>
  </si>
  <si>
    <t>1,9-Dimethyluric acid</t>
  </si>
  <si>
    <t>C7H8N4O3</t>
  </si>
  <si>
    <t>CN1C2=C(C(=O)N(C(=O)N2)C)NC1=O</t>
  </si>
  <si>
    <t>UARKDOLETOEBCU-UHFFFAOYSA-N</t>
  </si>
  <si>
    <t>levodopa</t>
  </si>
  <si>
    <t>C1=CC(=C(C=C1C[C@@H](C(=O)O)N)O)O</t>
  </si>
  <si>
    <t>WTDRDQBEARUVNC-LURJTMIESA-N</t>
  </si>
  <si>
    <t>primidone</t>
  </si>
  <si>
    <t>pantothenic acid</t>
  </si>
  <si>
    <t>CC1=C(C(=O)N(N1C)C2=CC=CC=C2)NC=O</t>
  </si>
  <si>
    <t>L-cystine</t>
  </si>
  <si>
    <t>C([C@@H](C(=O)O)N)SSC[C@@H](C(=O)O)N</t>
  </si>
  <si>
    <t>LEVWYRKDKASIDU-IMJSIDKUSA-N</t>
  </si>
  <si>
    <t>CC1=C(C(=O)N(N1C)C2=CC=CC=C2)NC(=O)C</t>
  </si>
  <si>
    <t>propranolol</t>
  </si>
  <si>
    <t>gamma-Glu-leu</t>
  </si>
  <si>
    <t>CC(C)C[C@@H](C(=O)O)NC(=O)CC[C@@H](C(=O)O)N</t>
  </si>
  <si>
    <t>MYFMARDICOWMQP-YUMQZZPRSA-N</t>
  </si>
  <si>
    <t>Metoprolol acid</t>
  </si>
  <si>
    <t>C14H21NO4</t>
  </si>
  <si>
    <t>CC(C)NCC(COC1=CC=C(C=C1)CC(=O)O)O</t>
  </si>
  <si>
    <t>PUQIRTNPJRFRCZ-UHFFFAOYSA-N</t>
  </si>
  <si>
    <t>metoprolol</t>
  </si>
  <si>
    <t>piperine</t>
  </si>
  <si>
    <t>fluconazole</t>
  </si>
  <si>
    <t>cortisone</t>
  </si>
  <si>
    <t>hydrocortisone</t>
  </si>
  <si>
    <t>C([C@@H](C(=O)O)N)O</t>
  </si>
  <si>
    <t>MTCFGRXMJLQNBG-REOHCLBHSA-N</t>
  </si>
  <si>
    <t>C1C[C@H](NC1)C(=O)O</t>
  </si>
  <si>
    <t>ONIBWKKTOPOVIA-BYPYZUCNSA-N</t>
  </si>
  <si>
    <t>CC(C)[C@@H](C(=O)O)N</t>
  </si>
  <si>
    <t>KZSNJWFQEVHDMF-BYPYZUCNSA-N</t>
  </si>
  <si>
    <t>C1=CC(=CN=C1)C(=O)N</t>
  </si>
  <si>
    <t>1-aminocyclopropane-1-carboxylic acid</t>
  </si>
  <si>
    <t>C4H7NO2</t>
  </si>
  <si>
    <t>C1CC1(C(=O)O)N</t>
  </si>
  <si>
    <t>PAJPWUMXBYXFCZ-UHFFFAOYSA-N</t>
  </si>
  <si>
    <t>N,N-dimethylglycine</t>
  </si>
  <si>
    <t>CN(C)CC(=O)O</t>
  </si>
  <si>
    <t>FFDGPVCHZBVARC-UHFFFAOYSA-N</t>
  </si>
  <si>
    <t>D-serine</t>
  </si>
  <si>
    <t>C([C@H](C(=O)O)N)O</t>
  </si>
  <si>
    <t>MTCFGRXMJLQNBG-UWTATZPHSA-N</t>
  </si>
  <si>
    <t>L-Allothreonine</t>
  </si>
  <si>
    <t>C[C@@H]([C@@H](C(=O)O)N)O</t>
  </si>
  <si>
    <t>AYFVYJQAPQTCCC-HRFVKAFMSA-N</t>
  </si>
  <si>
    <t>L-Alloisoleucine</t>
  </si>
  <si>
    <t>CC[C@@H](C)[C@@H](C(=O)O)N</t>
  </si>
  <si>
    <t>AGPKZVBTJJNPAG-UHNVWZDZSA-N</t>
  </si>
  <si>
    <t>D-phenylalanine</t>
  </si>
  <si>
    <t>C1=CC=C(C=C1)C[C@H](C(=O)O)N</t>
  </si>
  <si>
    <t>COLNVLDHVKWLRT-MRVPVSSYSA-N</t>
  </si>
  <si>
    <t>3-Methyl-L-histidine</t>
  </si>
  <si>
    <t>CN1C=NC=C1C[C@@H](C(=O)O)N</t>
  </si>
  <si>
    <t>JDHILDINMRGULE-LURJTMIESA-N</t>
  </si>
  <si>
    <t>Gabapentin</t>
  </si>
  <si>
    <t>C9H17NO2</t>
  </si>
  <si>
    <t>C1CCC(CC1)(CC(=O)O)CN</t>
  </si>
  <si>
    <t>UGJMXCAKCUNAIE-UHFFFAOYSA-N</t>
  </si>
  <si>
    <t>C(C[C@@H](C(=O)O)N)CNC(=O)N</t>
  </si>
  <si>
    <t>D-Glucosamine</t>
  </si>
  <si>
    <t>C6H13NO5</t>
  </si>
  <si>
    <t>C([C@@H]1[C@H]([C@@H]([C@H](C(O1)O)N)O)O)O</t>
  </si>
  <si>
    <t>MSWZFWKMSRAUBD-IVMDWMLBSA-N</t>
  </si>
  <si>
    <t>D-tyrosine</t>
  </si>
  <si>
    <t>C1=CC(=CC=C1C[C@H](C(=O)O)N)O</t>
  </si>
  <si>
    <t>OUYCCCASQSFEME-MRVPVSSYSA-N</t>
  </si>
  <si>
    <t>D-Tryptophan</t>
  </si>
  <si>
    <t>C1=CC=C2C(=C1)C(=CN2)C[C@H](C(=O)O)N</t>
  </si>
  <si>
    <t>QIVBCDIJIAJPQS-SECBINFHSA-N</t>
  </si>
  <si>
    <t>L-2-Aminobutyric acid</t>
  </si>
  <si>
    <t>CC[C@@H](C(=O)O)N</t>
  </si>
  <si>
    <t>QWCKQJZIFLGMSD-VKHMYHEASA-N</t>
  </si>
  <si>
    <t>l-Isoleucine</t>
  </si>
  <si>
    <t>CC[C@H](C)[C@@H](C(=O)O)N</t>
  </si>
  <si>
    <t>AGPKZVBTJJNPAG-WHFBIAKZSA-N</t>
  </si>
  <si>
    <t>C1=CC=C(C=C1)C[C@@H](C(=O)O)N</t>
  </si>
  <si>
    <t>COLNVLDHVKWLRT-QMMMGPOBSA-N</t>
  </si>
  <si>
    <t>2-Amino-2-deoxy-L-glucopyranose</t>
  </si>
  <si>
    <t>C([C@H]1[C@@H]([C@H]([C@@H](C(O1)O)N)O)O)O</t>
  </si>
  <si>
    <t>MSWZFWKMSRAUBD-HOWGCPQDSA-N</t>
  </si>
  <si>
    <t>C1=CC(=CC=C1C[C@@H](C(=O)O)N)O</t>
  </si>
  <si>
    <t>OUYCCCASQSFEME-QMMMGPOBSA-N</t>
  </si>
  <si>
    <t>C1=CC=C2C(=C1)C(=CN2)C[C@@H](C(=O)O)N</t>
  </si>
  <si>
    <t>1-Aminocyclopropanecarboxylic acid</t>
  </si>
  <si>
    <t>N,N-Dimethylglycine</t>
  </si>
  <si>
    <t>D-Serine</t>
  </si>
  <si>
    <t>D-Valine</t>
  </si>
  <si>
    <t>CC(C)[C@H](C(=O)O)N</t>
  </si>
  <si>
    <t>KZSNJWFQEVHDMF-SCSAIBSYSA-N</t>
  </si>
  <si>
    <t>4-Piperidinecarboxamide</t>
  </si>
  <si>
    <t>C6H12N2O</t>
  </si>
  <si>
    <t>C1CNCCC1C(=O)N</t>
  </si>
  <si>
    <t>DPBWFNDFMCCGGJ-UHFFFAOYSA-N</t>
  </si>
  <si>
    <t>N-Acetylputrescine</t>
  </si>
  <si>
    <t>KLZGKIDSEJWEDW-UHFFFAOYSA-N</t>
  </si>
  <si>
    <t>(2S)-2-Amino-3-methylpentanoic acid</t>
  </si>
  <si>
    <t>CCC(C)[C@@H](C(=O)O)N</t>
  </si>
  <si>
    <t>AGPKZVBTJJNPAG-AKGZTFGVSA-N</t>
  </si>
  <si>
    <t>C1=CC=C2C(=C1)C(=CN2)C=O</t>
  </si>
  <si>
    <t>C(CO)N(CCO)CCO</t>
  </si>
  <si>
    <t>D-Phenylalanine</t>
  </si>
  <si>
    <t>d-Galac-tosamine</t>
  </si>
  <si>
    <t>C(C1[C@@H](C([C@@H](C(O1)O)N)O)O)O</t>
  </si>
  <si>
    <t>MSWZFWKMSRAUBD-UZJJNQGWSA-N</t>
  </si>
  <si>
    <t>D-Tyrosine</t>
  </si>
  <si>
    <t>l-Threonine</t>
  </si>
  <si>
    <t>C[C@H]([C@@H](C(=O)O)N)O</t>
  </si>
  <si>
    <t>AYFVYJQAPQTCCC-GBXIJSLDSA-N</t>
  </si>
  <si>
    <t>(3S)-3,7-diaminoheptanoic acid</t>
  </si>
  <si>
    <t>C7H16N2O2</t>
  </si>
  <si>
    <t>C(CCN)C[C@@H](CC(=O)O)N</t>
  </si>
  <si>
    <t>PJDINCOFOROBQW-LURJTMIESA-N</t>
  </si>
  <si>
    <t>alpha-Methylhistidine</t>
  </si>
  <si>
    <t>Butyric acid</t>
  </si>
  <si>
    <t>C4H8O2</t>
  </si>
  <si>
    <t>CCCC(=O)O</t>
  </si>
  <si>
    <t>FERIUCNNQQJTOY-UHFFFAOYSA-N</t>
  </si>
  <si>
    <t>Levodopa</t>
  </si>
  <si>
    <t>Isoniazid</t>
  </si>
  <si>
    <t>C6H7N3O</t>
  </si>
  <si>
    <t>C1=CN=CC=C1C(=O)NN</t>
  </si>
  <si>
    <t>QRXWMOHMRWLFEY-UHFFFAOYSA-N</t>
  </si>
  <si>
    <t>Nialamide</t>
  </si>
  <si>
    <t>C16H18N4O2</t>
  </si>
  <si>
    <t>C1=CC=C(C=C1)CNC(=O)CCNNC(=O)C2=CC=NC=C2</t>
  </si>
  <si>
    <t>NOIIUHRQUVNIDD-UHFFFAOYSA-N</t>
  </si>
  <si>
    <t>Prednisolone</t>
  </si>
  <si>
    <t>C[C@]12C[C@@H]([C@H]3[C@H]([C@@H]1CC[C@@]2(C(=O)CO)O)CCC4=CC(=O)C=C[C@]34C)O</t>
  </si>
  <si>
    <t>OIGNJSKKLXVSLS-VWUMJDOOSA-N</t>
  </si>
  <si>
    <t>Coumarin</t>
  </si>
  <si>
    <t>5-Hydroxytryptophan</t>
  </si>
  <si>
    <t>C11H12N2O3</t>
  </si>
  <si>
    <t>C1=CC2=C(C=C1O)C(=CN2)CC(C(=O)O)N</t>
  </si>
  <si>
    <t>LDCYZAJDBXYCGN-UHFFFAOYSA-N</t>
  </si>
  <si>
    <t>Morphine</t>
  </si>
  <si>
    <t>CN1CC[C@]23[C@@H]4[C@H]1CC5=C2C(=C(C=C5)O)O[C@H]3[C@H](C=C4)O</t>
  </si>
  <si>
    <t>BQJCRHHNABKAKU-KBQPJGBKSA-N</t>
  </si>
  <si>
    <t>Isocarboxazid</t>
  </si>
  <si>
    <t>CC1=CC(=NO1)C(=O)NNCC2=CC=CC=C2</t>
  </si>
  <si>
    <t>XKFPYPQQHFEXRZ-UHFFFAOYSA-N</t>
  </si>
  <si>
    <t>5-Hydroxyindole-3-acetic acid</t>
  </si>
  <si>
    <t>C1=CC2=C(C=C1O)C(=CN2)CC(=O)O</t>
  </si>
  <si>
    <t>DUUGKQCEGZLZNO-UHFFFAOYSA-N</t>
  </si>
  <si>
    <t>Bilirubin</t>
  </si>
  <si>
    <t>CC1=C(NC(=C1CCC(=O)O)CC2=C(C(=C(N2)/C=C\3/C(=C(C(=O)N3)C)C=C)C)CCC(=O)O)/C=C\4/C(=C(C(=O)N4)C=C)C</t>
  </si>
  <si>
    <t>BPYKTIZUTYGOLE-IFADSCNNSA-N</t>
  </si>
  <si>
    <t>gamma-Aminobutyric acid</t>
  </si>
  <si>
    <t>C(CC(=O)O)CN</t>
  </si>
  <si>
    <t>BTCSSZJGUNDROE-UHFFFAOYSA-N</t>
  </si>
  <si>
    <t>Methadone</t>
  </si>
  <si>
    <t>C21H27NO</t>
  </si>
  <si>
    <t>CCC(=O)C(CC(C)N(C)C)(C1=CC=CC=C1)C2=CC=CC=C2</t>
  </si>
  <si>
    <t>USSIQXCVUWKGNF-UHFFFAOYSA-N</t>
  </si>
  <si>
    <t>Nabilone</t>
  </si>
  <si>
    <t>C24H36O3</t>
  </si>
  <si>
    <t>CCCCCCC(C)(C)C1=CC(=C2[C@@H]3CC(=O)CC[C@H]3C(OC2=C1)(C)C)O</t>
  </si>
  <si>
    <t>GECBBEABIDMGGL-RTBURBONSA-N</t>
  </si>
  <si>
    <t>(1-~13~C)Aniline</t>
  </si>
  <si>
    <t>C1=CC=[13C](C=C1)N</t>
  </si>
  <si>
    <t>PAYRUJLWNCNPSJ-PTQBSOBMSA-N</t>
  </si>
  <si>
    <t>DI(Hydroxyethyl)ether</t>
  </si>
  <si>
    <t>C4H10O3</t>
  </si>
  <si>
    <t>C(COCCO)O</t>
  </si>
  <si>
    <t>MTHSVFCYNBDYFN-UHFFFAOYSA-N</t>
  </si>
  <si>
    <t>Ethosuximide</t>
  </si>
  <si>
    <t>C7H11NO2</t>
  </si>
  <si>
    <t>CCC1(CC(=O)NC1=O)C</t>
  </si>
  <si>
    <t>HAPOVYFOVVWLRS-UHFFFAOYSA-N</t>
  </si>
  <si>
    <t>6-Aminonicotinamide</t>
  </si>
  <si>
    <t>C1=CC(=NC=C1C(=O)N)N</t>
  </si>
  <si>
    <t>ZLWYEPMDOUQDBW-UHFFFAOYSA-N</t>
  </si>
  <si>
    <t>CN(C)C(=N)N=C(N)N</t>
  </si>
  <si>
    <t>Phentolamine</t>
  </si>
  <si>
    <t>C17H19N3O</t>
  </si>
  <si>
    <t>CC1=CC=C(C=C1)N(CC2=NCCN2)C3=CC(=CC=C3)O</t>
  </si>
  <si>
    <t>MRBDMNSDAVCSSF-UHFFFAOYSA-N</t>
  </si>
  <si>
    <t>Pyrazinamide</t>
  </si>
  <si>
    <t>C5H5N3O</t>
  </si>
  <si>
    <t>C1=CN=C(C=N1)C(=O)N</t>
  </si>
  <si>
    <t>IPEHBUMCGVEMRF-UHFFFAOYSA-N</t>
  </si>
  <si>
    <t>1-Butyl-1-nitrosourea</t>
  </si>
  <si>
    <t>CCCCN(C(=O)N)N=O</t>
  </si>
  <si>
    <t>LSWOCDLIYSKTRX-UHFFFAOYSA-N</t>
  </si>
  <si>
    <t>Phenprocoumon</t>
  </si>
  <si>
    <t>C18H16O3</t>
  </si>
  <si>
    <t>CCC(C1=CC=CC=C1)C2=C(C3=CC=CC=C3OC2=O)O</t>
  </si>
  <si>
    <t>DQDAYGNAKTZFIW-UHFFFAOYSA-N</t>
  </si>
  <si>
    <t>Carbaryl</t>
  </si>
  <si>
    <t>C12H11NO2</t>
  </si>
  <si>
    <t>CNC(=O)OC1=CC=CC2=CC=CC=C21</t>
  </si>
  <si>
    <t>CVXBEEMKQHEXEN-UHFFFAOYSA-N</t>
  </si>
  <si>
    <t>Anisomycin</t>
  </si>
  <si>
    <t>C14H19NO4</t>
  </si>
  <si>
    <t>CC(=O)O[C@@H]1[C@H](CN[C@@H]1CC2=CC=C(C=C2)OC)O</t>
  </si>
  <si>
    <t>YKJYKKNCCRKFSL-RDBSUJKOSA-N</t>
  </si>
  <si>
    <t>C6H6O</t>
  </si>
  <si>
    <t>C1=CC=C(C=C1)O</t>
  </si>
  <si>
    <t>ISWSIDIOOBJBQZ-UHFFFAOYSA-N</t>
  </si>
  <si>
    <t>Arecoline</t>
  </si>
  <si>
    <t>C8H13NO2</t>
  </si>
  <si>
    <t>CN1CCC=C(C1)C(=O)OC</t>
  </si>
  <si>
    <t>HJJPJSXJAXAIPN-UHFFFAOYSA-N</t>
  </si>
  <si>
    <t>Melevodopa</t>
  </si>
  <si>
    <t>C10H13NO4</t>
  </si>
  <si>
    <t>COC(=O)[C@H](CC1=CC(=C(C=C1)O)O)N</t>
  </si>
  <si>
    <t>XBBDACCLCFWBSI-ZETCQYMHSA-N</t>
  </si>
  <si>
    <t>Budipine</t>
  </si>
  <si>
    <t>C21H27N</t>
  </si>
  <si>
    <t>CC(C)(C)N1CCC(CC1)(C2=CC=CC=C2)C3=CC=CC=C3</t>
  </si>
  <si>
    <t>QIHLUZAFSSMXHQ-UHFFFAOYSA-N</t>
  </si>
  <si>
    <t>Piribedil</t>
  </si>
  <si>
    <t>C1CN(CCN1CC2=CC3=C(C=C2)OCO3)C4=NC=CC=N4</t>
  </si>
  <si>
    <t>OQDPVLVUJFGPGQ-UHFFFAOYSA-N</t>
  </si>
  <si>
    <t>DL-Glutamic acid</t>
  </si>
  <si>
    <t>C(CC(=O)O)C(C(=O)O)N</t>
  </si>
  <si>
    <t>WHUUTDBJXJRKMK-UHFFFAOYSA-N</t>
  </si>
  <si>
    <t>C1=CC=C(C(=C1)C(=O)CC(C(=O)O)N)N</t>
  </si>
  <si>
    <t>YGPSJZOEDVAXAB-UHFFFAOYSA-N</t>
  </si>
  <si>
    <t>3-Acetylpyridine</t>
  </si>
  <si>
    <t>C7H7NO</t>
  </si>
  <si>
    <t>CC(=O)C1=CN=CC=C1</t>
  </si>
  <si>
    <t>WEGYGNROSJDEIW-UHFFFAOYSA-N</t>
  </si>
  <si>
    <t>C([C@@H](C(=O)O)N)C(=O)N</t>
  </si>
  <si>
    <t>DCXYFEDJOCDNAF-REOHCLBHSA-N</t>
  </si>
  <si>
    <t>C(=O)(N)N</t>
  </si>
  <si>
    <t>Captopril</t>
  </si>
  <si>
    <t>C9H15NO3S</t>
  </si>
  <si>
    <t>C[C@H](CS)C(=O)N1CCC[C@H]1C(=O)O</t>
  </si>
  <si>
    <t>FAKRSMQSSFJEIM-RQJHMYQMSA-N</t>
  </si>
  <si>
    <t>3-Aminobenzene-1,2-diol</t>
  </si>
  <si>
    <t>C1=CC(=C(C(=C1)O)O)N</t>
  </si>
  <si>
    <t>MGBKJKDRMRAZKC-UHFFFAOYSA-N</t>
  </si>
  <si>
    <t>Carisoprodol</t>
  </si>
  <si>
    <t>C12H24N2O4</t>
  </si>
  <si>
    <t>CCCC(C)(COC(=O)N)COC(=O)NC(C)C</t>
  </si>
  <si>
    <t>OFZCIYFFPZCNJE-UHFFFAOYSA-N</t>
  </si>
  <si>
    <t>Pentyl acetate</t>
  </si>
  <si>
    <t>C7H14O2</t>
  </si>
  <si>
    <t>CCCCCOC(=O)C</t>
  </si>
  <si>
    <t>PGMYKACGEOXYJE-UHFFFAOYSA-N</t>
  </si>
  <si>
    <t>Methyl ethyl ketone</t>
  </si>
  <si>
    <t>C4H8O</t>
  </si>
  <si>
    <t>CCC(=O)C</t>
  </si>
  <si>
    <t>ZWEHNKRNPOVVGH-UHFFFAOYSA-N</t>
  </si>
  <si>
    <t>Pimozide</t>
  </si>
  <si>
    <t>C28H29F2N3O</t>
  </si>
  <si>
    <t>C1CN(CCC1N2C3=CC=CC=C3NC2=O)CCCC(C4=CC=C(C=C4)F)C5=CC=C(C=C5)F</t>
  </si>
  <si>
    <t>YVUQSNJEYSNKRX-UHFFFAOYSA-N</t>
  </si>
  <si>
    <t>(E)-acetyloxymethylimino-methyl-oxidoazanium</t>
  </si>
  <si>
    <t>CC(=O)OC/N=[N+](\C)/[O-]</t>
  </si>
  <si>
    <t>BELPJCDYWUCHKF-AATRIKPKSA-N</t>
  </si>
  <si>
    <t>N-(Hydroxymethyl)acrylamide</t>
  </si>
  <si>
    <t>C=CC(=O)NCO</t>
  </si>
  <si>
    <t>CNCOEDDPFOAUMB-UHFFFAOYSA-N</t>
  </si>
  <si>
    <t>N-amidinoaspartic acid</t>
  </si>
  <si>
    <t>C(C(C(=O)O)N=C(N)N)C(=O)O</t>
  </si>
  <si>
    <t>VVHOUVWJCQOYGG-UHFFFAOYSA-N</t>
  </si>
  <si>
    <t>Edetic acid</t>
  </si>
  <si>
    <t>C10H16N2O8</t>
  </si>
  <si>
    <t>C(CN(CC(=O)O)CC(=O)O)N(CC(=O)O)CC(=O)O</t>
  </si>
  <si>
    <t>KCXVZYZYPLLWCC-UHFFFAOYSA-N</t>
  </si>
  <si>
    <t>1-Ethyl-1-nitrosourea</t>
  </si>
  <si>
    <t>CCN(C(=O)N)N=O</t>
  </si>
  <si>
    <t>FUSGACRLAFQQRL-UHFFFAOYSA-N</t>
  </si>
  <si>
    <t>3,3'-Iminodipropionitrile</t>
  </si>
  <si>
    <t>C6H9N3</t>
  </si>
  <si>
    <t>C(CNCCC#N)C#N</t>
  </si>
  <si>
    <t>SBAJRGRUGUQKAF-UHFFFAOYSA-N</t>
  </si>
  <si>
    <t>8-Hydroxyquinoline</t>
  </si>
  <si>
    <t>C1=CC2=C(C(=C1)O)N=CC=C2</t>
  </si>
  <si>
    <t>MCJGNVYPOGVAJF-UHFFFAOYSA-N</t>
  </si>
  <si>
    <t>beta-D-Glucosamine</t>
  </si>
  <si>
    <t>C([C@@H]1[C@H]([C@@H]([C@H]([C@@H](O1)O)N)O)O)O</t>
  </si>
  <si>
    <t>MSWZFWKMSRAUBD-QZABAPFNSA-N</t>
  </si>
  <si>
    <t>C12-AS (TENTATIVE)</t>
  </si>
  <si>
    <t>C12H26O4S</t>
  </si>
  <si>
    <t>CCCCCCCCCCCCOS(O)(=O)=O</t>
  </si>
  <si>
    <t>MOTZDAYCYVMXPC-UHFFFAOYSA-N</t>
  </si>
  <si>
    <t>N-Acetylglycine</t>
  </si>
  <si>
    <t>O=C(O)CN=C(O)C</t>
  </si>
  <si>
    <t>OKJIRPAQVSHGFK-UHFFFAOYSA-N</t>
  </si>
  <si>
    <t>Pyroglutamic acid</t>
  </si>
  <si>
    <t>O=C(O)C1N=C(O)CC1</t>
  </si>
  <si>
    <t>ODHCTXKNWHHXJC-UHFFFAOYNA-N</t>
  </si>
  <si>
    <t>O=C(O)C(N)CC=1C=CC=CC1</t>
  </si>
  <si>
    <t>OC1=NC2=C(N=CN2)C(O)=N1</t>
  </si>
  <si>
    <t>D-Gluconic acid</t>
  </si>
  <si>
    <t>OCC(O)C(O)C(O)C(O)C(O)=O</t>
  </si>
  <si>
    <t>RGHNJXZEOKUKBD-UHFFFAOYNA-N</t>
  </si>
  <si>
    <t>glycocholic acid</t>
  </si>
  <si>
    <t>O=C(O)CN=C(O)CCC(C)C1CCC2C3C(O)CC4CC(O)CCC4(C)C3CC(O)C12C</t>
  </si>
  <si>
    <t>RFDAIACWWDREDC-VKRKCYKBSA-N</t>
  </si>
  <si>
    <t>O=S(=O)(O)CCN</t>
  </si>
  <si>
    <t>Pimelic acid</t>
  </si>
  <si>
    <t>C7H12O4</t>
  </si>
  <si>
    <t>O=C(O)CCCCCC(=O)O</t>
  </si>
  <si>
    <t>WLJVNTCWHIRURA-UHFFFAOYSA-N</t>
  </si>
  <si>
    <t>Dinoseb</t>
  </si>
  <si>
    <t>C10H12N2O5</t>
  </si>
  <si>
    <t>CCC(C)C1=C(O)C(=CC(=C1)N(=O)=O)N(=O)=O</t>
  </si>
  <si>
    <t>OWZPCEFYPSAJFR-UHFFFAOYNA-N</t>
  </si>
  <si>
    <t>CN1C2=C(C(N(C)C1=O)=O)N=CN2</t>
  </si>
  <si>
    <t>1,3-Dimethylurate</t>
  </si>
  <si>
    <t>CN1C2=C(N=C(O)N2)C(=O)N(C)C1=O</t>
  </si>
  <si>
    <t>OTSBKHHWSQYEHK-UHFFFAOYSA-N</t>
  </si>
  <si>
    <t>3-(3-Hydroxyphenyl)propionic acid</t>
  </si>
  <si>
    <t>O=C(O)CCC=1C=CC=C(O)C1</t>
  </si>
  <si>
    <t>QVWAEZJXDYOKEH-UHFFFAOYSA-N</t>
  </si>
  <si>
    <t>10-Hydroxydecanoic acid</t>
  </si>
  <si>
    <t>O=C(O)CCCCCCCCCO</t>
  </si>
  <si>
    <t>YJCJVMMDTBEITC-UHFFFAOYSA-N</t>
  </si>
  <si>
    <t>3-phenyllactic acid</t>
  </si>
  <si>
    <t>O=C(O)C(O)CC=1C=CC=CC1</t>
  </si>
  <si>
    <t>VOXXWSYKYCBWHO-UHFFFAOYSA-N</t>
  </si>
  <si>
    <t>Cyclamate</t>
  </si>
  <si>
    <t>C6H13NO3S</t>
  </si>
  <si>
    <t>OS(=O)(=O)NC1CCCCC1</t>
  </si>
  <si>
    <t>HCAJEUSONLESMK-UHFFFAOYSA-N</t>
  </si>
  <si>
    <t>FA 9:0+1O; PlaSMA ID-176</t>
  </si>
  <si>
    <t>C9H18O3</t>
  </si>
  <si>
    <t>O=C(O)CC(O)CCCCCC</t>
  </si>
  <si>
    <t>XBUXARJOYUQNTC-UHFFFAOYNA-N</t>
  </si>
  <si>
    <t>(Z)-2-octylpent-2-enedioic acid</t>
  </si>
  <si>
    <t>C13H22O4</t>
  </si>
  <si>
    <t>O=C(O)C(=CCC(=O)O)CCCCCCCC</t>
  </si>
  <si>
    <t>NIXDINZDFZJZHG-LUAWRHEFSA-N</t>
  </si>
  <si>
    <t>2-Coumaric acid</t>
  </si>
  <si>
    <t>OC(=O)\C=C\C1=CC=CC=C1O</t>
  </si>
  <si>
    <t>Cholic Acid</t>
  </si>
  <si>
    <t>O=C(O)CCC(C)C1CCC2C3C(O)CC4CC(O)CCC4(C)C3CC(O)C12C</t>
  </si>
  <si>
    <t>BHQCQFFYRZLCQQ-OELDTZBJSA-N</t>
  </si>
  <si>
    <t>glycoursodeoxycholic acid</t>
  </si>
  <si>
    <t>O=C(O)CN=C(O)CCC(C)C1CCC2C3C(O)CC4CC(O)CCC4(C)C3CCC12C</t>
  </si>
  <si>
    <t>GHCZAUBVMUEKKP-WTFVBUONSA-N</t>
  </si>
  <si>
    <t>Unknown (carbon number 5); PlaSMA ID-53</t>
  </si>
  <si>
    <t>Unknown (carbon number 12); PlaSMA ID-342</t>
  </si>
  <si>
    <t>C12H22O4</t>
  </si>
  <si>
    <t>Unknown (carbon number 8); PlaSMA ID-119</t>
  </si>
  <si>
    <t>C8H14O3</t>
  </si>
  <si>
    <t>Unknown (carbon number 8); PlaSMA ID-181</t>
  </si>
  <si>
    <t>C8H16O4</t>
  </si>
  <si>
    <t>Unknown (carbon number 9); PlaSMA ID-161</t>
  </si>
  <si>
    <t>C9H16O3</t>
  </si>
  <si>
    <t>Myristic acid</t>
  </si>
  <si>
    <t>CCCCCCCCCCCCCC(O)=O</t>
  </si>
  <si>
    <t>TUNFSRHWOTWDNC-UHFFFAOYSA-N</t>
  </si>
  <si>
    <t>Pentadecanoic acid</t>
  </si>
  <si>
    <t>C15H30O2</t>
  </si>
  <si>
    <t>CCCCCCCCCCCCCCC(O)=O</t>
  </si>
  <si>
    <t>WQEPLUUGTLDZJY-UHFFFAOYSA-N</t>
  </si>
  <si>
    <t>Palmitic Acid</t>
  </si>
  <si>
    <t>O=C(O)CCCCCCCCCCCCCCC</t>
  </si>
  <si>
    <t>IPCSVZSSVZVIGE-UHFFFAOYSA-N</t>
  </si>
  <si>
    <t>C18H34O2</t>
  </si>
  <si>
    <t>CCCCCCCC\C=C/CCCCCCCC(O)=O</t>
  </si>
  <si>
    <t>ZQPPMHVWECSIRJ-KTKRTIGZSA-N</t>
  </si>
  <si>
    <t>C1=NC2=C(N1)C(=O)NC(=O)N2</t>
  </si>
  <si>
    <t>COC1=C(C=CC(=C1)C(=O)O)O</t>
  </si>
  <si>
    <t>WKOLLVMJNQIZCI-UHFFFAOYSA-N</t>
  </si>
  <si>
    <t>Indoxyl sulfate</t>
  </si>
  <si>
    <t>C1=CC=C2C(=C1)C(=CN2)OS(=O)(=O)O</t>
  </si>
  <si>
    <t>BXFFHSIDQOFMLE-UHFFFAOYSA-N</t>
  </si>
  <si>
    <t>CC(C(=O)O)O</t>
  </si>
  <si>
    <t>JVTAAEKCZFNVCJ-UHFFFAOYSA-N</t>
  </si>
  <si>
    <t>Toloxatone</t>
  </si>
  <si>
    <t>CC1=CC(=CC=C1)N2CC(OC2=O)CO</t>
  </si>
  <si>
    <t>MXUNKHLAEDCYJL-UHFFFAOYSA-N</t>
  </si>
  <si>
    <t>Bile acid</t>
  </si>
  <si>
    <t>CC(CCC(=O)O)C1CCC2C1([C@H](CC3C2[C@@H](C[C@H]4C3(CC[C@H](C4)O)C)O)O)C</t>
  </si>
  <si>
    <t>BHQCQFFYRZLCQQ-UMZBRFQRSA-N</t>
  </si>
  <si>
    <t>Nelarabine</t>
  </si>
  <si>
    <t>C11H15N5O5</t>
  </si>
  <si>
    <t>COC1=NC(=NC2=C1N=CN2[C@H]3[C@H]([C@@H]([C@H](O3)CO)O)O)N</t>
  </si>
  <si>
    <t>IXOXBSCIXZEQEQ-UHTZMRCNSA-N</t>
  </si>
  <si>
    <t>Mesalamine</t>
  </si>
  <si>
    <t>C7H7NO3</t>
  </si>
  <si>
    <t>C1=CC(=C(C=C1N)C(=O)O)O</t>
  </si>
  <si>
    <t>KBOPZPXVLCULAV-UHFFFAOYSA-N</t>
  </si>
  <si>
    <t>Benzyl Alcohol</t>
  </si>
  <si>
    <t>C1=CC=C(C=C1)CO</t>
  </si>
  <si>
    <t>WVDDGKGOMKODPV-UHFFFAOYSA-N</t>
  </si>
  <si>
    <t>C18</t>
  </si>
  <si>
    <t>Negative</t>
  </si>
  <si>
    <t>Dimethylglycine</t>
  </si>
  <si>
    <t>p-Cresol3</t>
  </si>
  <si>
    <t>Pyroglutamic acid/ Pyrrolidonecarboxylic acid1,3</t>
  </si>
  <si>
    <t>Itaconate (Itaconic acid)1,3</t>
  </si>
  <si>
    <t>Oxoglutaric acid1,2,3</t>
  </si>
  <si>
    <t>Glutamic acid2,3</t>
  </si>
  <si>
    <t>5,6-Dihydroxyindole2,3</t>
  </si>
  <si>
    <t>N1-Methyl-4-pyridone-5-carboxamide3</t>
  </si>
  <si>
    <t>Phenol sulphate3</t>
  </si>
  <si>
    <t>p-Cresol sulfate3</t>
  </si>
  <si>
    <t>Oxalosuccinate2,3</t>
  </si>
  <si>
    <t>1-Phenyl-24-pentadiyn-1-one</t>
  </si>
  <si>
    <t>Dopachrome2,3</t>
  </si>
  <si>
    <t>Dibenzyl ether</t>
  </si>
  <si>
    <t>Bethanidine</t>
  </si>
  <si>
    <t>Cysteine-S-sulfate3</t>
  </si>
  <si>
    <t>Garcinia acid</t>
  </si>
  <si>
    <t>3-O-Methyldopa1,2,3</t>
  </si>
  <si>
    <t>4-Methoxyphenylethanol sulfate</t>
  </si>
  <si>
    <t>Dopamine 3-O-sulfate2,3</t>
  </si>
  <si>
    <t>Ajoene</t>
  </si>
  <si>
    <t>135-Trichloro-(2-methylsulfonyl)benzene</t>
  </si>
  <si>
    <t>Phosphocreatine</t>
  </si>
  <si>
    <t>Glycerophosphocholine3</t>
  </si>
  <si>
    <t>Guanabenz</t>
  </si>
  <si>
    <t>Inosine2,3</t>
  </si>
  <si>
    <t>p-Cresol glucuronide3</t>
  </si>
  <si>
    <t>all-trans-Retinoic acid1,3</t>
  </si>
  <si>
    <t>N-Undecylbenzenesulfonic acid</t>
  </si>
  <si>
    <t>Chlorprothixene</t>
  </si>
  <si>
    <t>Penbutolol</t>
  </si>
  <si>
    <t>Nicotinic acid mononucleotide</t>
  </si>
  <si>
    <t>Oleoyl glycine</t>
  </si>
  <si>
    <t>Oxyphenonium</t>
  </si>
  <si>
    <t>Austalide L</t>
  </si>
  <si>
    <t>4-Phenylbutyl glucosinolate</t>
  </si>
  <si>
    <t>LPA(0:018:1(9Z)); LPA(18:1(9Z)0:0); DHAP(18:0)3</t>
  </si>
  <si>
    <t>Tirofiban</t>
  </si>
  <si>
    <t>Antibiotic GR 95647X</t>
  </si>
  <si>
    <t>Lucidenic acid M</t>
  </si>
  <si>
    <t>Carboprost Tromethamine</t>
  </si>
  <si>
    <t>Lucidenic acid J</t>
  </si>
  <si>
    <t>Daphniphylline</t>
  </si>
  <si>
    <t>Hexacosanoyl carnitine</t>
  </si>
  <si>
    <t>(23S)-2325-dihdroxy-24-oxovitamine D3 23-(beta-glucuronide)</t>
  </si>
  <si>
    <t>HILLIC</t>
  </si>
  <si>
    <t>5-Chloro-6-methoxy-2(3H)-benzoxazolone</t>
  </si>
  <si>
    <t>Neurine</t>
  </si>
  <si>
    <t>3-(Dichloromethylene)-25-pyrrolidinedione</t>
  </si>
  <si>
    <t>Glycerol alpha-monochlorohydrin</t>
  </si>
  <si>
    <t>L-Glutamate</t>
  </si>
  <si>
    <t>3-Methoxy-4-hydroxyphenylacetaldehyde</t>
  </si>
  <si>
    <t>4-Methoxytyramine</t>
  </si>
  <si>
    <t>2-(3-Phenylpropyl)pyridine</t>
  </si>
  <si>
    <t>dIDP</t>
  </si>
  <si>
    <t>LL-Cyclo(leucylprolyl)</t>
  </si>
  <si>
    <t>3-O-Methyldopa</t>
  </si>
  <si>
    <t>8-(Aminomethyl)sulfanyl-6-sulfanyloctanoic acid</t>
  </si>
  <si>
    <t>Tiglylcarnitine</t>
  </si>
  <si>
    <t>Busulfan</t>
  </si>
  <si>
    <t>Inosine triphosphate</t>
  </si>
  <si>
    <t>Melanostatin</t>
  </si>
  <si>
    <t>Asparagoside B</t>
  </si>
  <si>
    <t>LysoPC(P-16:0)</t>
  </si>
  <si>
    <t>LysoPC(16:1(9Z))</t>
  </si>
  <si>
    <t>LysoPC(16:0)</t>
  </si>
  <si>
    <t>Crustecdysone</t>
  </si>
  <si>
    <t>LysoPC(17:0); LysoPE(0:020:0); LysoPE(20:00:0)</t>
  </si>
  <si>
    <t>LysoPC(18:1(9Z)); LysoPC(18:1(11Z))</t>
  </si>
  <si>
    <t>Cer(d18:122:1(13Z))</t>
  </si>
  <si>
    <r>
      <t xml:space="preserve">Monohexylceramides (Glucosylceramides and Galactosylceramides) </t>
    </r>
    <r>
      <rPr>
        <rFont val="revert"/>
        <b/>
        <color rgb="FF1155CC"/>
        <sz val="13.0"/>
        <u/>
      </rPr>
      <t>*</t>
    </r>
  </si>
  <si>
    <t>No.</t>
  </si>
  <si>
    <t>Control (n = 10)</t>
  </si>
  <si>
    <t>PD (n = 11)</t>
  </si>
  <si>
    <t>APDs (n = 8)</t>
  </si>
  <si>
    <t>Mean</t>
  </si>
  <si>
    <t>SD</t>
  </si>
  <si>
    <t>Median</t>
  </si>
  <si>
    <t>C18:2</t>
  </si>
  <si>
    <t>Putrescine</t>
  </si>
  <si>
    <t>Spermidine</t>
  </si>
  <si>
    <t>t4-OH-Proline</t>
  </si>
  <si>
    <t>Total DMA</t>
  </si>
  <si>
    <t>lysoPC a C26:0</t>
  </si>
  <si>
    <t>lysoPC a C28:0</t>
  </si>
  <si>
    <t>lysoPC a C28:1</t>
  </si>
  <si>
    <t>PC aa C34:4</t>
  </si>
  <si>
    <t>PC aa C38:1</t>
  </si>
  <si>
    <t>PC ae C36:4</t>
  </si>
  <si>
    <t>PC ae C38:4</t>
  </si>
  <si>
    <t>PC ae C38:5</t>
  </si>
  <si>
    <t>PC ae C40:1</t>
  </si>
  <si>
    <t>PC ae C42:1</t>
  </si>
  <si>
    <t>PC ae C42:4</t>
  </si>
  <si>
    <t>Information table of differential metabolites in PD group.</t>
  </si>
  <si>
    <t>Differential metabolite name</t>
  </si>
  <si>
    <t>Super class</t>
  </si>
  <si>
    <t>Up/down</t>
  </si>
  <si>
    <t>p-Aminobenzoic acid</t>
  </si>
  <si>
    <t>Benzenoids</t>
  </si>
  <si>
    <t>Up</t>
  </si>
  <si>
    <t>Cinnamyl phenylacetate</t>
  </si>
  <si>
    <t>Vignatic acid B</t>
  </si>
  <si>
    <t>Organic acids and derivatives</t>
  </si>
  <si>
    <t>2-Dodecylbenzenesulfonic acid</t>
  </si>
  <si>
    <t>Armillarivin</t>
  </si>
  <si>
    <t>Lipids and lipid-like molecules</t>
  </si>
  <si>
    <t>Nummularine B</t>
  </si>
  <si>
    <t>Ganoderic acid L</t>
  </si>
  <si>
    <t>5-Nonyltetrahydro-2-oxo-3-furancarboxylic acid</t>
  </si>
  <si>
    <t>Organoheterocyclic compounds</t>
  </si>
  <si>
    <t>Allopurinol-1-ribonucleoside</t>
  </si>
  <si>
    <t>Nucleosides, nucleotides and analogues</t>
  </si>
  <si>
    <t>Salfredin B11</t>
  </si>
  <si>
    <t>Lithocholate 3-O-glucuronide</t>
  </si>
  <si>
    <t>N-Oleoylethanolamine</t>
  </si>
  <si>
    <t>Organic nitrogen compounds</t>
  </si>
  <si>
    <t>trans-Ferulic acid</t>
  </si>
  <si>
    <t>Phenylpropanoids and polyketides</t>
  </si>
  <si>
    <t>Piceatannol 4’-galloylglucoside</t>
  </si>
  <si>
    <t>3-Methoxytyrosine</t>
  </si>
  <si>
    <t>DGTS(4:0/22:6)</t>
  </si>
  <si>
    <t>Down</t>
  </si>
  <si>
    <t>TAG(14:3/14:3/14:3)</t>
  </si>
  <si>
    <t>Cholesterol glucuronide</t>
  </si>
  <si>
    <t>Crassostrea Secocarotenoid</t>
  </si>
  <si>
    <t>TAG(12:3/20:6/20:6)</t>
  </si>
  <si>
    <t>Plastoquinone 3</t>
  </si>
  <si>
    <t>PS(20:5(5Z,8Z,11Z,14Z,17Z)/20:0)</t>
  </si>
  <si>
    <t>PA(14:1(9Z)/18:4(6Z,9Z,12Z,15Z))</t>
  </si>
  <si>
    <t>Ginsenoside F2</t>
  </si>
  <si>
    <t>Saringosterol 3-glucoside</t>
  </si>
  <si>
    <t>PI(16:1(9Z)/16:1(9Z))</t>
  </si>
  <si>
    <t>PS(20:2(11Z,14Z)/22:6(4Z,7Z,10Z,13Z,16Z,19Z))</t>
  </si>
  <si>
    <t>5-Butyl-2-ethyloxazole</t>
  </si>
  <si>
    <t>3’-(2’“,3”‘-Digalloylglucosyl)-phloroacetophenone</t>
  </si>
  <si>
    <t>1-hexadecyl-glycero-3-phosphate</t>
  </si>
  <si>
    <t>Acetyl-L-carnitine</t>
  </si>
  <si>
    <t>C9H17NO4</t>
  </si>
  <si>
    <t>HMDB0000201</t>
  </si>
  <si>
    <t>HMDB0000157</t>
  </si>
  <si>
    <t>HMDB0000929</t>
  </si>
  <si>
    <t>Dibutyl phthalate</t>
  </si>
  <si>
    <t>HMDB0033244</t>
  </si>
  <si>
    <t>Lenticin</t>
  </si>
  <si>
    <t>HMDB0061115</t>
  </si>
  <si>
    <t>HMDB0000641</t>
  </si>
  <si>
    <t>Indoleacetic acid</t>
  </si>
  <si>
    <t>HMDB0000197</t>
  </si>
  <si>
    <t>Glycocholic acid</t>
  </si>
  <si>
    <t>HMDB0000138</t>
  </si>
  <si>
    <t>Paraxanthine</t>
  </si>
  <si>
    <t>HMDB0001860</t>
  </si>
  <si>
    <t>HMDB0000883</t>
  </si>
  <si>
    <t>Thyroxine</t>
  </si>
  <si>
    <t>C15H11I4NO4</t>
  </si>
  <si>
    <t>HMDB0000248</t>
  </si>
  <si>
    <t>HMDB0000177</t>
  </si>
  <si>
    <t>HMDB0000158</t>
  </si>
  <si>
    <t>DL-Methionine</t>
  </si>
  <si>
    <t>HMDB0033951</t>
  </si>
  <si>
    <t>LPE(16:0/0:0)</t>
  </si>
  <si>
    <t>HMDB0011503</t>
  </si>
  <si>
    <t>HMDB0000064</t>
  </si>
  <si>
    <t>Octadecanamide</t>
  </si>
  <si>
    <t>C18H37NO</t>
  </si>
  <si>
    <t>HMDB0034146</t>
  </si>
  <si>
    <t>HMDB0002641</t>
  </si>
  <si>
    <t>Isophorone</t>
  </si>
  <si>
    <t>C9H14O</t>
  </si>
  <si>
    <t>HMDB0031195</t>
  </si>
  <si>
    <t>HMDB0000195</t>
  </si>
  <si>
    <t>Carnitine isoC4:0</t>
  </si>
  <si>
    <t>HMDB0000736</t>
  </si>
  <si>
    <t>Proline betaine</t>
  </si>
  <si>
    <t>HMDB0004827</t>
  </si>
  <si>
    <t>N2,N2-Dimethylguanosine</t>
  </si>
  <si>
    <t>C12H17N5O5</t>
  </si>
  <si>
    <t>-</t>
  </si>
  <si>
    <t>Hippuric acid</t>
  </si>
  <si>
    <t>HMDB0000714</t>
  </si>
  <si>
    <t>N6-Succinyl Adenosine</t>
  </si>
  <si>
    <t>C14H17N5O8</t>
  </si>
  <si>
    <t>HMDB0000912</t>
  </si>
  <si>
    <t>N,N-Bis(2-hydroxyethyl)dodecanamide</t>
  </si>
  <si>
    <t>C16H33NO3</t>
  </si>
  <si>
    <t>HMDB0032358</t>
  </si>
  <si>
    <t>Indole-3-propionic acid</t>
  </si>
  <si>
    <t>HMDB0002302</t>
  </si>
  <si>
    <t>Cholic acid</t>
  </si>
  <si>
    <t>HMDB0000619</t>
  </si>
  <si>
    <t>LPC(16:0/0:0)</t>
  </si>
  <si>
    <t>HMDB0010382</t>
  </si>
  <si>
    <t>2-(2-Benzothiazolylthio)ethanol</t>
  </si>
  <si>
    <t>C9H9NOS2</t>
  </si>
  <si>
    <t>HMDB0002802</t>
  </si>
  <si>
    <t>Glycochenodeoxycholic acid</t>
  </si>
  <si>
    <t>HMDB0000637</t>
  </si>
  <si>
    <t>Palmitic amide</t>
  </si>
  <si>
    <t>C16H33NO</t>
  </si>
  <si>
    <t>HMDB0012273</t>
  </si>
  <si>
    <t>5-Methoxyindoleacetate</t>
  </si>
  <si>
    <t>HMDB0004096</t>
  </si>
  <si>
    <t>1-Methyl-6-oxo-1,6-dihydropyridine-3-carboxamide</t>
  </si>
  <si>
    <t>HMDB0004193</t>
  </si>
  <si>
    <t>2-Amino-1-phenylethanol</t>
  </si>
  <si>
    <t>HMDB0001065</t>
  </si>
  <si>
    <t>HMDB0000063</t>
  </si>
  <si>
    <t>HMDB0000562</t>
  </si>
  <si>
    <t>4-Pyridoxic acid</t>
  </si>
  <si>
    <t>HMDB0000017</t>
  </si>
  <si>
    <t>HMDB0001008</t>
  </si>
  <si>
    <t>Niacinamide</t>
  </si>
  <si>
    <t>HMDB0001406</t>
  </si>
  <si>
    <t>7-Methylguanine</t>
  </si>
  <si>
    <t>HMDB0000897</t>
  </si>
  <si>
    <t>Maltose</t>
  </si>
  <si>
    <t>HMDB0000163</t>
  </si>
  <si>
    <t>LPC(18:0/0:0)</t>
  </si>
  <si>
    <t>C26H54NO7P</t>
  </si>
  <si>
    <t>HMDB0010384</t>
  </si>
  <si>
    <t>LPE(18:1/0:0)</t>
  </si>
  <si>
    <t>HMDB0011506</t>
  </si>
  <si>
    <t>HMDB0001895</t>
  </si>
  <si>
    <t>Aminocaproic acid</t>
  </si>
  <si>
    <t>HMDB0001901</t>
  </si>
  <si>
    <t>HMDB0006344</t>
  </si>
  <si>
    <t>Lumichrome</t>
  </si>
  <si>
    <t>C12H10N4O2</t>
  </si>
  <si>
    <t>Glu-Leu</t>
  </si>
  <si>
    <t>HMDB0028823</t>
  </si>
  <si>
    <t>HMDB0000097</t>
  </si>
  <si>
    <t>Diethanolamine</t>
  </si>
  <si>
    <t>C4H11NO2</t>
  </si>
  <si>
    <t>HMDB0004437</t>
  </si>
  <si>
    <t>C18H20N2O3</t>
  </si>
  <si>
    <t>HMDB0013302</t>
  </si>
  <si>
    <t>Indole</t>
  </si>
  <si>
    <t>C8H7N</t>
  </si>
  <si>
    <t>HMDB0000738</t>
  </si>
  <si>
    <t>Taurocholic acid</t>
  </si>
  <si>
    <t>HMDB0000036</t>
  </si>
  <si>
    <t>Pantetheine</t>
  </si>
  <si>
    <t>C11H22N2O4S</t>
  </si>
  <si>
    <t>HMDB0003426</t>
  </si>
  <si>
    <t>Oxindole</t>
  </si>
  <si>
    <t>HMDB0061918</t>
  </si>
  <si>
    <t>Glu-Phe</t>
  </si>
  <si>
    <t>C14H18N2O5</t>
  </si>
  <si>
    <t>HMDB0029156</t>
  </si>
  <si>
    <t>Methyl cinnamate</t>
  </si>
  <si>
    <t>C10H10O2</t>
  </si>
  <si>
    <t>HMDB0033833</t>
  </si>
  <si>
    <t>3'-Adenylic acid</t>
  </si>
  <si>
    <t>C10H14N5O7P</t>
  </si>
  <si>
    <t>HMDB0003540</t>
  </si>
  <si>
    <t>O-acetyl-L-serine</t>
  </si>
  <si>
    <t>HMDB0003011</t>
  </si>
  <si>
    <t>HMDB0000289</t>
  </si>
  <si>
    <t>Hydroxycotinine</t>
  </si>
  <si>
    <t>C10H12N2O2</t>
  </si>
  <si>
    <t>HMDB0001390</t>
  </si>
  <si>
    <t>Monobutyl phthalate</t>
  </si>
  <si>
    <t>HMDB0013247</t>
  </si>
  <si>
    <t>13-Docosenamide</t>
  </si>
  <si>
    <t>HMDB0244507</t>
  </si>
  <si>
    <t>HMDB0000294</t>
  </si>
  <si>
    <t>Progesterone</t>
  </si>
  <si>
    <t>C21H30O2</t>
  </si>
  <si>
    <t>HMDB0001830</t>
  </si>
  <si>
    <t>2,3-Dihydrobenzofuran</t>
  </si>
  <si>
    <t>HMDB0013815</t>
  </si>
  <si>
    <t>Sphinganine</t>
  </si>
  <si>
    <t>HMDB0000269</t>
  </si>
  <si>
    <t>Kynurenic acid</t>
  </si>
  <si>
    <t>HMDB0000715</t>
  </si>
  <si>
    <t>Dopamine</t>
  </si>
  <si>
    <t>C8H11NO2</t>
  </si>
  <si>
    <t>HMDB0000073</t>
  </si>
  <si>
    <t>4-Hydroxycinnamic acid</t>
  </si>
  <si>
    <t>HMDB0002035</t>
  </si>
  <si>
    <t>3-Hydroxyvalproic acid</t>
  </si>
  <si>
    <t>HMDB0013899</t>
  </si>
  <si>
    <t>Propylparaben</t>
  </si>
  <si>
    <t>HMDB0032574</t>
  </si>
  <si>
    <t>Lithocholic acid</t>
  </si>
  <si>
    <t>HMDB0000761</t>
  </si>
  <si>
    <t>HMDB0000167</t>
  </si>
  <si>
    <t>4-Hydroxyhippuric acid</t>
  </si>
  <si>
    <t>HMDB0013678</t>
  </si>
  <si>
    <t>Hexaethylene glycol</t>
  </si>
  <si>
    <t>C12H26O7</t>
  </si>
  <si>
    <t>HMDB0061822</t>
  </si>
  <si>
    <t>HMDB0005785</t>
  </si>
  <si>
    <t>Cysteic acid</t>
  </si>
  <si>
    <t>HMDB0002757</t>
  </si>
  <si>
    <t>LPE(18:0/0:0)</t>
  </si>
  <si>
    <t>HMDB0011130</t>
  </si>
  <si>
    <t>1,3-DIAMINOPROPANE</t>
  </si>
  <si>
    <t>C3H10N2</t>
  </si>
  <si>
    <t>FFA(18:1)</t>
  </si>
  <si>
    <t>HMDB0000207</t>
  </si>
  <si>
    <t>Galactaric acid</t>
  </si>
  <si>
    <t>C6H10O8</t>
  </si>
  <si>
    <t>HMDB0000639</t>
  </si>
  <si>
    <t>HILLIC-alternating</t>
  </si>
  <si>
    <t>C5H12O5</t>
  </si>
  <si>
    <t>C12H20O5</t>
  </si>
  <si>
    <t>C6H6O2</t>
  </si>
  <si>
    <t>D-(-)-Fructose</t>
  </si>
  <si>
    <t>HMDB0000660</t>
  </si>
  <si>
    <t>D-(-)-Mannitol</t>
  </si>
  <si>
    <t>HMDB0000765</t>
  </si>
  <si>
    <t>3-Indoxyl sulphate</t>
  </si>
  <si>
    <t>HMDB0000682</t>
  </si>
  <si>
    <t>Adrenic acid</t>
  </si>
  <si>
    <t>HMDB0002226</t>
  </si>
  <si>
    <t>HMDB0001043</t>
  </si>
  <si>
    <t>Deoxycholic acid</t>
  </si>
  <si>
    <t>HMDB0000626</t>
  </si>
  <si>
    <t>N-Phenylacetylglutamine</t>
  </si>
  <si>
    <t>Oleic Acid</t>
  </si>
  <si>
    <t>Elaidic acid</t>
  </si>
  <si>
    <t>HMDB0000573</t>
  </si>
  <si>
    <t>D-Mannitol</t>
  </si>
  <si>
    <t>LPC 18:1</t>
  </si>
  <si>
    <t>HMDB0002815</t>
  </si>
  <si>
    <t>Phloretin</t>
  </si>
  <si>
    <t>HMDB0003306</t>
  </si>
  <si>
    <t>4-Methyl-2-Oxopentanoic Acid</t>
  </si>
  <si>
    <t>HMDB0000695</t>
  </si>
  <si>
    <t>HMDB0000220</t>
  </si>
  <si>
    <t>Testosterone sulfate</t>
  </si>
  <si>
    <t>HMDB0002833</t>
  </si>
  <si>
    <t>HMDB0000011</t>
  </si>
  <si>
    <t>2-Hydroxy-3-methylbutanoic acid</t>
  </si>
  <si>
    <t>HMDB0000407</t>
  </si>
  <si>
    <t>Chenodeoxycholic Acid</t>
  </si>
  <si>
    <t>HMDB0000518</t>
  </si>
  <si>
    <t>GW501516</t>
  </si>
  <si>
    <t>HMDB0246147</t>
  </si>
  <si>
    <t>HMDB0006294</t>
  </si>
  <si>
    <t>beta-Nicotinamide adenine dinucleotide phosphate</t>
  </si>
  <si>
    <t>HMDB0304435</t>
  </si>
  <si>
    <t>Dodecanedioic acid</t>
  </si>
  <si>
    <t>HMDB0000623</t>
  </si>
  <si>
    <t>4-Oxoproline</t>
  </si>
  <si>
    <t>HMDB0304793</t>
  </si>
  <si>
    <t>Cyclamic acid</t>
  </si>
  <si>
    <t>HMDB0031340</t>
  </si>
  <si>
    <t>Indole-3-acetaldehyde</t>
  </si>
  <si>
    <t>HMDB0001190</t>
  </si>
  <si>
    <t>o-Toluic Acid</t>
  </si>
  <si>
    <t>HMDB0002340</t>
  </si>
  <si>
    <t>alpha-Ketoglutaric acid</t>
  </si>
  <si>
    <t>HMDB0000208</t>
  </si>
  <si>
    <t>3-Methyl-2-oxobutanoic acid</t>
  </si>
  <si>
    <t>HMDB0030027</t>
  </si>
  <si>
    <t>Thromboxane B2</t>
  </si>
  <si>
    <t>HMDB0003252</t>
  </si>
  <si>
    <t>HMDB0244272</t>
  </si>
  <si>
    <t>5Î±-Dihydrotestosterone glucuronide</t>
  </si>
  <si>
    <t>HMDB0006203</t>
  </si>
  <si>
    <t>Linoleic Acid</t>
  </si>
  <si>
    <t>HMDB0000673</t>
  </si>
  <si>
    <t>3-Phenyllactic acid</t>
  </si>
  <si>
    <t>HMDB0000779</t>
  </si>
  <si>
    <t>D-Ribose</t>
  </si>
  <si>
    <t>HMDB0000283</t>
  </si>
  <si>
    <t>Levocetirizine</t>
  </si>
  <si>
    <t>HMDB0240226</t>
  </si>
  <si>
    <t>Lignoceric Acid</t>
  </si>
  <si>
    <t>HMDB0002003</t>
  </si>
  <si>
    <t>Hydroquinone</t>
  </si>
  <si>
    <t>HMDB0002434</t>
  </si>
  <si>
    <t>Pseudouridine</t>
  </si>
  <si>
    <t>HMDB0000767</t>
  </si>
  <si>
    <t>D-Threose</t>
  </si>
  <si>
    <t>HMDB0250746</t>
  </si>
  <si>
    <t>Valproic acid</t>
  </si>
  <si>
    <t>HMDB0001877</t>
  </si>
  <si>
    <t>HMDB0000904</t>
  </si>
  <si>
    <t>Docosanoic Acid</t>
  </si>
  <si>
    <t>HMDB0304269</t>
  </si>
  <si>
    <t>trans-10-Heptadecenoic Acid</t>
  </si>
  <si>
    <t>HMDB0244268</t>
  </si>
  <si>
    <t>Ethylmalonate</t>
  </si>
  <si>
    <t>HMDB0000622</t>
  </si>
  <si>
    <t>Arachidic Acid</t>
  </si>
  <si>
    <t>HMDB0002212</t>
  </si>
  <si>
    <t>L-Ascorbate</t>
  </si>
  <si>
    <t>HMDB0000044</t>
  </si>
  <si>
    <t>Asaraldehyde</t>
  </si>
  <si>
    <t>HMDB0029648</t>
  </si>
  <si>
    <t>Bicyclo Prostaglandin E2</t>
  </si>
  <si>
    <t>HMDB0249187</t>
  </si>
  <si>
    <t>2-Methylbutyric acid</t>
  </si>
  <si>
    <t>HMDB0002176</t>
  </si>
  <si>
    <t>2-Hydroxybutyric acid</t>
  </si>
  <si>
    <t>HMDB0000008</t>
  </si>
  <si>
    <t>trans-2-Butene-1,4-dicarboxylic Acid</t>
  </si>
  <si>
    <t>HMDB0000393</t>
  </si>
  <si>
    <t>(2R)-2,3-Dihydroxypropanoic acid</t>
  </si>
  <si>
    <t>HMDB0000148</t>
  </si>
  <si>
    <t>Capric acid</t>
  </si>
  <si>
    <t>HMDB0000511</t>
  </si>
  <si>
    <t>Galacturonic acid</t>
  </si>
  <si>
    <t>HMDB0002545</t>
  </si>
  <si>
    <t>HMDB0255303</t>
  </si>
  <si>
    <t>(S)-Leucic acid</t>
  </si>
  <si>
    <t>HMDB0000746</t>
  </si>
  <si>
    <t>HMDB0250712</t>
  </si>
  <si>
    <t>Myristic Acid</t>
  </si>
  <si>
    <t>HMDB0000806</t>
  </si>
  <si>
    <t>4-Methylphenol</t>
  </si>
  <si>
    <t>HMDB0001858</t>
  </si>
  <si>
    <t>15(S)-HpETE</t>
  </si>
  <si>
    <t>HMDB0004244</t>
  </si>
  <si>
    <t>Docosatrienoic Acid</t>
  </si>
  <si>
    <t>HMDB0002823</t>
  </si>
  <si>
    <t>Estrone sulfate</t>
  </si>
  <si>
    <t>HMDB0001425</t>
  </si>
  <si>
    <t>HMDB0000072</t>
  </si>
  <si>
    <t>2,4-Dihydroxybenzoic acid</t>
  </si>
  <si>
    <t>HMDB0029666</t>
  </si>
  <si>
    <t>Jasmonic acid</t>
  </si>
  <si>
    <t>HMDB0032797</t>
  </si>
  <si>
    <t>Deoxyribose 5-Phosphate</t>
  </si>
  <si>
    <t>HMDB0001031</t>
  </si>
  <si>
    <t>2-Hydroxymyristic acid</t>
  </si>
  <si>
    <t>HMDB0002261</t>
  </si>
  <si>
    <t>Phenylpyruvic acid</t>
  </si>
  <si>
    <t>HMDB0000205</t>
  </si>
  <si>
    <t>trans-Cinnamic acid</t>
  </si>
  <si>
    <t>HMDB0000930</t>
  </si>
  <si>
    <t>Prostaglandin B2</t>
  </si>
  <si>
    <t>HMDB0004236</t>
  </si>
  <si>
    <t>Vitamin B2</t>
  </si>
  <si>
    <t>HMDB0000244</t>
  </si>
  <si>
    <t>Ouabain</t>
  </si>
  <si>
    <t>HMDB0015224</t>
  </si>
  <si>
    <t>2,3-Dinor-TXB2</t>
  </si>
  <si>
    <t>HMDB0002904</t>
  </si>
  <si>
    <t>13Z,16Z-Docosadienoic Acid</t>
  </si>
  <si>
    <t>HMDB0061714</t>
  </si>
  <si>
    <t>3-Hydroxysebacic acid</t>
  </si>
  <si>
    <t>HMDB0000350</t>
  </si>
  <si>
    <t>(3-Methoxy-4-hydroxyphenyl)ethylene glycol sulfate</t>
  </si>
  <si>
    <t>HMDB0000559</t>
  </si>
  <si>
    <t>2-(Formylamino)Benzoic Acid</t>
  </si>
  <si>
    <t>HMDB0004089</t>
  </si>
  <si>
    <t>Estriol</t>
  </si>
  <si>
    <t>HMDB0000153</t>
  </si>
  <si>
    <t>2-(3,4-dimethoxyphenyl)ethanamine</t>
  </si>
  <si>
    <t>HMDB0041806</t>
  </si>
  <si>
    <t>Orotidine</t>
  </si>
  <si>
    <t>HMDB0000788</t>
  </si>
  <si>
    <t>Prostaglandin E2</t>
  </si>
  <si>
    <t>HMDB0001220</t>
  </si>
  <si>
    <t>3-Indoleacrylic acid</t>
  </si>
  <si>
    <t>HMDB0000734</t>
  </si>
  <si>
    <t>Ochratoxin A</t>
  </si>
  <si>
    <t>HMDB0029399</t>
  </si>
  <si>
    <t>Lauric Acid</t>
  </si>
  <si>
    <t>HMDB0303348</t>
  </si>
  <si>
    <t>Cytidine 5'-Monophosphate-N-Acetylneuraminic Acid</t>
  </si>
  <si>
    <t>HMDB0001176</t>
  </si>
  <si>
    <t>Folic acid</t>
  </si>
  <si>
    <t>HMDB0000121</t>
  </si>
  <si>
    <t>HMDB0240773</t>
  </si>
  <si>
    <t>Cyclohexaneacetic acid</t>
  </si>
  <si>
    <t>HMDB0031403</t>
  </si>
  <si>
    <t>UDP-galactose</t>
  </si>
  <si>
    <t>HMDB0012305</t>
  </si>
  <si>
    <t>HMDB0000792</t>
  </si>
  <si>
    <t>N4-Acetylcytidine</t>
  </si>
  <si>
    <t>HMDB0005923</t>
  </si>
  <si>
    <t>20-Carboxy-Leukotriene B4</t>
  </si>
  <si>
    <t>HMDB0006059</t>
  </si>
  <si>
    <t>Punicic Acid</t>
  </si>
  <si>
    <t>HMDB0030963</t>
  </si>
  <si>
    <t>Propionyl-L-carnitine</t>
  </si>
  <si>
    <t>HMDB0000824</t>
  </si>
  <si>
    <t>6-Keto-prostaglandin f1alpha</t>
  </si>
  <si>
    <t>HMDB0002886</t>
  </si>
  <si>
    <t>Citicoline</t>
  </si>
  <si>
    <t>HMDB0001413</t>
  </si>
  <si>
    <t>N-Acetyl-L-tyrosine</t>
  </si>
  <si>
    <t>HMDB0000866</t>
  </si>
  <si>
    <t>Prostaglandin G2</t>
  </si>
  <si>
    <t>HMDB0003235</t>
  </si>
  <si>
    <t>Gamma-Glu-Leu</t>
  </si>
  <si>
    <t>HMDB0011171</t>
  </si>
  <si>
    <t>Gly-Phe</t>
  </si>
  <si>
    <t>HMDB0028848</t>
  </si>
  <si>
    <t>HMDB0000094</t>
  </si>
  <si>
    <t>HMDB0000466</t>
  </si>
  <si>
    <t>Tetradecanedioic acid</t>
  </si>
  <si>
    <t>HMDB0000872</t>
  </si>
  <si>
    <t>5-Phenylvaleric Acid</t>
  </si>
  <si>
    <t>HMDB0002043</t>
  </si>
  <si>
    <t>HMDB0000054</t>
  </si>
  <si>
    <t>HMDB0000251</t>
  </si>
  <si>
    <t>N-Oleoyl Glycine</t>
  </si>
  <si>
    <t>HMDB0241916</t>
  </si>
  <si>
    <t>HMDB0303730</t>
  </si>
  <si>
    <t>HMDB0000827</t>
  </si>
  <si>
    <t>Palmitoleic Acid</t>
  </si>
  <si>
    <t>HMDB0003229</t>
  </si>
  <si>
    <t>Asp-Phe</t>
  </si>
  <si>
    <t>HMDB0000706</t>
  </si>
  <si>
    <t>L-Ornithine</t>
  </si>
  <si>
    <t>HMDB0000214</t>
  </si>
  <si>
    <t>1-Palmitoyl-Sn-Glycero-3-Phosphocholine</t>
  </si>
  <si>
    <t>Homovanillic acid</t>
  </si>
  <si>
    <t>HMDB0000118</t>
  </si>
  <si>
    <t>Methyltestosterone</t>
  </si>
  <si>
    <t>HMDB0015655</t>
  </si>
  <si>
    <t>1,3-Dimethyluric acid</t>
  </si>
  <si>
    <t>HMDB0001857</t>
  </si>
  <si>
    <t>Factor1:CASE</t>
  </si>
  <si>
    <t>AREA</t>
  </si>
  <si>
    <r>
      <rPr>
        <rFont val="arial, Verdana, Helvetica, sans-serif"/>
        <color rgb="FF1155CC"/>
        <sz val="9.0"/>
        <u/>
      </rPr>
      <t>2-Aminobutanoic acid</t>
    </r>
  </si>
  <si>
    <r>
      <rPr>
        <rFont val="arial, Verdana, Helvetica, sans-serif"/>
        <color rgb="FF1155CC"/>
        <sz val="9.0"/>
        <u/>
      </rPr>
      <t>2-Hydroxy-3-methylbutyric acid</t>
    </r>
  </si>
  <si>
    <r>
      <rPr>
        <rFont val="arial, Verdana, Helvetica, sans-serif"/>
        <color rgb="FF1155CC"/>
        <sz val="9.0"/>
        <u/>
      </rPr>
      <t>2-hydroxybutyric acid</t>
    </r>
  </si>
  <si>
    <r>
      <rPr>
        <rFont val="arial, Verdana, Helvetica, sans-serif"/>
        <color rgb="FF1155CC"/>
        <sz val="9.0"/>
        <u/>
      </rPr>
      <t>2-ketoisocaproic acid</t>
    </r>
  </si>
  <si>
    <r>
      <rPr>
        <rFont val="arial, Verdana, Helvetica, sans-serif"/>
        <color rgb="FF1155CC"/>
        <sz val="9.0"/>
        <u/>
      </rPr>
      <t>3-Hydroxybutyric acid</t>
    </r>
  </si>
  <si>
    <r>
      <rPr>
        <rFont val="arial, Verdana, Helvetica, sans-serif"/>
        <color rgb="FF1155CC"/>
        <sz val="9.0"/>
        <u/>
      </rPr>
      <t>3-methyl-2-oxobutanoic acid</t>
    </r>
  </si>
  <si>
    <r>
      <rPr>
        <rFont val="arial, Verdana, Helvetica, sans-serif"/>
        <color rgb="FF1155CC"/>
        <sz val="9.0"/>
        <u/>
      </rPr>
      <t>4-Aminobutanoic acid</t>
    </r>
  </si>
  <si>
    <r>
      <rPr>
        <rFont val="arial, Verdana, Helvetica, sans-serif"/>
        <color rgb="FF1155CC"/>
        <sz val="9.0"/>
        <u/>
      </rPr>
      <t>Acetoacetate</t>
    </r>
  </si>
  <si>
    <r>
      <rPr>
        <rFont val="arial, Verdana, Helvetica, sans-serif"/>
        <color rgb="FF1155CC"/>
        <sz val="9.0"/>
        <u/>
      </rPr>
      <t>Alanine</t>
    </r>
  </si>
  <si>
    <r>
      <rPr>
        <rFont val="arial, Verdana, Helvetica, sans-serif"/>
        <color rgb="FF1155CC"/>
        <sz val="9.0"/>
        <u/>
      </rPr>
      <t>alpha tocophereol</t>
    </r>
  </si>
  <si>
    <r>
      <rPr>
        <rFont val="arial, Verdana, Helvetica, sans-serif"/>
        <color rgb="FF1155CC"/>
        <sz val="9.0"/>
        <u/>
      </rPr>
      <t>Arachidonic acid</t>
    </r>
  </si>
  <si>
    <r>
      <rPr>
        <rFont val="arial, Verdana, Helvetica, sans-serif"/>
        <color rgb="FF1155CC"/>
        <sz val="9.0"/>
        <u/>
      </rPr>
      <t>Asparagine</t>
    </r>
  </si>
  <si>
    <r>
      <rPr>
        <rFont val="arial, Verdana, Helvetica, sans-serif"/>
        <color rgb="FF1155CC"/>
        <sz val="9.0"/>
        <u/>
      </rPr>
      <t>Beta-alanine</t>
    </r>
  </si>
  <si>
    <r>
      <rPr>
        <rFont val="arial, Verdana, Helvetica, sans-serif"/>
        <color rgb="FF1155CC"/>
        <sz val="9.0"/>
        <u/>
      </rPr>
      <t>Cholesterol</t>
    </r>
  </si>
  <si>
    <r>
      <rPr>
        <rFont val="arial, Verdana, Helvetica, sans-serif"/>
        <color rgb="FF1155CC"/>
        <sz val="9.0"/>
        <u/>
      </rPr>
      <t>Citramalic acid</t>
    </r>
  </si>
  <si>
    <r>
      <rPr>
        <rFont val="arial, Verdana, Helvetica, sans-serif"/>
        <color rgb="FF1155CC"/>
        <sz val="9.0"/>
        <u/>
      </rPr>
      <t>Creatinine</t>
    </r>
  </si>
  <si>
    <r>
      <rPr>
        <rFont val="arial, Verdana, Helvetica, sans-serif"/>
        <color rgb="FF1155CC"/>
        <sz val="9.0"/>
        <u/>
      </rPr>
      <t>Fructose</t>
    </r>
  </si>
  <si>
    <r>
      <rPr>
        <rFont val="arial, Verdana, Helvetica, sans-serif"/>
        <color rgb="FF1155CC"/>
        <sz val="9.0"/>
        <u/>
      </rPr>
      <t>Glutamic acid</t>
    </r>
  </si>
  <si>
    <r>
      <rPr>
        <rFont val="arial, Verdana, Helvetica, sans-serif"/>
        <color rgb="FF1155CC"/>
        <sz val="9.0"/>
        <u/>
      </rPr>
      <t>Glutamine</t>
    </r>
  </si>
  <si>
    <r>
      <rPr>
        <rFont val="arial, Verdana, Helvetica, sans-serif"/>
        <color rgb="FF1155CC"/>
        <sz val="9.0"/>
        <u/>
      </rPr>
      <t>Glycerol</t>
    </r>
  </si>
  <si>
    <r>
      <rPr>
        <rFont val="arial, Verdana, Helvetica, sans-serif"/>
        <color rgb="FF1155CC"/>
        <sz val="9.0"/>
        <u/>
      </rPr>
      <t>Glycine</t>
    </r>
  </si>
  <si>
    <r>
      <rPr>
        <rFont val="arial, Verdana, Helvetica, sans-serif"/>
        <color rgb="FF1155CC"/>
        <sz val="9.0"/>
        <u/>
      </rPr>
      <t>Histidine</t>
    </r>
  </si>
  <si>
    <r>
      <rPr>
        <rFont val="arial, Verdana, Helvetica, sans-serif"/>
        <color rgb="FF1155CC"/>
        <sz val="9.0"/>
        <u/>
      </rPr>
      <t>Hypoxanthine</t>
    </r>
  </si>
  <si>
    <r>
      <rPr>
        <rFont val="arial, Verdana, Helvetica, sans-serif"/>
        <color rgb="FF1155CC"/>
        <sz val="9.0"/>
        <u/>
      </rPr>
      <t>Isoleucine</t>
    </r>
  </si>
  <si>
    <r>
      <rPr>
        <rFont val="arial, Verdana, Helvetica, sans-serif"/>
        <color rgb="FF1155CC"/>
        <sz val="9.0"/>
        <u/>
      </rPr>
      <t>Itaconic acid</t>
    </r>
  </si>
  <si>
    <r>
      <rPr>
        <rFont val="arial, Verdana, Helvetica, sans-serif"/>
        <color rgb="FF1155CC"/>
        <sz val="9.0"/>
        <u/>
      </rPr>
      <t>Lactamide</t>
    </r>
  </si>
  <si>
    <r>
      <rPr>
        <rFont val="arial, Verdana, Helvetica, sans-serif"/>
        <color rgb="FF1155CC"/>
        <sz val="9.0"/>
        <u/>
      </rPr>
      <t>Lactic acid</t>
    </r>
  </si>
  <si>
    <r>
      <rPr>
        <rFont val="arial, Verdana, Helvetica, sans-serif"/>
        <color rgb="FF1155CC"/>
        <sz val="9.0"/>
        <u/>
      </rPr>
      <t>Leucine</t>
    </r>
  </si>
  <si>
    <r>
      <rPr>
        <rFont val="arial, Verdana, Helvetica, sans-serif"/>
        <color rgb="FF1155CC"/>
        <sz val="9.0"/>
        <u/>
      </rPr>
      <t>Linoleic acid</t>
    </r>
  </si>
  <si>
    <r>
      <rPr>
        <rFont val="arial, Verdana, Helvetica, sans-serif"/>
        <color rgb="FF1155CC"/>
        <sz val="9.0"/>
        <u/>
      </rPr>
      <t>Lysine</t>
    </r>
  </si>
  <si>
    <r>
      <rPr>
        <rFont val="arial, Verdana, Helvetica, sans-serif"/>
        <color rgb="FF1155CC"/>
        <sz val="9.0"/>
        <u/>
      </rPr>
      <t>Malonic acid</t>
    </r>
  </si>
  <si>
    <r>
      <rPr>
        <rFont val="arial, Verdana, Helvetica, sans-serif"/>
        <color rgb="FF1155CC"/>
        <sz val="9.0"/>
        <u/>
      </rPr>
      <t>Mannitol</t>
    </r>
  </si>
  <si>
    <r>
      <rPr>
        <rFont val="arial, Verdana, Helvetica, sans-serif"/>
        <color rgb="FF1155CC"/>
        <sz val="9.0"/>
        <u/>
      </rPr>
      <t>Methionine</t>
    </r>
  </si>
  <si>
    <t>C12A</t>
  </si>
  <si>
    <t>Factor1:CONTROL</t>
  </si>
  <si>
    <r>
      <rPr>
        <rFont val="arial, Verdana, Helvetica, sans-serif"/>
        <color rgb="FF1155CC"/>
        <sz val="9.0"/>
        <u/>
      </rPr>
      <t>methyl-beta-D-galactopyranoside</t>
    </r>
  </si>
  <si>
    <t>C15B</t>
  </si>
  <si>
    <r>
      <rPr>
        <rFont val="arial, Verdana, Helvetica, sans-serif"/>
        <color rgb="FF1155CC"/>
        <sz val="9.0"/>
        <u/>
      </rPr>
      <t>MONOSACCHARIDES</t>
    </r>
  </si>
  <si>
    <t>C19B</t>
  </si>
  <si>
    <r>
      <rPr>
        <rFont val="arial, Verdana, Helvetica, sans-serif"/>
        <color rgb="FF1155CC"/>
        <sz val="9.0"/>
        <u/>
      </rPr>
      <t>myo-inositol</t>
    </r>
  </si>
  <si>
    <t>C21B</t>
  </si>
  <si>
    <r>
      <rPr>
        <rFont val="arial, Verdana, Helvetica, sans-serif"/>
        <color rgb="FF1155CC"/>
        <sz val="9.0"/>
        <u/>
      </rPr>
      <t>N-methylalanine</t>
    </r>
  </si>
  <si>
    <t>C23A</t>
  </si>
  <si>
    <r>
      <rPr>
        <rFont val="arial, Verdana, Helvetica, sans-serif"/>
        <color rgb="FF1155CC"/>
        <sz val="9.0"/>
        <u/>
      </rPr>
      <t>Nonanoic acid</t>
    </r>
  </si>
  <si>
    <t>C25B</t>
  </si>
  <si>
    <r>
      <rPr>
        <rFont val="arial, Verdana, Helvetica, sans-serif"/>
        <color rgb="FF1155CC"/>
        <sz val="9.0"/>
        <u/>
      </rPr>
      <t>Oleic acid</t>
    </r>
  </si>
  <si>
    <t>C27A</t>
  </si>
  <si>
    <r>
      <rPr>
        <rFont val="arial, Verdana, Helvetica, sans-serif"/>
        <color rgb="FF1155CC"/>
        <sz val="9.0"/>
        <u/>
      </rPr>
      <t>Ornithine</t>
    </r>
  </si>
  <si>
    <t>C28A</t>
  </si>
  <si>
    <r>
      <rPr>
        <rFont val="arial, Verdana, Helvetica, sans-serif"/>
        <color rgb="FF1155CC"/>
        <sz val="9.0"/>
        <u/>
      </rPr>
      <t>Palmitic acid</t>
    </r>
  </si>
  <si>
    <t>C2A</t>
  </si>
  <si>
    <r>
      <rPr>
        <rFont val="arial, Verdana, Helvetica, sans-serif"/>
        <color rgb="FF1155CC"/>
        <sz val="9.0"/>
        <u/>
      </rPr>
      <t>Palmitoleic acid</t>
    </r>
  </si>
  <si>
    <t>C30B</t>
  </si>
  <si>
    <r>
      <rPr>
        <rFont val="arial, Verdana, Helvetica, sans-serif"/>
        <color rgb="FF1155CC"/>
        <sz val="9.0"/>
        <u/>
      </rPr>
      <t>p-cresol</t>
    </r>
  </si>
  <si>
    <t>C32B</t>
  </si>
  <si>
    <r>
      <rPr>
        <rFont val="arial, Verdana, Helvetica, sans-serif"/>
        <color rgb="FF1155CC"/>
        <sz val="9.0"/>
        <u/>
      </rPr>
      <t>Phenylalanine</t>
    </r>
  </si>
  <si>
    <t>C33A</t>
  </si>
  <si>
    <r>
      <rPr>
        <rFont val="arial, Verdana, Helvetica, sans-serif"/>
        <color rgb="FF1155CC"/>
        <sz val="9.0"/>
        <u/>
      </rPr>
      <t>Phosphoric acid</t>
    </r>
  </si>
  <si>
    <t>C34B</t>
  </si>
  <si>
    <r>
      <rPr>
        <rFont val="arial, Verdana, Helvetica, sans-serif"/>
        <color rgb="FF1155CC"/>
        <sz val="9.0"/>
        <u/>
      </rPr>
      <t>Proline</t>
    </r>
  </si>
  <si>
    <t>C35B</t>
  </si>
  <si>
    <r>
      <rPr>
        <rFont val="arial, Verdana, Helvetica, sans-serif"/>
        <color rgb="FF1155CC"/>
        <sz val="9.0"/>
        <u/>
      </rPr>
      <t>Pyruvic acid</t>
    </r>
  </si>
  <si>
    <t>C36A</t>
  </si>
  <si>
    <r>
      <rPr>
        <rFont val="arial, Verdana, Helvetica, sans-serif"/>
        <color rgb="FF1155CC"/>
        <sz val="9.0"/>
        <u/>
      </rPr>
      <t>Serine</t>
    </r>
  </si>
  <si>
    <t>C39A</t>
  </si>
  <si>
    <r>
      <rPr>
        <rFont val="arial, Verdana, Helvetica, sans-serif"/>
        <color rgb="FF1155CC"/>
        <sz val="9.0"/>
        <u/>
      </rPr>
      <t>Stearic acid</t>
    </r>
  </si>
  <si>
    <t>C40B</t>
  </si>
  <si>
    <r>
      <rPr>
        <rFont val="arial, Verdana, Helvetica, sans-serif"/>
        <color rgb="FF1155CC"/>
        <sz val="9.0"/>
        <u/>
      </rPr>
      <t>Succinic acid</t>
    </r>
  </si>
  <si>
    <t>C42A</t>
  </si>
  <si>
    <r>
      <rPr>
        <rFont val="arial, Verdana, Helvetica, sans-serif"/>
        <color rgb="FF1155CC"/>
        <sz val="9.0"/>
        <u/>
      </rPr>
      <t>Threitol</t>
    </r>
  </si>
  <si>
    <t>C43A</t>
  </si>
  <si>
    <r>
      <rPr>
        <rFont val="arial, Verdana, Helvetica, sans-serif"/>
        <color rgb="FF1155CC"/>
        <sz val="9.0"/>
        <u/>
      </rPr>
      <t>Threonine</t>
    </r>
  </si>
  <si>
    <t>C44B</t>
  </si>
  <si>
    <r>
      <rPr>
        <rFont val="arial, Verdana, Helvetica, sans-serif"/>
        <color rgb="FF1155CC"/>
        <sz val="9.0"/>
        <u/>
      </rPr>
      <t>trans-4-hydroxy-L-proline</t>
    </r>
  </si>
  <si>
    <t>C46B</t>
  </si>
  <si>
    <r>
      <rPr>
        <rFont val="arial, Verdana, Helvetica, sans-serif"/>
        <color rgb="FF1155CC"/>
        <sz val="9.0"/>
        <u/>
      </rPr>
      <t>Trans-aconitic acid</t>
    </r>
  </si>
  <si>
    <t>C47A</t>
  </si>
  <si>
    <r>
      <rPr>
        <rFont val="arial, Verdana, Helvetica, sans-serif"/>
        <color rgb="FF1155CC"/>
        <sz val="9.0"/>
        <u/>
      </rPr>
      <t>Tryptophan</t>
    </r>
  </si>
  <si>
    <t>C48A</t>
  </si>
  <si>
    <r>
      <rPr>
        <rFont val="arial, Verdana, Helvetica, sans-serif"/>
        <color rgb="FF1155CC"/>
        <sz val="9.0"/>
        <u/>
      </rPr>
      <t>Tyrosine</t>
    </r>
  </si>
  <si>
    <t>C49A</t>
  </si>
  <si>
    <r>
      <rPr>
        <rFont val="arial, Verdana, Helvetica, sans-serif"/>
        <color rgb="FF1155CC"/>
        <sz val="9.0"/>
        <u/>
      </rPr>
      <t>Urea</t>
    </r>
  </si>
  <si>
    <t>C50B</t>
  </si>
  <si>
    <r>
      <rPr>
        <rFont val="arial, Verdana, Helvetica, sans-serif"/>
        <color rgb="FF1155CC"/>
        <sz val="9.0"/>
        <u/>
      </rPr>
      <t>Uric acid</t>
    </r>
  </si>
  <si>
    <t>C53A</t>
  </si>
  <si>
    <r>
      <rPr>
        <rFont val="arial, Verdana, Helvetica, sans-serif"/>
        <color rgb="FF1155CC"/>
        <sz val="9.0"/>
        <u/>
      </rPr>
      <t>Valine</t>
    </r>
  </si>
  <si>
    <t>C54A</t>
  </si>
  <si>
    <t>C56B</t>
  </si>
  <si>
    <t>C57A</t>
  </si>
  <si>
    <t>C5A</t>
  </si>
  <si>
    <t>C60A</t>
  </si>
  <si>
    <t>C62B</t>
  </si>
  <si>
    <t>C64B</t>
  </si>
  <si>
    <t>C65A</t>
  </si>
  <si>
    <t>C67B</t>
  </si>
  <si>
    <t>C68A</t>
  </si>
  <si>
    <t>C70A</t>
  </si>
  <si>
    <t>C71B</t>
  </si>
  <si>
    <t>C8A</t>
  </si>
  <si>
    <r>
      <rPr>
        <rFont val="arial, Verdana, Helvetica, sans-serif"/>
        <color rgb="FF1155CC"/>
        <sz val="11.0"/>
        <u/>
      </rPr>
      <t>Return to Metabolite table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</si>
</sst>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"/>
    <numFmt numFmtId="166" formatCode="0.000"/>
  </numFmts>
  <fonts count="5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"/>
      <name val="Arial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sz val="12.0"/>
      <color rgb="FF212121"/>
      <name val="Quattrocento Sans"/>
    </font>
    <font>
      <u/>
      <sz val="11.0"/>
      <color theme="10"/>
      <name val="Calibri"/>
    </font>
    <font>
      <color theme="1"/>
      <name val="Arial"/>
    </font>
    <font>
      <u/>
      <color rgb="FF0000FF"/>
    </font>
    <font>
      <color rgb="FF1F1F1F"/>
      <name val="ElsevierGulliver"/>
    </font>
    <font>
      <u/>
      <color rgb="FF0000FF"/>
    </font>
    <font>
      <color rgb="FF212121"/>
      <name val="Calibri"/>
      <scheme val="minor"/>
    </font>
    <font>
      <u/>
      <color rgb="FF0000FF"/>
    </font>
    <font>
      <u/>
      <sz val="12.0"/>
      <color rgb="FF1B1B1B"/>
      <name val="&quot;Source Sans Pro Web&quot;"/>
    </font>
    <font>
      <sz val="10.0"/>
      <color rgb="FF333333"/>
      <name val="Arial"/>
    </font>
    <font>
      <sz val="11.0"/>
      <color rgb="FF000000"/>
      <name val="Calibri"/>
    </font>
    <font>
      <sz val="13.0"/>
      <color rgb="FF1B1B1B"/>
      <name val="Cambria"/>
    </font>
    <font>
      <b/>
      <sz val="13.0"/>
      <color rgb="FF1B1B1B"/>
      <name val="Cambria"/>
    </font>
    <font>
      <sz val="12.0"/>
      <color rgb="FF1B1B1B"/>
      <name val="Cambria"/>
    </font>
    <font>
      <color theme="1"/>
      <name val="&quot;Times New Roman&quot;"/>
    </font>
    <font>
      <sz val="11.0"/>
      <color rgb="FF000000"/>
      <name val="&quot;Times New Roman&quot;"/>
    </font>
    <font>
      <sz val="12.0"/>
      <color rgb="FF212121"/>
      <name val="BlinkMacSystemFont"/>
    </font>
    <font>
      <i/>
      <color theme="1"/>
      <name val="&quot;Times New Roman&quot;"/>
    </font>
    <font>
      <i/>
      <sz val="11.0"/>
      <color rgb="FF000000"/>
      <name val="&quot;Times New Roman&quot;"/>
    </font>
    <font>
      <b/>
      <u/>
      <sz val="13.0"/>
      <color rgb="FF0000FF"/>
      <name val="Cambria"/>
    </font>
    <font>
      <i/>
      <sz val="11.0"/>
      <color rgb="FF000000"/>
      <name val="Calibri"/>
    </font>
    <font>
      <b/>
      <color theme="1"/>
      <name val="&quot;Times New Roman&quot;"/>
    </font>
    <font>
      <b/>
      <i/>
      <color theme="1"/>
      <name val="&quot;Times New Roman&quot;"/>
    </font>
    <font>
      <b/>
      <sz val="11.0"/>
      <color rgb="FF000000"/>
      <name val="&quot;Times New Roman&quot;"/>
    </font>
    <font>
      <sz val="12.0"/>
      <color theme="1"/>
      <name val="&quot;Times New Roman&quot;"/>
    </font>
    <font/>
    <font>
      <b/>
      <sz val="11.0"/>
      <color theme="1"/>
      <name val="Calibri"/>
    </font>
    <font>
      <sz val="10.0"/>
      <color theme="1"/>
      <name val="Calibri"/>
    </font>
    <font>
      <sz val="10.0"/>
      <color rgb="FF000000"/>
      <name val="Arial"/>
    </font>
    <font>
      <u/>
      <color rgb="FF0563C1"/>
    </font>
    <font>
      <sz val="14.0"/>
      <color rgb="FF1B1B1B"/>
      <name val="Cambria"/>
    </font>
    <font>
      <sz val="8.0"/>
      <color theme="1"/>
      <name val="Calibri"/>
    </font>
    <font>
      <color rgb="FF000000"/>
      <name val="Calibri"/>
    </font>
    <font>
      <sz val="9.0"/>
      <color rgb="FF000000"/>
      <name val="Calibri"/>
    </font>
    <font>
      <sz val="11.0"/>
      <color rgb="FF222222"/>
      <name val="Arial"/>
    </font>
    <font>
      <sz val="11.0"/>
      <color rgb="FF434343"/>
      <name val="Roboto"/>
    </font>
    <font>
      <b/>
      <u/>
      <sz val="13.0"/>
      <color rgb="FF0000FF"/>
      <name val="Cambria"/>
    </font>
    <font>
      <sz val="9.0"/>
      <color rgb="FF000000"/>
      <name val="Arial"/>
    </font>
    <font>
      <u/>
      <sz val="9.0"/>
      <color rgb="FF0000FF"/>
      <name val="Arial"/>
    </font>
    <font>
      <sz val="11.0"/>
      <color rgb="FF000000"/>
      <name val="Arial"/>
    </font>
    <font>
      <u/>
      <sz val="11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B7E1CD"/>
        <bgColor rgb="FFB7E1CD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F5FFF0"/>
        <bgColor rgb="FFF5FFF0"/>
      </patternFill>
    </fill>
    <fill>
      <patternFill patternType="solid">
        <fgColor rgb="FFF7CAAC"/>
        <bgColor rgb="FFF7CAAC"/>
      </patternFill>
    </fill>
    <fill>
      <patternFill patternType="solid">
        <fgColor rgb="FFF0FAFF"/>
        <bgColor rgb="FFF0FAFF"/>
      </patternFill>
    </fill>
    <fill>
      <patternFill patternType="solid">
        <fgColor rgb="FFFCE4D6"/>
        <bgColor rgb="FFFCE4D6"/>
      </patternFill>
    </fill>
    <fill>
      <patternFill patternType="solid">
        <fgColor rgb="FFF6F8F9"/>
        <bgColor rgb="FFF6F8F9"/>
      </patternFill>
    </fill>
    <fill>
      <patternFill patternType="solid">
        <fgColor rgb="FFEEEEEE"/>
        <bgColor rgb="FFEEEEEE"/>
      </patternFill>
    </fill>
    <fill>
      <patternFill patternType="solid">
        <fgColor rgb="FFFFFFE0"/>
        <bgColor rgb="FFFFFFE0"/>
      </patternFill>
    </fill>
  </fills>
  <borders count="2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333333"/>
      </top>
      <bottom style="thin">
        <color rgb="FF333333"/>
      </bottom>
    </border>
    <border>
      <bottom style="thin">
        <color rgb="FF000000"/>
      </bottom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</border>
    <border>
      <right style="thin">
        <color rgb="FFAEABAB"/>
      </right>
    </border>
    <border>
      <right style="thin">
        <color rgb="FFD5D5D5"/>
      </right>
      <bottom style="thin">
        <color rgb="FFDADADA"/>
      </bottom>
    </border>
    <border>
      <left style="thin">
        <color rgb="FF3E4791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3E4791"/>
      </right>
      <top style="thin">
        <color rgb="FFF6F8F9"/>
      </top>
      <bottom style="thin">
        <color rgb="FF3E4791"/>
      </bottom>
    </border>
    <border>
      <top style="thin">
        <color rgb="FF333333"/>
      </top>
    </border>
    <border>
      <right style="thin">
        <color rgb="FFAEABAB"/>
      </right>
      <top style="thin">
        <color rgb="FFAEABAB"/>
      </top>
    </border>
    <border>
      <right style="thin">
        <color rgb="FFAEABAB"/>
      </right>
      <bottom style="thin">
        <color rgb="FFAEABAB"/>
      </bottom>
    </border>
    <border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top style="thin">
        <color rgb="FFAEABAB"/>
      </top>
    </border>
    <border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</border>
    <border>
      <left style="thin">
        <color rgb="FFAEABAB"/>
      </left>
      <right style="thin">
        <color rgb="FFAEABAB"/>
      </right>
    </border>
    <border>
      <bottom style="thin">
        <color rgb="FFAEABAB"/>
      </bottom>
    </border>
    <border>
      <left style="thin">
        <color rgb="FFAEABAB"/>
      </left>
      <right style="thin">
        <color rgb="FFAEABAB"/>
      </right>
      <bottom style="thin">
        <color rgb="FFAEABAB"/>
      </bottom>
    </border>
    <border>
      <left style="thin">
        <color rgb="FFAEABAB"/>
      </left>
      <bottom style="thin">
        <color rgb="FFAEABAB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Font="1"/>
    <xf borderId="1" fillId="3" fontId="2" numFmtId="0" xfId="0" applyBorder="1" applyFill="1" applyFont="1"/>
    <xf borderId="1" fillId="3" fontId="5" numFmtId="0" xfId="0" applyBorder="1" applyFont="1"/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5" fontId="2" numFmtId="0" xfId="0" applyFont="1"/>
    <xf borderId="0" fillId="5" fontId="6" numFmtId="0" xfId="0" applyFont="1"/>
    <xf borderId="0" fillId="5" fontId="1" numFmtId="0" xfId="0" applyAlignment="1" applyFont="1">
      <alignment readingOrder="0"/>
    </xf>
    <xf borderId="0" fillId="0" fontId="7" numFmtId="0" xfId="0" applyAlignment="1" applyFont="1">
      <alignment horizontal="left" shrinkToFit="0" vertical="center" wrapText="1"/>
    </xf>
    <xf borderId="1" fillId="0" fontId="2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Border="1" applyFont="1"/>
    <xf borderId="1" fillId="3" fontId="7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readingOrder="0"/>
    </xf>
    <xf borderId="1" fillId="3" fontId="10" numFmtId="0" xfId="0" applyAlignment="1" applyBorder="1" applyFont="1">
      <alignment readingOrder="0"/>
    </xf>
    <xf borderId="1" fillId="0" fontId="1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shrinkToFit="0" vertical="center" wrapText="1"/>
    </xf>
    <xf borderId="1" fillId="6" fontId="2" numFmtId="0" xfId="0" applyBorder="1" applyFill="1" applyFont="1"/>
    <xf borderId="1" fillId="6" fontId="12" numFmtId="0" xfId="0" applyAlignment="1" applyBorder="1" applyFont="1">
      <alignment horizontal="left" shrinkToFit="0" vertical="center" wrapText="1"/>
    </xf>
    <xf borderId="1" fillId="6" fontId="13" numFmtId="0" xfId="0" applyBorder="1" applyFont="1"/>
    <xf borderId="1" fillId="7" fontId="2" numFmtId="0" xfId="0" applyAlignment="1" applyBorder="1" applyFill="1" applyFont="1">
      <alignment readingOrder="0"/>
    </xf>
    <xf borderId="0" fillId="7" fontId="1" numFmtId="0" xfId="0" applyFont="1"/>
    <xf borderId="0" fillId="7" fontId="14" numFmtId="0" xfId="0" applyAlignment="1" applyFont="1">
      <alignment horizontal="right" vertical="bottom"/>
    </xf>
    <xf borderId="0" fillId="7" fontId="14" numFmtId="0" xfId="0" applyAlignment="1" applyFont="1">
      <alignment vertical="bottom"/>
    </xf>
    <xf borderId="0" fillId="7" fontId="1" numFmtId="0" xfId="0" applyAlignment="1" applyFont="1">
      <alignment readingOrder="0"/>
    </xf>
    <xf borderId="0" fillId="7" fontId="15" numFmtId="0" xfId="0" applyAlignment="1" applyFont="1">
      <alignment readingOrder="0"/>
    </xf>
    <xf borderId="0" fillId="8" fontId="14" numFmtId="0" xfId="0" applyAlignment="1" applyFill="1" applyFont="1">
      <alignment horizontal="right" vertical="bottom"/>
    </xf>
    <xf borderId="0" fillId="0" fontId="14" numFmtId="0" xfId="0" applyAlignment="1" applyFont="1">
      <alignment vertical="bottom"/>
    </xf>
    <xf borderId="0" fillId="6" fontId="1" numFmtId="0" xfId="0" applyFont="1"/>
    <xf borderId="0" fillId="6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6" fontId="18" numFmtId="0" xfId="0" applyAlignment="1" applyFont="1">
      <alignment readingOrder="0" shrinkToFit="0" wrapText="1"/>
    </xf>
    <xf borderId="0" fillId="6" fontId="19" numFmtId="0" xfId="0" applyAlignment="1" applyFont="1">
      <alignment readingOrder="0"/>
    </xf>
    <xf borderId="0" fillId="9" fontId="14" numFmtId="0" xfId="0" applyAlignment="1" applyFill="1" applyFont="1">
      <alignment horizontal="right" vertical="bottom"/>
    </xf>
    <xf borderId="0" fillId="2" fontId="20" numFmtId="0" xfId="0" applyAlignment="1" applyFont="1">
      <alignment readingOrder="0"/>
    </xf>
    <xf borderId="0" fillId="0" fontId="21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 shrinkToFit="0" wrapText="0"/>
    </xf>
    <xf borderId="2" fillId="0" fontId="21" numFmtId="0" xfId="0" applyAlignment="1" applyBorder="1" applyFont="1">
      <alignment horizontal="center" readingOrder="0" vertical="bottom"/>
    </xf>
    <xf borderId="0" fillId="0" fontId="22" numFmtId="10" xfId="0" applyAlignment="1" applyFont="1" applyNumberFormat="1">
      <alignment horizontal="center" readingOrder="0" shrinkToFit="0" wrapText="0"/>
    </xf>
    <xf borderId="0" fillId="0" fontId="22" numFmtId="10" xfId="0" applyAlignment="1" applyFont="1" applyNumberFormat="1">
      <alignment horizontal="center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3" fillId="0" fontId="23" numFmtId="0" xfId="0" applyAlignment="1" applyBorder="1" applyFont="1">
      <alignment horizontal="left" readingOrder="0" vertical="top"/>
    </xf>
    <xf borderId="3" fillId="0" fontId="23" numFmtId="0" xfId="0" applyAlignment="1" applyBorder="1" applyFont="1">
      <alignment horizontal="center" readingOrder="0" vertical="top"/>
    </xf>
    <xf borderId="3" fillId="0" fontId="24" numFmtId="0" xfId="0" applyAlignment="1" applyBorder="1" applyFont="1">
      <alignment horizontal="left" readingOrder="0" vertical="top"/>
    </xf>
    <xf borderId="3" fillId="0" fontId="25" numFmtId="0" xfId="0" applyAlignment="1" applyBorder="1" applyFont="1">
      <alignment horizontal="center" readingOrder="0" vertical="top"/>
    </xf>
    <xf borderId="3" fillId="0" fontId="24" numFmtId="0" xfId="0" applyAlignment="1" applyBorder="1" applyFont="1">
      <alignment horizontal="center" readingOrder="0" vertical="top"/>
    </xf>
    <xf borderId="0" fillId="0" fontId="26" numFmtId="0" xfId="0" applyAlignment="1" applyFont="1">
      <alignment horizontal="center" readingOrder="0" vertical="top"/>
    </xf>
    <xf borderId="0" fillId="0" fontId="27" numFmtId="0" xfId="0" applyAlignment="1" applyFont="1">
      <alignment horizontal="center" readingOrder="0"/>
    </xf>
    <xf borderId="0" fillId="2" fontId="28" numFmtId="0" xfId="0" applyAlignment="1" applyFont="1">
      <alignment readingOrder="0"/>
    </xf>
    <xf borderId="0" fillId="0" fontId="29" numFmtId="0" xfId="0" applyAlignment="1" applyFont="1">
      <alignment horizontal="center" readingOrder="0" vertical="top"/>
    </xf>
    <xf borderId="0" fillId="0" fontId="30" numFmtId="0" xfId="0" applyAlignment="1" applyFont="1">
      <alignment horizontal="center" readingOrder="0"/>
    </xf>
    <xf borderId="0" fillId="0" fontId="27" numFmtId="0" xfId="0" applyAlignment="1" applyFont="1">
      <alignment horizontal="left" readingOrder="0"/>
    </xf>
    <xf borderId="3" fillId="2" fontId="24" numFmtId="0" xfId="0" applyAlignment="1" applyBorder="1" applyFont="1">
      <alignment horizontal="left" readingOrder="0" vertical="top"/>
    </xf>
    <xf borderId="3" fillId="2" fontId="23" numFmtId="0" xfId="0" applyAlignment="1" applyBorder="1" applyFont="1">
      <alignment horizontal="left" vertical="top"/>
    </xf>
    <xf borderId="3" fillId="2" fontId="23" numFmtId="0" xfId="0" applyAlignment="1" applyBorder="1" applyFont="1">
      <alignment horizontal="left" readingOrder="0" vertical="top"/>
    </xf>
    <xf borderId="3" fillId="0" fontId="31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32" numFmtId="0" xfId="0" applyAlignment="1" applyFont="1">
      <alignment readingOrder="0" shrinkToFit="0" wrapText="0"/>
    </xf>
    <xf borderId="0" fillId="10" fontId="22" numFmtId="11" xfId="0" applyAlignment="1" applyFill="1" applyFont="1" applyNumberFormat="1">
      <alignment horizontal="right" readingOrder="0" shrinkToFit="0" wrapText="0"/>
    </xf>
    <xf borderId="0" fillId="0" fontId="22" numFmtId="0" xfId="0" applyAlignment="1" applyFont="1">
      <alignment horizontal="left" readingOrder="0" shrinkToFit="0" wrapText="0"/>
    </xf>
    <xf borderId="0" fillId="10" fontId="22" numFmtId="0" xfId="0" applyAlignment="1" applyFont="1">
      <alignment horizontal="right" readingOrder="0" shrinkToFit="0" wrapText="0"/>
    </xf>
    <xf borderId="0" fillId="0" fontId="22" numFmtId="0" xfId="0" applyAlignment="1" applyFont="1">
      <alignment readingOrder="0" shrinkToFit="0" wrapText="0"/>
    </xf>
    <xf borderId="0" fillId="0" fontId="22" numFmtId="0" xfId="0" applyAlignment="1" applyFont="1">
      <alignment horizontal="right" readingOrder="0" shrinkToFit="0" wrapText="0"/>
    </xf>
    <xf borderId="4" fillId="0" fontId="22" numFmtId="0" xfId="0" applyAlignment="1" applyBorder="1" applyFont="1">
      <alignment readingOrder="0" shrinkToFit="0" wrapText="0"/>
    </xf>
    <xf borderId="4" fillId="0" fontId="22" numFmtId="0" xfId="0" applyAlignment="1" applyBorder="1" applyFont="1">
      <alignment horizontal="center" readingOrder="0" shrinkToFit="0" wrapText="0"/>
    </xf>
    <xf borderId="4" fillId="0" fontId="22" numFmtId="0" xfId="0" applyAlignment="1" applyBorder="1" applyFont="1">
      <alignment horizontal="right" readingOrder="0" shrinkToFit="0" wrapText="0"/>
    </xf>
    <xf borderId="0" fillId="0" fontId="33" numFmtId="0" xfId="0" applyAlignment="1" applyFont="1">
      <alignment horizontal="center" readingOrder="0" vertical="top"/>
    </xf>
    <xf borderId="0" fillId="0" fontId="34" numFmtId="0" xfId="0" applyAlignment="1" applyFont="1">
      <alignment horizontal="center" readingOrder="0" vertical="top"/>
    </xf>
    <xf borderId="0" fillId="0" fontId="33" numFmtId="0" xfId="0" applyAlignment="1" applyFont="1">
      <alignment horizontal="left" readingOrder="0" vertical="top"/>
    </xf>
    <xf borderId="0" fillId="0" fontId="1" numFmtId="0" xfId="0" applyAlignment="1" applyFont="1">
      <alignment horizontal="center" vertical="top"/>
    </xf>
    <xf borderId="0" fillId="0" fontId="35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36" numFmtId="0" xfId="0" applyAlignment="1" applyFont="1">
      <alignment horizontal="center" readingOrder="0"/>
    </xf>
    <xf borderId="0" fillId="0" fontId="36" numFmtId="0" xfId="0" applyAlignment="1" applyFont="1">
      <alignment horizontal="center"/>
    </xf>
    <xf borderId="0" fillId="0" fontId="36" numFmtId="0" xfId="0" applyAlignment="1" applyFont="1">
      <alignment horizontal="center" vertical="top"/>
    </xf>
    <xf borderId="0" fillId="11" fontId="14" numFmtId="0" xfId="0" applyAlignment="1" applyFill="1" applyFont="1">
      <alignment horizontal="right" vertical="bottom"/>
    </xf>
    <xf borderId="3" fillId="0" fontId="37" numFmtId="0" xfId="0" applyBorder="1" applyFont="1"/>
    <xf borderId="0" fillId="12" fontId="23" numFmtId="0" xfId="0" applyAlignment="1" applyFill="1" applyFont="1">
      <alignment readingOrder="0"/>
    </xf>
    <xf borderId="1" fillId="13" fontId="2" numFmtId="0" xfId="0" applyBorder="1" applyFill="1" applyFont="1"/>
    <xf borderId="1" fillId="13" fontId="2" numFmtId="0" xfId="0" applyAlignment="1" applyBorder="1" applyFont="1">
      <alignment readingOrder="0"/>
    </xf>
    <xf borderId="0" fillId="13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2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5" fillId="0" fontId="40" numFmtId="0" xfId="0" applyAlignment="1" applyBorder="1" applyFont="1">
      <alignment horizontal="left" readingOrder="0"/>
    </xf>
    <xf borderId="0" fillId="0" fontId="4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42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6" fillId="0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39" numFmtId="0" xfId="0" applyAlignment="1" applyFont="1">
      <alignment shrinkToFit="0" wrapText="1"/>
    </xf>
    <xf borderId="0" fillId="0" fontId="39" numFmtId="166" xfId="0" applyAlignment="1" applyFont="1" applyNumberFormat="1">
      <alignment horizontal="center"/>
    </xf>
    <xf borderId="0" fillId="0" fontId="39" numFmtId="2" xfId="0" applyAlignment="1" applyFont="1" applyNumberFormat="1">
      <alignment horizontal="center"/>
    </xf>
    <xf borderId="0" fillId="0" fontId="43" numFmtId="0" xfId="0" applyAlignment="1" applyFont="1">
      <alignment horizontal="center"/>
    </xf>
    <xf borderId="2" fillId="0" fontId="39" numFmtId="0" xfId="0" applyAlignment="1" applyBorder="1" applyFont="1">
      <alignment shrinkToFit="0" wrapText="1"/>
    </xf>
    <xf borderId="2" fillId="0" fontId="39" numFmtId="166" xfId="0" applyAlignment="1" applyBorder="1" applyFont="1" applyNumberFormat="1">
      <alignment horizontal="center"/>
    </xf>
    <xf borderId="2" fillId="0" fontId="39" numFmtId="2" xfId="0" applyAlignment="1" applyBorder="1" applyFont="1" applyNumberFormat="1">
      <alignment horizontal="center"/>
    </xf>
    <xf borderId="2" fillId="0" fontId="43" numFmtId="0" xfId="0" applyAlignment="1" applyBorder="1" applyFont="1">
      <alignment horizontal="center"/>
    </xf>
    <xf borderId="2" fillId="0" fontId="39" numFmtId="166" xfId="0" applyAlignment="1" applyBorder="1" applyFont="1" applyNumberFormat="1">
      <alignment horizontal="center" vertical="center"/>
    </xf>
    <xf borderId="2" fillId="0" fontId="39" numFmtId="2" xfId="0" applyAlignment="1" applyBorder="1" applyFont="1" applyNumberFormat="1">
      <alignment horizontal="center" vertical="center"/>
    </xf>
    <xf borderId="2" fillId="0" fontId="43" numFmtId="0" xfId="0" applyAlignment="1" applyBorder="1" applyFont="1">
      <alignment horizontal="center" vertical="center"/>
    </xf>
    <xf borderId="2" fillId="0" fontId="43" numFmtId="0" xfId="0" applyAlignment="1" applyBorder="1" applyFont="1">
      <alignment horizontal="center" shrinkToFit="0" wrapText="1"/>
    </xf>
    <xf borderId="0" fillId="0" fontId="2" numFmtId="166" xfId="0" applyAlignment="1" applyFont="1" applyNumberFormat="1">
      <alignment horizontal="center"/>
    </xf>
    <xf borderId="0" fillId="14" fontId="24" numFmtId="0" xfId="0" applyAlignment="1" applyFill="1" applyFont="1">
      <alignment readingOrder="0"/>
    </xf>
    <xf borderId="0" fillId="0" fontId="44" numFmtId="0" xfId="0" applyAlignment="1" applyFont="1">
      <alignment readingOrder="0" shrinkToFit="0" vertical="bottom" wrapText="0"/>
    </xf>
    <xf borderId="2" fillId="0" fontId="44" numFmtId="0" xfId="0" applyAlignment="1" applyBorder="1" applyFont="1">
      <alignment readingOrder="0" shrinkToFit="0" vertical="bottom" wrapText="0"/>
    </xf>
    <xf borderId="2" fillId="0" fontId="44" numFmtId="0" xfId="0" applyAlignment="1" applyBorder="1" applyFont="1">
      <alignment horizontal="center" readingOrder="0" shrinkToFit="0" wrapText="0"/>
    </xf>
    <xf borderId="2" fillId="0" fontId="44" numFmtId="165" xfId="0" applyAlignment="1" applyBorder="1" applyFont="1" applyNumberFormat="1">
      <alignment horizontal="center" readingOrder="0" shrinkToFit="0" wrapText="0"/>
    </xf>
    <xf borderId="2" fillId="0" fontId="45" numFmtId="0" xfId="0" applyAlignment="1" applyBorder="1" applyFont="1">
      <alignment horizontal="center" readingOrder="0" shrinkToFit="0" vertical="bottom" wrapText="0"/>
    </xf>
    <xf borderId="2" fillId="0" fontId="44" numFmtId="0" xfId="0" applyAlignment="1" applyBorder="1" applyFont="1">
      <alignment horizontal="center" readingOrder="0" shrinkToFit="0" vertical="bottom" wrapText="0"/>
    </xf>
    <xf borderId="2" fillId="0" fontId="44" numFmtId="165" xfId="0" applyAlignment="1" applyBorder="1" applyFont="1" applyNumberFormat="1">
      <alignment horizontal="center" readingOrder="0" shrinkToFit="0" vertical="bottom" wrapText="0"/>
    </xf>
    <xf borderId="2" fillId="0" fontId="44" numFmtId="0" xfId="0" applyAlignment="1" applyBorder="1" applyFont="1">
      <alignment horizontal="center" shrinkToFit="0" wrapText="0"/>
    </xf>
    <xf borderId="2" fillId="0" fontId="44" numFmtId="165" xfId="0" applyAlignment="1" applyBorder="1" applyFont="1" applyNumberFormat="1">
      <alignment horizontal="center" shrinkToFit="0" wrapText="0"/>
    </xf>
    <xf borderId="0" fillId="0" fontId="22" numFmtId="0" xfId="0" applyAlignment="1" applyFont="1">
      <alignment readingOrder="0" shrinkToFit="0" vertical="bottom" wrapText="0"/>
    </xf>
    <xf borderId="2" fillId="0" fontId="45" numFmtId="0" xfId="0" applyAlignment="1" applyBorder="1" applyFont="1">
      <alignment horizontal="center" readingOrder="0" vertical="bottom"/>
    </xf>
    <xf borderId="0" fillId="0" fontId="22" numFmtId="165" xfId="0" applyAlignment="1" applyFont="1" applyNumberFormat="1">
      <alignment horizontal="left" readingOrder="0" shrinkToFit="0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horizontal="left" shrinkToFit="0" wrapText="0"/>
    </xf>
    <xf borderId="0" fillId="0" fontId="22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horizontal="left" shrinkToFit="0" wrapText="0"/>
    </xf>
    <xf borderId="0" fillId="0" fontId="22" numFmtId="0" xfId="0" applyAlignment="1" applyFont="1">
      <alignment horizontal="right" readingOrder="0" vertical="bottom"/>
    </xf>
    <xf borderId="0" fillId="0" fontId="22" numFmtId="165" xfId="0" applyAlignment="1" applyFont="1" applyNumberFormat="1">
      <alignment horizontal="right" readingOrder="0" shrinkToFit="0" vertical="bottom" wrapText="0"/>
    </xf>
    <xf borderId="7" fillId="0" fontId="46" numFmtId="0" xfId="0" applyAlignment="1" applyBorder="1" applyFont="1">
      <alignment horizontal="left" readingOrder="0"/>
    </xf>
    <xf borderId="0" fillId="0" fontId="22" numFmtId="0" xfId="0" applyAlignment="1" applyFont="1">
      <alignment readingOrder="0" vertical="bottom"/>
    </xf>
    <xf borderId="4" fillId="0" fontId="22" numFmtId="0" xfId="0" applyAlignment="1" applyBorder="1" applyFont="1">
      <alignment readingOrder="0" vertical="bottom"/>
    </xf>
    <xf borderId="0" fillId="15" fontId="22" numFmtId="0" xfId="0" applyAlignment="1" applyFill="1" applyFont="1">
      <alignment readingOrder="0" shrinkToFit="0" vertical="bottom" wrapText="0"/>
    </xf>
    <xf borderId="7" fillId="2" fontId="46" numFmtId="0" xfId="0" applyAlignment="1" applyBorder="1" applyFont="1">
      <alignment horizontal="left" readingOrder="0"/>
    </xf>
    <xf borderId="0" fillId="2" fontId="47" numFmtId="0" xfId="0" applyAlignment="1" applyFont="1">
      <alignment shrinkToFit="0" wrapText="1"/>
    </xf>
    <xf borderId="0" fillId="0" fontId="23" numFmtId="0" xfId="0" applyAlignment="1" applyFont="1">
      <alignment horizontal="left" readingOrder="0" vertical="top"/>
    </xf>
    <xf borderId="0" fillId="16" fontId="47" numFmtId="0" xfId="0" applyAlignment="1" applyFill="1" applyFont="1">
      <alignment shrinkToFit="0" wrapText="1"/>
    </xf>
    <xf borderId="0" fillId="2" fontId="23" numFmtId="0" xfId="0" applyAlignment="1" applyFont="1">
      <alignment horizontal="left" readingOrder="0" vertical="top"/>
    </xf>
    <xf borderId="0" fillId="2" fontId="24" numFmtId="0" xfId="0" applyAlignment="1" applyFont="1">
      <alignment horizontal="left" readingOrder="0" vertical="top"/>
    </xf>
    <xf borderId="0" fillId="0" fontId="25" numFmtId="0" xfId="0" applyAlignment="1" applyFont="1">
      <alignment horizontal="center" readingOrder="0" vertical="top"/>
    </xf>
    <xf borderId="0" fillId="2" fontId="1" numFmtId="0" xfId="0" applyFont="1"/>
    <xf borderId="0" fillId="16" fontId="1" numFmtId="0" xfId="0" applyFont="1"/>
    <xf borderId="0" fillId="2" fontId="1" numFmtId="0" xfId="0" applyAlignment="1" applyFont="1">
      <alignment readingOrder="0"/>
    </xf>
    <xf borderId="0" fillId="16" fontId="22" numFmtId="0" xfId="0" applyAlignment="1" applyFont="1">
      <alignment horizontal="left" readingOrder="0" shrinkToFit="0" wrapText="0"/>
    </xf>
    <xf borderId="0" fillId="2" fontId="22" numFmtId="0" xfId="0" applyAlignment="1" applyFont="1">
      <alignment horizontal="left" readingOrder="0" shrinkToFit="0" wrapText="0"/>
    </xf>
    <xf borderId="0" fillId="16" fontId="1" numFmtId="0" xfId="0" applyAlignment="1" applyFont="1">
      <alignment shrinkToFit="0" wrapText="1"/>
    </xf>
    <xf borderId="0" fillId="16" fontId="21" numFmtId="0" xfId="0" applyAlignment="1" applyFont="1">
      <alignment horizontal="center" readingOrder="0" vertical="bottom"/>
    </xf>
    <xf borderId="0" fillId="2" fontId="1" numFmtId="0" xfId="0" applyAlignment="1" applyFont="1">
      <alignment shrinkToFit="0" wrapText="1"/>
    </xf>
    <xf borderId="0" fillId="16" fontId="25" numFmtId="0" xfId="0" applyAlignment="1" applyFont="1">
      <alignment horizontal="center" readingOrder="0" vertical="top"/>
    </xf>
    <xf borderId="0" fillId="2" fontId="44" numFmtId="0" xfId="0" applyAlignment="1" applyFont="1">
      <alignment readingOrder="0" shrinkToFit="0" vertical="bottom" wrapText="0"/>
    </xf>
    <xf borderId="0" fillId="16" fontId="48" numFmtId="0" xfId="0" applyAlignment="1" applyFont="1">
      <alignment horizontal="left" readingOrder="0" vertical="top"/>
    </xf>
    <xf borderId="0" fillId="16" fontId="27" numFmtId="0" xfId="0" applyAlignment="1" applyFont="1">
      <alignment horizontal="center" readingOrder="0"/>
    </xf>
    <xf borderId="2" fillId="0" fontId="1" numFmtId="0" xfId="0" applyBorder="1" applyFont="1"/>
    <xf borderId="2" fillId="0" fontId="22" numFmtId="0" xfId="0" applyAlignment="1" applyBorder="1" applyFont="1">
      <alignment horizontal="left" readingOrder="0" shrinkToFit="0" wrapText="0"/>
    </xf>
    <xf borderId="2" fillId="0" fontId="1" numFmtId="0" xfId="0" applyAlignment="1" applyBorder="1" applyFont="1">
      <alignment shrinkToFit="0" wrapText="1"/>
    </xf>
    <xf borderId="2" fillId="0" fontId="29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readingOrder="0"/>
    </xf>
    <xf borderId="2" fillId="0" fontId="27" numFmtId="0" xfId="0" applyAlignment="1" applyBorder="1" applyFont="1">
      <alignment horizontal="left" readingOrder="0"/>
    </xf>
    <xf borderId="2" fillId="0" fontId="26" numFmtId="0" xfId="0" applyAlignment="1" applyBorder="1" applyFont="1">
      <alignment horizontal="center" readingOrder="0" vertical="top"/>
    </xf>
    <xf borderId="2" fillId="0" fontId="2" numFmtId="0" xfId="0" applyBorder="1" applyFont="1"/>
    <xf borderId="8" fillId="2" fontId="1" numFmtId="0" xfId="0" applyBorder="1" applyFont="1"/>
    <xf borderId="9" fillId="16" fontId="1" numFmtId="0" xfId="0" applyBorder="1" applyFont="1"/>
    <xf borderId="10" fillId="16" fontId="1" numFmtId="0" xfId="0" applyBorder="1" applyFont="1"/>
    <xf borderId="11" fillId="12" fontId="24" numFmtId="0" xfId="0" applyAlignment="1" applyBorder="1" applyFont="1">
      <alignment horizontal="center" readingOrder="0" vertical="top"/>
    </xf>
    <xf borderId="11" fillId="0" fontId="37" numFmtId="0" xfId="0" applyBorder="1" applyFont="1"/>
    <xf borderId="3" fillId="12" fontId="23" numFmtId="0" xfId="0" applyAlignment="1" applyBorder="1" applyFont="1">
      <alignment horizontal="center" readingOrder="0" vertical="top"/>
    </xf>
    <xf borderId="11" fillId="12" fontId="23" numFmtId="0" xfId="0" applyAlignment="1" applyBorder="1" applyFont="1">
      <alignment horizontal="center" readingOrder="0" vertical="top"/>
    </xf>
    <xf borderId="0" fillId="0" fontId="23" numFmtId="0" xfId="0" applyAlignment="1" applyFont="1">
      <alignment readingOrder="0"/>
    </xf>
    <xf borderId="0" fillId="0" fontId="22" numFmtId="0" xfId="0" applyAlignment="1" applyFont="1">
      <alignment horizontal="center" readingOrder="0" shrinkToFit="0" vertical="bottom" wrapText="0"/>
    </xf>
    <xf borderId="0" fillId="2" fontId="22" numFmtId="0" xfId="0" applyAlignment="1" applyFont="1">
      <alignment horizontal="right"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5" fillId="17" fontId="49" numFmtId="0" xfId="0" applyAlignment="1" applyBorder="1" applyFill="1" applyFont="1">
      <alignment horizontal="left" readingOrder="0"/>
    </xf>
    <xf borderId="5" fillId="2" fontId="49" numFmtId="0" xfId="0" applyAlignment="1" applyBorder="1" applyFont="1">
      <alignment horizontal="left" readingOrder="0"/>
    </xf>
    <xf borderId="5" fillId="0" fontId="50" numFmtId="0" xfId="0" applyAlignment="1" applyBorder="1" applyFont="1">
      <alignment horizontal="left" readingOrder="0"/>
    </xf>
    <xf borderId="5" fillId="17" fontId="49" numFmtId="0" xfId="0" applyAlignment="1" applyBorder="1" applyFont="1">
      <alignment horizontal="left"/>
    </xf>
    <xf borderId="5" fillId="18" fontId="49" numFmtId="0" xfId="0" applyAlignment="1" applyBorder="1" applyFill="1" applyFont="1">
      <alignment horizontal="left"/>
    </xf>
    <xf borderId="5" fillId="18" fontId="49" numFmtId="0" xfId="0" applyAlignment="1" applyBorder="1" applyFont="1">
      <alignment horizontal="left" readingOrder="0"/>
    </xf>
    <xf borderId="0" fillId="2" fontId="51" numFmtId="0" xfId="0" applyAlignment="1" applyFont="1">
      <alignment horizontal="left"/>
    </xf>
    <xf borderId="0" fillId="2" fontId="52" numFmtId="0" xfId="0" applyAlignment="1" applyFont="1">
      <alignment horizontal="lef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7">
    <tableStyle count="4" pivot="0" name="pv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vals-style 2">
      <tableStyleElement dxfId="2" type="firstRowStripe"/>
      <tableStyleElement dxfId="3" type="secondRowStripe"/>
    </tableStyle>
    <tableStyle count="2" pivot="0" name="pvals-style 3">
      <tableStyleElement dxfId="2" type="firstRowStripe"/>
      <tableStyleElement dxfId="3" type="secondRowStripe"/>
    </tableStyle>
    <tableStyle count="4" pivot="0" name="pval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etabolites_exp-style">
      <tableStyleElement dxfId="2" type="firstRowStripe"/>
      <tableStyleElement dxfId="3" type="secondRowStripe"/>
    </tableStyle>
    <tableStyle count="2" pivot="0" name="metabolites_exp-style 2">
      <tableStyleElement dxfId="2" type="firstRowStripe"/>
      <tableStyleElement dxfId="3" type="secondRowStripe"/>
    </tableStyle>
    <tableStyle count="2" pivot="0" name="metabolites_exp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41:G187" displayName="Table2" name="Table2" id="1">
  <tableColumns count="7">
    <tableColumn name="Retention time (min)" id="1"/>
    <tableColumn name="Metabolite" id="2"/>
    <tableColumn name="Mass of metabolite (Da)" id="3"/>
    <tableColumn name="HMDB ID" id="4"/>
    <tableColumn name="ID" id="5"/>
    <tableColumn name="Fold change" id="6"/>
    <tableColumn name="q-value" id="7"/>
  </tableColumns>
  <tableStyleInfo name="pvals-style" showColumnStripes="0" showFirstColumn="1" showLastColumn="1" showRowStripes="1"/>
</table>
</file>

<file path=xl/tables/table2.xml><?xml version="1.0" encoding="utf-8"?>
<table xmlns="http://schemas.openxmlformats.org/spreadsheetml/2006/main" headerRowCount="0" ref="L141:L188" displayName="Table_1" name="Table_1" id="2">
  <tableColumns count="1">
    <tableColumn name="Column1" id="1"/>
  </tableColumns>
  <tableStyleInfo name="pvals-style 2" showColumnStripes="0" showFirstColumn="1" showLastColumn="1" showRowStripes="1"/>
</table>
</file>

<file path=xl/tables/table3.xml><?xml version="1.0" encoding="utf-8"?>
<table xmlns="http://schemas.openxmlformats.org/spreadsheetml/2006/main" headerRowCount="0" ref="M141:M186" displayName="Table_2" name="Table_2" id="3">
  <tableColumns count="1">
    <tableColumn name="Column1" id="1"/>
  </tableColumns>
  <tableStyleInfo name="pvals-style 3" showColumnStripes="0" showFirstColumn="1" showLastColumn="1" showRowStripes="1"/>
</table>
</file>

<file path=xl/tables/table4.xml><?xml version="1.0" encoding="utf-8"?>
<table xmlns="http://schemas.openxmlformats.org/spreadsheetml/2006/main" ref="A189:J256" displayName="Table3" name="Table3" id="4">
  <tableColumns count="10">
    <tableColumn name="Name" id="1"/>
    <tableColumn name="Name 2" id="2"/>
    <tableColumn name="HMDB ID" id="3"/>
    <tableColumn name="Accurate mass (Da)" id="4"/>
    <tableColumn name="Dansylated mass (Da)" id="5"/>
    <tableColumn name="Library retention time (min)" id="6"/>
    <tableColumn name="Average Peak Pair Ratio (Control)" id="7"/>
    <tableColumn name="Average Peak Pair Ratio (PD)" id="8"/>
    <tableColumn name="Fold change" id="9"/>
    <tableColumn name="p value" id="10"/>
  </tableColumns>
  <tableStyleInfo name="pvals-style 4" showColumnStripes="0" showFirstColumn="1" showLastColumn="1" showRowStripes="1"/>
</table>
</file>

<file path=xl/tables/table5.xml><?xml version="1.0" encoding="utf-8"?>
<table xmlns="http://schemas.openxmlformats.org/spreadsheetml/2006/main" headerRowCount="0" ref="E940:I1005" displayName="Table_3" name="Table_3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metabolites_exp-style" showColumnStripes="0" showFirstColumn="1" showLastColumn="1" showRowStripes="1"/>
</table>
</file>

<file path=xl/tables/table6.xml><?xml version="1.0" encoding="utf-8"?>
<table xmlns="http://schemas.openxmlformats.org/spreadsheetml/2006/main" headerRowCount="0" ref="L940:L1005" displayName="Table_4" name="Table_4" id="6">
  <tableColumns count="1">
    <tableColumn name="Column1" id="1"/>
  </tableColumns>
  <tableStyleInfo name="metabolites_exp-style 2" showColumnStripes="0" showFirstColumn="1" showLastColumn="1" showRowStripes="1"/>
</table>
</file>

<file path=xl/tables/table7.xml><?xml version="1.0" encoding="utf-8"?>
<table xmlns="http://schemas.openxmlformats.org/spreadsheetml/2006/main" headerRowCount="0" ref="Z940:Z1005" displayName="Table_5" name="Table_5" id="7">
  <tableColumns count="1">
    <tableColumn name="Column1" id="1"/>
  </tableColumns>
  <tableStyleInfo name="metabolites_exp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arkinsonsroadmap.org/report/lc-ms-analysis-of-plasma-samples-from-ppmi/" TargetMode="External"/><Relationship Id="rId22" Type="http://schemas.openxmlformats.org/officeDocument/2006/relationships/hyperlink" Target="https://pubmed.ncbi.nlm.nih.gov/29123078/" TargetMode="External"/><Relationship Id="rId21" Type="http://schemas.openxmlformats.org/officeDocument/2006/relationships/hyperlink" Target="https://pubs.acs.org/doi/10.1021/acs.jproteome.4c00995" TargetMode="External"/><Relationship Id="rId24" Type="http://schemas.openxmlformats.org/officeDocument/2006/relationships/hyperlink" Target="https://www.sciencedirect.com/science/article/pii/S1570023217319050?via%3Dihub" TargetMode="External"/><Relationship Id="rId23" Type="http://schemas.openxmlformats.org/officeDocument/2006/relationships/hyperlink" Target="https://pmc.ncbi.nlm.nih.gov/articles/PMC10927779/" TargetMode="External"/><Relationship Id="rId1" Type="http://schemas.openxmlformats.org/officeDocument/2006/relationships/hyperlink" Target="https://www.ebi.ac.uk/metabolights/editor/MTBLS670/metabolites" TargetMode="External"/><Relationship Id="rId2" Type="http://schemas.openxmlformats.org/officeDocument/2006/relationships/hyperlink" Target="https://www.ebi.ac.uk/metabolights/editor/MTBLS1219/metabolites" TargetMode="External"/><Relationship Id="rId3" Type="http://schemas.openxmlformats.org/officeDocument/2006/relationships/hyperlink" Target="https://tsapps.nist.gov/srmext/certificates/1950.pdf" TargetMode="External"/><Relationship Id="rId4" Type="http://schemas.openxmlformats.org/officeDocument/2006/relationships/hyperlink" Target="https://pmc.ncbi.nlm.nih.gov/articles/PMC5114847/" TargetMode="External"/><Relationship Id="rId9" Type="http://schemas.openxmlformats.org/officeDocument/2006/relationships/hyperlink" Target="https://www.metabolomicsworkbench.org/data/DRCCStudySummary.php?Mode=SetupRawDataDownload&amp;StudyID=ST003159" TargetMode="External"/><Relationship Id="rId26" Type="http://schemas.openxmlformats.org/officeDocument/2006/relationships/hyperlink" Target="https://pubs.acs.org/doi/10.1021/acs.jproteome.1c00374?goto=supporting-info" TargetMode="External"/><Relationship Id="rId25" Type="http://schemas.openxmlformats.org/officeDocument/2006/relationships/hyperlink" Target="https://www.sciencedirect.com/science/article/pii/S0003269714001122?via%3Dihub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pubmed.ncbi.nlm.nih.gov/24769800/" TargetMode="External"/><Relationship Id="rId5" Type="http://schemas.openxmlformats.org/officeDocument/2006/relationships/hyperlink" Target="https://www.ebi.ac.uk/metabolights/editor/MTBLS11987/metabolites" TargetMode="External"/><Relationship Id="rId6" Type="http://schemas.openxmlformats.org/officeDocument/2006/relationships/hyperlink" Target="https://www.ebi.ac.uk/metabolights/editor/MTBLS13031/metabolites" TargetMode="External"/><Relationship Id="rId7" Type="http://schemas.openxmlformats.org/officeDocument/2006/relationships/hyperlink" Target="https://www.ebi.ac.uk/metabolights/editor/MTBLS13030/metabolites" TargetMode="External"/><Relationship Id="rId8" Type="http://schemas.openxmlformats.org/officeDocument/2006/relationships/hyperlink" Target="https://www.metabolomicsworkbench.org/data/show_metabolites_by_study.php?STUDY_ID=ST001814&amp;SEARCH_TYPE=KNOWN&amp;STUDY_TYPE=MS&amp;RESULT_TYPE=5" TargetMode="External"/><Relationship Id="rId11" Type="http://schemas.openxmlformats.org/officeDocument/2006/relationships/hyperlink" Target="https://www.ebi.ac.uk/metabolights/editor/MTBLS2421/overview" TargetMode="External"/><Relationship Id="rId10" Type="http://schemas.openxmlformats.org/officeDocument/2006/relationships/hyperlink" Target="https://www.metabolomicsworkbench.org/data/show_metabolites_by_study.php?STUDY_ID=ST004058&amp;SEARCH_TYPE=KNOWN&amp;STUDY_TYPE=MS&amp;RESULT_TYPE=1" TargetMode="External"/><Relationship Id="rId13" Type="http://schemas.openxmlformats.org/officeDocument/2006/relationships/hyperlink" Target="https://pubmed.ncbi.nlm.nih.gov/41516425/" TargetMode="External"/><Relationship Id="rId12" Type="http://schemas.openxmlformats.org/officeDocument/2006/relationships/hyperlink" Target="https://pubmed.ncbi.nlm.nih.gov/38115046/" TargetMode="External"/><Relationship Id="rId15" Type="http://schemas.openxmlformats.org/officeDocument/2006/relationships/hyperlink" Target="https://doi.org/10.1371/journal.pone.0077629" TargetMode="External"/><Relationship Id="rId14" Type="http://schemas.openxmlformats.org/officeDocument/2006/relationships/hyperlink" Target="https://pubmed.ncbi.nlm.nih.gov/24167579/" TargetMode="External"/><Relationship Id="rId17" Type="http://schemas.openxmlformats.org/officeDocument/2006/relationships/hyperlink" Target="https://pmc.ncbi.nlm.nih.gov/articles/PMC5544708/" TargetMode="External"/><Relationship Id="rId16" Type="http://schemas.openxmlformats.org/officeDocument/2006/relationships/hyperlink" Target="https://pubmed.ncbi.nlm.nih.gov/28779141/" TargetMode="External"/><Relationship Id="rId19" Type="http://schemas.openxmlformats.org/officeDocument/2006/relationships/hyperlink" Target="https://www.nature.com/articles/s41467-025-60595-7" TargetMode="External"/><Relationship Id="rId18" Type="http://schemas.openxmlformats.org/officeDocument/2006/relationships/hyperlink" Target="https://pmc.ncbi.nlm.nih.gov/articles/PMC12249730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mc.ncbi.nlm.nih.gov/articles/PMC3776817/table/pone-0073094-t002/" TargetMode="External"/><Relationship Id="rId2" Type="http://schemas.openxmlformats.org/officeDocument/2006/relationships/hyperlink" Target="https://pubmed.ncbi.nlm.nih.gov/28880465/" TargetMode="External"/><Relationship Id="rId3" Type="http://schemas.openxmlformats.org/officeDocument/2006/relationships/drawing" Target="../drawings/drawing2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mc.ncbi.nlm.nih.gov/articles/PMC3776817/table/pone-0073094-t002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28880465/" TargetMode="External"/><Relationship Id="rId2" Type="http://schemas.openxmlformats.org/officeDocument/2006/relationships/hyperlink" Target="https://pubmed.ncbi.nlm.nih.gov/24167579/" TargetMode="External"/><Relationship Id="rId3" Type="http://schemas.openxmlformats.org/officeDocument/2006/relationships/drawing" Target="../drawings/drawing4.x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mc.ncbi.nlm.nih.gov/articles/PMC3776817/table/pone-0073094-t002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4577635/" TargetMode="External"/><Relationship Id="rId2" Type="http://schemas.openxmlformats.org/officeDocument/2006/relationships/hyperlink" Target="https://pubmed.ncbi.nlm.nih.gov/37335671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etabolomicsworkbench.org/data/metabolite_id_show.php?METABOLITE_ID=ME418658" TargetMode="External"/><Relationship Id="rId42" Type="http://schemas.openxmlformats.org/officeDocument/2006/relationships/hyperlink" Target="https://www.metabolomicsworkbench.org/data/metabolite_id_show.php?METABOLITE_ID=ME418643" TargetMode="External"/><Relationship Id="rId41" Type="http://schemas.openxmlformats.org/officeDocument/2006/relationships/hyperlink" Target="https://www.metabolomicsworkbench.org/data/metabolite_id_show.php?METABOLITE_ID=ME418648" TargetMode="External"/><Relationship Id="rId44" Type="http://schemas.openxmlformats.org/officeDocument/2006/relationships/hyperlink" Target="https://www.metabolomicsworkbench.org/data/metabolite_id_show.php?METABOLITE_ID=ME418656" TargetMode="External"/><Relationship Id="rId43" Type="http://schemas.openxmlformats.org/officeDocument/2006/relationships/hyperlink" Target="https://www.metabolomicsworkbench.org/data/metabolite_id_show.php?METABOLITE_ID=ME418659" TargetMode="External"/><Relationship Id="rId46" Type="http://schemas.openxmlformats.org/officeDocument/2006/relationships/hyperlink" Target="https://www.metabolomicsworkbench.org/data/metabolite_id_show.php?METABOLITE_ID=ME418695" TargetMode="External"/><Relationship Id="rId45" Type="http://schemas.openxmlformats.org/officeDocument/2006/relationships/hyperlink" Target="https://www.metabolomicsworkbench.org/data/metabolite_id_show.php?METABOLITE_ID=ME418664" TargetMode="External"/><Relationship Id="rId1" Type="http://schemas.openxmlformats.org/officeDocument/2006/relationships/hyperlink" Target="https://www.metabolomicsworkbench.org/data/metabolite_id_show.php?METABOLITE_ID=ME418678" TargetMode="External"/><Relationship Id="rId2" Type="http://schemas.openxmlformats.org/officeDocument/2006/relationships/hyperlink" Target="https://www.metabolomicsworkbench.org/data/metabolite_id_show.php?METABOLITE_ID=ME418644" TargetMode="External"/><Relationship Id="rId3" Type="http://schemas.openxmlformats.org/officeDocument/2006/relationships/hyperlink" Target="https://www.metabolomicsworkbench.org/data/metabolite_id_show.php?METABOLITE_ID=ME418669" TargetMode="External"/><Relationship Id="rId4" Type="http://schemas.openxmlformats.org/officeDocument/2006/relationships/hyperlink" Target="https://www.metabolomicsworkbench.org/data/metabolite_id_show.php?METABOLITE_ID=ME418691" TargetMode="External"/><Relationship Id="rId9" Type="http://schemas.openxmlformats.org/officeDocument/2006/relationships/hyperlink" Target="https://www.metabolomicsworkbench.org/data/metabolite_id_show.php?METABOLITE_ID=ME418666" TargetMode="External"/><Relationship Id="rId48" Type="http://schemas.openxmlformats.org/officeDocument/2006/relationships/hyperlink" Target="https://www.metabolomicsworkbench.org/data/metabolite_id_show.php?METABOLITE_ID=ME418671" TargetMode="External"/><Relationship Id="rId47" Type="http://schemas.openxmlformats.org/officeDocument/2006/relationships/hyperlink" Target="https://www.metabolomicsworkbench.org/data/metabolite_id_show.php?METABOLITE_ID=ME418682" TargetMode="External"/><Relationship Id="rId49" Type="http://schemas.openxmlformats.org/officeDocument/2006/relationships/hyperlink" Target="https://www.metabolomicsworkbench.org/data/metabolite_id_show.php?METABOLITE_ID=ME418651" TargetMode="External"/><Relationship Id="rId5" Type="http://schemas.openxmlformats.org/officeDocument/2006/relationships/hyperlink" Target="https://www.metabolomicsworkbench.org/data/metabolite_id_show.php?METABOLITE_ID=ME418642" TargetMode="External"/><Relationship Id="rId6" Type="http://schemas.openxmlformats.org/officeDocument/2006/relationships/hyperlink" Target="https://www.metabolomicsworkbench.org/data/metabolite_id_show.php?METABOLITE_ID=ME418685" TargetMode="External"/><Relationship Id="rId7" Type="http://schemas.openxmlformats.org/officeDocument/2006/relationships/hyperlink" Target="https://www.metabolomicsworkbench.org/data/metabolite_id_show.php?METABOLITE_ID=ME418663" TargetMode="External"/><Relationship Id="rId8" Type="http://schemas.openxmlformats.org/officeDocument/2006/relationships/hyperlink" Target="https://www.metabolomicsworkbench.org/data/metabolite_id_show.php?METABOLITE_ID=ME418692" TargetMode="External"/><Relationship Id="rId31" Type="http://schemas.openxmlformats.org/officeDocument/2006/relationships/hyperlink" Target="https://www.metabolomicsworkbench.org/data/metabolite_id_show.php?METABOLITE_ID=ME418684" TargetMode="External"/><Relationship Id="rId30" Type="http://schemas.openxmlformats.org/officeDocument/2006/relationships/hyperlink" Target="https://www.metabolomicsworkbench.org/data/metabolite_id_show.php?METABOLITE_ID=ME418652" TargetMode="External"/><Relationship Id="rId33" Type="http://schemas.openxmlformats.org/officeDocument/2006/relationships/hyperlink" Target="https://www.metabolomicsworkbench.org/data/metabolite_id_show.php?METABOLITE_ID=ME418701" TargetMode="External"/><Relationship Id="rId32" Type="http://schemas.openxmlformats.org/officeDocument/2006/relationships/hyperlink" Target="https://www.metabolomicsworkbench.org/data/metabolite_id_show.php?METABOLITE_ID=ME418680" TargetMode="External"/><Relationship Id="rId35" Type="http://schemas.openxmlformats.org/officeDocument/2006/relationships/hyperlink" Target="https://www.metabolomicsworkbench.org/data/metabolite_id_show.php?METABOLITE_ID=ME418675" TargetMode="External"/><Relationship Id="rId34" Type="http://schemas.openxmlformats.org/officeDocument/2006/relationships/hyperlink" Target="https://www.metabolomicsworkbench.org/data/metabolite_id_show.php?METABOLITE_ID=ME418665" TargetMode="External"/><Relationship Id="rId37" Type="http://schemas.openxmlformats.org/officeDocument/2006/relationships/hyperlink" Target="https://www.metabolomicsworkbench.org/data/metabolite_id_show.php?METABOLITE_ID=ME418672" TargetMode="External"/><Relationship Id="rId36" Type="http://schemas.openxmlformats.org/officeDocument/2006/relationships/hyperlink" Target="https://www.metabolomicsworkbench.org/data/metabolite_id_show.php?METABOLITE_ID=ME418690" TargetMode="External"/><Relationship Id="rId39" Type="http://schemas.openxmlformats.org/officeDocument/2006/relationships/hyperlink" Target="https://www.metabolomicsworkbench.org/data/metabolite_id_show.php?METABOLITE_ID=ME418647" TargetMode="External"/><Relationship Id="rId38" Type="http://schemas.openxmlformats.org/officeDocument/2006/relationships/hyperlink" Target="https://www.metabolomicsworkbench.org/data/metabolite_id_show.php?METABOLITE_ID=ME418655" TargetMode="External"/><Relationship Id="rId61" Type="http://schemas.openxmlformats.org/officeDocument/2006/relationships/drawing" Target="../drawings/drawing8.xml"/><Relationship Id="rId20" Type="http://schemas.openxmlformats.org/officeDocument/2006/relationships/hyperlink" Target="https://www.metabolomicsworkbench.org/data/metabolite_id_show.php?METABOLITE_ID=ME418660" TargetMode="External"/><Relationship Id="rId22" Type="http://schemas.openxmlformats.org/officeDocument/2006/relationships/hyperlink" Target="https://www.metabolomicsworkbench.org/data/metabolite_id_show.php?METABOLITE_ID=ME418667" TargetMode="External"/><Relationship Id="rId21" Type="http://schemas.openxmlformats.org/officeDocument/2006/relationships/hyperlink" Target="https://www.metabolomicsworkbench.org/data/metabolite_id_show.php?METABOLITE_ID=ME418693" TargetMode="External"/><Relationship Id="rId24" Type="http://schemas.openxmlformats.org/officeDocument/2006/relationships/hyperlink" Target="https://www.metabolomicsworkbench.org/data/metabolite_id_show.php?METABOLITE_ID=ME418699" TargetMode="External"/><Relationship Id="rId23" Type="http://schemas.openxmlformats.org/officeDocument/2006/relationships/hyperlink" Target="https://www.metabolomicsworkbench.org/data/metabolite_id_show.php?METABOLITE_ID=ME418677" TargetMode="External"/><Relationship Id="rId60" Type="http://schemas.openxmlformats.org/officeDocument/2006/relationships/hyperlink" Target="https://www.metabolomicsworkbench.org/data/show_metabolites_by_study.php?STUDY_ID=ST001814&amp;STUDY_TYPE=&amp;RESULT_TYPE=" TargetMode="External"/><Relationship Id="rId26" Type="http://schemas.openxmlformats.org/officeDocument/2006/relationships/hyperlink" Target="https://www.metabolomicsworkbench.org/data/metabolite_id_show.php?METABOLITE_ID=ME418646" TargetMode="External"/><Relationship Id="rId25" Type="http://schemas.openxmlformats.org/officeDocument/2006/relationships/hyperlink" Target="https://www.metabolomicsworkbench.org/data/metabolite_id_show.php?METABOLITE_ID=ME418681" TargetMode="External"/><Relationship Id="rId28" Type="http://schemas.openxmlformats.org/officeDocument/2006/relationships/hyperlink" Target="https://www.metabolomicsworkbench.org/data/metabolite_id_show.php?METABOLITE_ID=ME418679" TargetMode="External"/><Relationship Id="rId27" Type="http://schemas.openxmlformats.org/officeDocument/2006/relationships/hyperlink" Target="https://www.metabolomicsworkbench.org/data/metabolite_id_show.php?METABOLITE_ID=ME418676" TargetMode="External"/><Relationship Id="rId29" Type="http://schemas.openxmlformats.org/officeDocument/2006/relationships/hyperlink" Target="https://www.metabolomicsworkbench.org/data/metabolite_id_show.php?METABOLITE_ID=ME418645" TargetMode="External"/><Relationship Id="rId51" Type="http://schemas.openxmlformats.org/officeDocument/2006/relationships/hyperlink" Target="https://www.metabolomicsworkbench.org/data/metabolite_id_show.php?METABOLITE_ID=ME418649" TargetMode="External"/><Relationship Id="rId50" Type="http://schemas.openxmlformats.org/officeDocument/2006/relationships/hyperlink" Target="https://www.metabolomicsworkbench.org/data/metabolite_id_show.php?METABOLITE_ID=ME418673" TargetMode="External"/><Relationship Id="rId53" Type="http://schemas.openxmlformats.org/officeDocument/2006/relationships/hyperlink" Target="https://www.metabolomicsworkbench.org/data/metabolite_id_show.php?METABOLITE_ID=ME418654" TargetMode="External"/><Relationship Id="rId52" Type="http://schemas.openxmlformats.org/officeDocument/2006/relationships/hyperlink" Target="https://www.metabolomicsworkbench.org/data/metabolite_id_show.php?METABOLITE_ID=ME418698" TargetMode="External"/><Relationship Id="rId11" Type="http://schemas.openxmlformats.org/officeDocument/2006/relationships/hyperlink" Target="https://www.metabolomicsworkbench.org/data/metabolite_id_show.php?METABOLITE_ID=ME418689" TargetMode="External"/><Relationship Id="rId55" Type="http://schemas.openxmlformats.org/officeDocument/2006/relationships/hyperlink" Target="https://www.metabolomicsworkbench.org/data/metabolite_id_show.php?METABOLITE_ID=ME418700" TargetMode="External"/><Relationship Id="rId10" Type="http://schemas.openxmlformats.org/officeDocument/2006/relationships/hyperlink" Target="https://www.metabolomicsworkbench.org/data/metabolite_id_show.php?METABOLITE_ID=ME418687" TargetMode="External"/><Relationship Id="rId54" Type="http://schemas.openxmlformats.org/officeDocument/2006/relationships/hyperlink" Target="https://www.metabolomicsworkbench.org/data/metabolite_id_show.php?METABOLITE_ID=ME418650" TargetMode="External"/><Relationship Id="rId13" Type="http://schemas.openxmlformats.org/officeDocument/2006/relationships/hyperlink" Target="https://www.metabolomicsworkbench.org/data/metabolite_id_show.php?METABOLITE_ID=ME418653" TargetMode="External"/><Relationship Id="rId57" Type="http://schemas.openxmlformats.org/officeDocument/2006/relationships/hyperlink" Target="https://www.metabolomicsworkbench.org/data/metabolite_id_show.php?METABOLITE_ID=ME418661" TargetMode="External"/><Relationship Id="rId12" Type="http://schemas.openxmlformats.org/officeDocument/2006/relationships/hyperlink" Target="https://www.metabolomicsworkbench.org/data/metabolite_id_show.php?METABOLITE_ID=ME418674" TargetMode="External"/><Relationship Id="rId56" Type="http://schemas.openxmlformats.org/officeDocument/2006/relationships/hyperlink" Target="https://www.metabolomicsworkbench.org/data/metabolite_id_show.php?METABOLITE_ID=ME418696" TargetMode="External"/><Relationship Id="rId15" Type="http://schemas.openxmlformats.org/officeDocument/2006/relationships/hyperlink" Target="https://www.metabolomicsworkbench.org/data/metabolite_id_show.php?METABOLITE_ID=ME418688" TargetMode="External"/><Relationship Id="rId59" Type="http://schemas.openxmlformats.org/officeDocument/2006/relationships/hyperlink" Target="https://www.metabolomicsworkbench.org/data/metabolite_id_show.php?METABOLITE_ID=ME418694" TargetMode="External"/><Relationship Id="rId14" Type="http://schemas.openxmlformats.org/officeDocument/2006/relationships/hyperlink" Target="https://www.metabolomicsworkbench.org/data/metabolite_id_show.php?METABOLITE_ID=ME418683" TargetMode="External"/><Relationship Id="rId58" Type="http://schemas.openxmlformats.org/officeDocument/2006/relationships/hyperlink" Target="https://www.metabolomicsworkbench.org/data/metabolite_id_show.php?METABOLITE_ID=ME418697" TargetMode="External"/><Relationship Id="rId17" Type="http://schemas.openxmlformats.org/officeDocument/2006/relationships/hyperlink" Target="https://www.metabolomicsworkbench.org/data/metabolite_id_show.php?METABOLITE_ID=ME418657" TargetMode="External"/><Relationship Id="rId16" Type="http://schemas.openxmlformats.org/officeDocument/2006/relationships/hyperlink" Target="https://www.metabolomicsworkbench.org/data/metabolite_id_show.php?METABOLITE_ID=ME418662" TargetMode="External"/><Relationship Id="rId19" Type="http://schemas.openxmlformats.org/officeDocument/2006/relationships/hyperlink" Target="https://www.metabolomicsworkbench.org/data/metabolite_id_show.php?METABOLITE_ID=ME418670" TargetMode="External"/><Relationship Id="rId18" Type="http://schemas.openxmlformats.org/officeDocument/2006/relationships/hyperlink" Target="https://www.metabolomicsworkbench.org/data/metabolite_id_show.php?METABOLITE_ID=ME4186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21.43"/>
    <col customWidth="1" min="4" max="4" width="12.29"/>
    <col customWidth="1" min="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M1" s="1" t="s">
        <v>6</v>
      </c>
      <c r="N1" s="1" t="s">
        <v>7</v>
      </c>
      <c r="Q1" s="2" t="s">
        <v>8</v>
      </c>
    </row>
    <row r="2">
      <c r="A2" s="1" t="s">
        <v>9</v>
      </c>
      <c r="B2" s="3" t="s">
        <v>10</v>
      </c>
      <c r="C2" s="4" t="s">
        <v>11</v>
      </c>
      <c r="D2" s="1" t="s">
        <v>12</v>
      </c>
      <c r="E2" s="1" t="s">
        <v>13</v>
      </c>
      <c r="M2" s="1" t="s">
        <v>14</v>
      </c>
      <c r="N2" s="1" t="s">
        <v>15</v>
      </c>
    </row>
    <row r="3">
      <c r="A3" s="1" t="s">
        <v>9</v>
      </c>
      <c r="B3" s="5" t="s">
        <v>16</v>
      </c>
      <c r="C3" s="6" t="s">
        <v>17</v>
      </c>
      <c r="D3" s="1" t="s">
        <v>12</v>
      </c>
      <c r="E3" s="1" t="s">
        <v>13</v>
      </c>
      <c r="M3" s="1" t="s">
        <v>14</v>
      </c>
    </row>
    <row r="4">
      <c r="A4" s="1" t="s">
        <v>18</v>
      </c>
      <c r="B4" s="1" t="s">
        <v>19</v>
      </c>
      <c r="C4" s="4" t="s">
        <v>20</v>
      </c>
      <c r="D4" s="1" t="s">
        <v>12</v>
      </c>
      <c r="E4" s="1" t="s">
        <v>21</v>
      </c>
      <c r="F4" s="7" t="s">
        <v>22</v>
      </c>
      <c r="M4" s="1" t="s">
        <v>23</v>
      </c>
      <c r="N4" s="1">
        <v>866.0</v>
      </c>
      <c r="O4" s="1" t="s">
        <v>24</v>
      </c>
      <c r="Q4" s="2">
        <v>20.0</v>
      </c>
      <c r="R4" s="2"/>
    </row>
    <row r="5">
      <c r="A5" s="1" t="s">
        <v>25</v>
      </c>
      <c r="C5" s="4" t="s">
        <v>26</v>
      </c>
      <c r="D5" s="1" t="s">
        <v>27</v>
      </c>
      <c r="E5" s="1" t="s">
        <v>28</v>
      </c>
      <c r="F5" s="7" t="s">
        <v>29</v>
      </c>
      <c r="M5" s="1" t="s">
        <v>23</v>
      </c>
      <c r="N5" s="1">
        <v>3.0</v>
      </c>
      <c r="Q5" s="2">
        <v>46.0</v>
      </c>
      <c r="R5" s="2"/>
    </row>
    <row r="6">
      <c r="A6" s="8" t="s">
        <v>30</v>
      </c>
      <c r="B6" s="8"/>
      <c r="C6" s="8"/>
      <c r="D6" s="8" t="s">
        <v>31</v>
      </c>
      <c r="E6" s="8" t="s">
        <v>32</v>
      </c>
      <c r="F6" s="9" t="s">
        <v>33</v>
      </c>
      <c r="G6" s="8"/>
      <c r="H6" s="8"/>
      <c r="I6" s="8"/>
      <c r="J6" s="8"/>
      <c r="K6" s="8"/>
      <c r="L6" s="8"/>
      <c r="M6" s="8" t="s">
        <v>23</v>
      </c>
      <c r="N6" s="8"/>
      <c r="O6" s="8"/>
      <c r="P6" s="8"/>
      <c r="Q6" s="8"/>
      <c r="R6" s="10"/>
      <c r="S6" s="8"/>
      <c r="T6" s="8"/>
      <c r="U6" s="8"/>
      <c r="V6" s="8"/>
      <c r="W6" s="8"/>
      <c r="X6" s="8"/>
      <c r="Y6" s="8"/>
      <c r="Z6" s="8"/>
      <c r="AA6" s="8"/>
    </row>
    <row r="7">
      <c r="A7" s="8"/>
      <c r="B7" s="8"/>
      <c r="C7" s="8"/>
      <c r="D7" s="8"/>
      <c r="E7" s="8"/>
      <c r="F7" s="9" t="s">
        <v>34</v>
      </c>
      <c r="G7" s="8"/>
      <c r="H7" s="8"/>
      <c r="I7" s="8"/>
      <c r="J7" s="8"/>
      <c r="K7" s="8"/>
      <c r="L7" s="8"/>
      <c r="M7" s="8" t="s">
        <v>23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1" t="s">
        <v>35</v>
      </c>
      <c r="B8" s="11"/>
      <c r="C8" s="12" t="s">
        <v>36</v>
      </c>
      <c r="D8" s="11" t="s">
        <v>37</v>
      </c>
      <c r="E8" s="11" t="s">
        <v>21</v>
      </c>
      <c r="F8" s="13" t="s">
        <v>38</v>
      </c>
      <c r="G8" s="11"/>
      <c r="H8" s="11"/>
      <c r="I8" s="11"/>
      <c r="J8" s="11"/>
      <c r="K8" s="11"/>
      <c r="L8" s="11"/>
      <c r="M8" s="11" t="s">
        <v>39</v>
      </c>
      <c r="N8" s="11">
        <v>125.0</v>
      </c>
      <c r="O8" s="11"/>
      <c r="P8" s="11"/>
      <c r="Q8" s="14">
        <v>67.0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 t="s">
        <v>25</v>
      </c>
      <c r="B9" s="11"/>
      <c r="C9" s="12" t="s">
        <v>40</v>
      </c>
      <c r="D9" s="11" t="s">
        <v>37</v>
      </c>
      <c r="E9" s="11" t="s">
        <v>21</v>
      </c>
      <c r="F9" s="13" t="s">
        <v>41</v>
      </c>
      <c r="G9" s="11"/>
      <c r="H9" s="11"/>
      <c r="I9" s="11"/>
      <c r="J9" s="11"/>
      <c r="K9" s="11"/>
      <c r="L9" s="11"/>
      <c r="M9" s="11" t="s">
        <v>39</v>
      </c>
      <c r="N9" s="11">
        <v>85.0</v>
      </c>
      <c r="O9" s="11"/>
      <c r="P9" s="11"/>
      <c r="Q9" s="14">
        <v>26.0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" t="s">
        <v>25</v>
      </c>
      <c r="C10" s="4" t="s">
        <v>42</v>
      </c>
      <c r="D10" s="1" t="s">
        <v>37</v>
      </c>
      <c r="E10" s="1" t="s">
        <v>21</v>
      </c>
      <c r="F10" s="7" t="s">
        <v>43</v>
      </c>
      <c r="M10" s="1" t="s">
        <v>39</v>
      </c>
      <c r="N10" s="1">
        <v>1944.0</v>
      </c>
      <c r="Q10" s="2">
        <v>26.0</v>
      </c>
    </row>
    <row r="11">
      <c r="A11" s="1" t="s">
        <v>44</v>
      </c>
      <c r="C11" s="15" t="s">
        <v>45</v>
      </c>
      <c r="D11" s="1" t="s">
        <v>27</v>
      </c>
      <c r="F11" s="7" t="s">
        <v>46</v>
      </c>
      <c r="M11" s="1" t="s">
        <v>23</v>
      </c>
      <c r="N11" s="1">
        <v>74.0</v>
      </c>
      <c r="Q11" s="2">
        <v>79.0</v>
      </c>
    </row>
    <row r="12">
      <c r="A12" s="16" t="s">
        <v>44</v>
      </c>
      <c r="B12" s="16"/>
      <c r="C12" s="17" t="s">
        <v>47</v>
      </c>
      <c r="D12" s="16"/>
      <c r="E12" s="16"/>
      <c r="F12" s="18" t="s">
        <v>48</v>
      </c>
      <c r="G12" s="16"/>
      <c r="H12" s="16"/>
      <c r="I12" s="16"/>
      <c r="J12" s="16"/>
      <c r="K12" s="16"/>
      <c r="L12" s="16"/>
      <c r="M12" s="16" t="s">
        <v>39</v>
      </c>
      <c r="N12" s="16">
        <v>43.0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8" t="s">
        <v>44</v>
      </c>
      <c r="B13" s="8"/>
      <c r="C13" s="19" t="s">
        <v>49</v>
      </c>
      <c r="D13" s="8" t="s">
        <v>37</v>
      </c>
      <c r="E13" s="8"/>
      <c r="F13" s="9" t="s">
        <v>50</v>
      </c>
      <c r="G13" s="8"/>
      <c r="H13" s="8"/>
      <c r="I13" s="8"/>
      <c r="J13" s="8"/>
      <c r="K13" s="8"/>
      <c r="L13" s="8"/>
      <c r="M13" s="8" t="s">
        <v>39</v>
      </c>
      <c r="N13" s="8" t="s">
        <v>51</v>
      </c>
      <c r="O13" s="8"/>
      <c r="P13" s="8"/>
      <c r="Q13" s="8" t="s">
        <v>52</v>
      </c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1" t="s">
        <v>35</v>
      </c>
      <c r="B14" s="11"/>
      <c r="C14" s="11" t="s">
        <v>53</v>
      </c>
      <c r="D14" s="11" t="s">
        <v>37</v>
      </c>
      <c r="E14" s="11" t="s">
        <v>21</v>
      </c>
      <c r="F14" s="13" t="s">
        <v>54</v>
      </c>
      <c r="G14" s="11"/>
      <c r="H14" s="11"/>
      <c r="I14" s="11"/>
      <c r="J14" s="11"/>
      <c r="K14" s="11"/>
      <c r="L14" s="11"/>
      <c r="M14" s="11" t="s">
        <v>23</v>
      </c>
      <c r="N14" s="11" t="s">
        <v>55</v>
      </c>
      <c r="O14" s="11"/>
      <c r="P14" s="11"/>
      <c r="Q14" s="14">
        <v>60.0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" t="s">
        <v>56</v>
      </c>
      <c r="C15" s="20" t="s">
        <v>57</v>
      </c>
      <c r="D15" s="1" t="s">
        <v>58</v>
      </c>
      <c r="E15" s="1" t="s">
        <v>59</v>
      </c>
      <c r="M15" s="1" t="s">
        <v>39</v>
      </c>
      <c r="N15" s="1" t="s">
        <v>60</v>
      </c>
      <c r="Q15" s="2">
        <v>1011.0</v>
      </c>
    </row>
    <row r="16">
      <c r="A16" s="8" t="s">
        <v>61</v>
      </c>
      <c r="B16" s="8"/>
      <c r="C16" s="21" t="s">
        <v>62</v>
      </c>
      <c r="D16" s="8" t="s">
        <v>63</v>
      </c>
      <c r="E16" s="8" t="s">
        <v>32</v>
      </c>
      <c r="F16" s="8"/>
      <c r="G16" s="8"/>
      <c r="H16" s="8"/>
      <c r="I16" s="8"/>
      <c r="J16" s="8"/>
      <c r="K16" s="8"/>
      <c r="L16" s="8"/>
      <c r="M16" s="8" t="s">
        <v>39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5.5" customHeight="1">
      <c r="A17" s="16" t="s">
        <v>61</v>
      </c>
      <c r="B17" s="16"/>
      <c r="C17" s="20" t="s">
        <v>64</v>
      </c>
      <c r="D17" s="16" t="s">
        <v>65</v>
      </c>
      <c r="E17" s="16" t="s">
        <v>66</v>
      </c>
      <c r="F17" s="22" t="s">
        <v>67</v>
      </c>
      <c r="G17" s="16"/>
      <c r="H17" s="16"/>
      <c r="I17" s="16"/>
      <c r="J17" s="16"/>
      <c r="K17" s="16"/>
      <c r="L17" s="16"/>
      <c r="M17" s="16" t="s">
        <v>39</v>
      </c>
      <c r="N17" s="16"/>
      <c r="O17" s="16"/>
      <c r="P17" s="16"/>
      <c r="Q17" s="23">
        <v>233.0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8" t="s">
        <v>61</v>
      </c>
      <c r="B18" s="8"/>
      <c r="C18" s="9" t="s">
        <v>68</v>
      </c>
      <c r="D18" s="8"/>
      <c r="E18" s="8"/>
      <c r="F18" s="9" t="s">
        <v>69</v>
      </c>
      <c r="G18" s="8"/>
      <c r="H18" s="8"/>
      <c r="I18" s="8"/>
      <c r="J18" s="8"/>
      <c r="K18" s="8"/>
      <c r="L18" s="8"/>
      <c r="M18" s="8" t="s">
        <v>23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 t="s">
        <v>56</v>
      </c>
      <c r="B19" s="8"/>
      <c r="C19" s="24" t="s">
        <v>70</v>
      </c>
      <c r="D19" s="8" t="s">
        <v>71</v>
      </c>
      <c r="E19" s="8"/>
      <c r="F19" s="8"/>
      <c r="G19" s="8"/>
      <c r="H19" s="8"/>
      <c r="I19" s="8"/>
      <c r="J19" s="8"/>
      <c r="K19" s="8"/>
      <c r="L19" s="8"/>
      <c r="M19" s="8" t="s">
        <v>23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5" t="s">
        <v>61</v>
      </c>
      <c r="B20" s="25"/>
      <c r="C20" s="26" t="s">
        <v>72</v>
      </c>
      <c r="D20" s="25" t="s">
        <v>73</v>
      </c>
      <c r="E20" s="25"/>
      <c r="F20" s="27" t="s">
        <v>74</v>
      </c>
      <c r="G20" s="25"/>
      <c r="H20" s="25"/>
      <c r="I20" s="25"/>
      <c r="J20" s="25"/>
      <c r="K20" s="25"/>
      <c r="L20" s="25"/>
      <c r="M20" s="25" t="s">
        <v>23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8" t="s">
        <v>61</v>
      </c>
      <c r="B21" s="29"/>
      <c r="C21" s="30">
        <v>4.0595564E7</v>
      </c>
      <c r="D21" s="31" t="s">
        <v>75</v>
      </c>
      <c r="E21" s="32" t="s">
        <v>66</v>
      </c>
      <c r="F21" s="33" t="s">
        <v>76</v>
      </c>
      <c r="G21" s="29"/>
      <c r="H21" s="29"/>
      <c r="I21" s="29"/>
      <c r="J21" s="29"/>
      <c r="K21" s="29"/>
      <c r="L21" s="29"/>
      <c r="M21" s="28" t="s">
        <v>23</v>
      </c>
      <c r="N21" s="32">
        <v>90.0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32">
        <v>3.8516193E7</v>
      </c>
      <c r="D22" s="32" t="s">
        <v>77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" t="s">
        <v>61</v>
      </c>
      <c r="C23" s="34">
        <v>3.582977E7</v>
      </c>
      <c r="D23" s="35" t="s">
        <v>78</v>
      </c>
      <c r="E23" s="2" t="s">
        <v>66</v>
      </c>
      <c r="M23" s="2" t="s">
        <v>23</v>
      </c>
    </row>
    <row r="24" ht="15.75" customHeight="1">
      <c r="A24" s="32" t="s">
        <v>61</v>
      </c>
      <c r="B24" s="29"/>
      <c r="C24" s="30">
        <v>4.044233E7</v>
      </c>
      <c r="D24" s="31" t="s">
        <v>79</v>
      </c>
      <c r="E24" s="29"/>
      <c r="F24" s="29"/>
      <c r="G24" s="29"/>
      <c r="H24" s="29"/>
      <c r="I24" s="29"/>
      <c r="J24" s="29"/>
      <c r="K24" s="29"/>
      <c r="L24" s="29"/>
      <c r="M24" s="32" t="s">
        <v>39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36"/>
      <c r="B25" s="36"/>
      <c r="C25" s="36"/>
      <c r="D25" s="37" t="s">
        <v>80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D26" s="38" t="s">
        <v>81</v>
      </c>
    </row>
    <row r="27" ht="15.75" customHeight="1">
      <c r="A27" s="36"/>
      <c r="B27" s="36"/>
      <c r="C27" s="36"/>
      <c r="D27" s="37" t="s">
        <v>82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C28" s="2" t="s">
        <v>83</v>
      </c>
      <c r="D28" s="38" t="s">
        <v>84</v>
      </c>
    </row>
    <row r="29" ht="12.0" customHeight="1">
      <c r="A29" s="36"/>
      <c r="B29" s="36"/>
      <c r="C29" s="36"/>
      <c r="D29" s="39" t="s">
        <v>85</v>
      </c>
      <c r="E29" s="40" t="s">
        <v>86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2" t="s">
        <v>61</v>
      </c>
      <c r="C30" s="2" t="s">
        <v>87</v>
      </c>
      <c r="D30" s="38" t="s">
        <v>88</v>
      </c>
    </row>
    <row r="31" ht="15.75" customHeight="1">
      <c r="A31" s="2" t="s">
        <v>61</v>
      </c>
      <c r="C31" s="2" t="s">
        <v>89</v>
      </c>
      <c r="D31" s="38" t="s">
        <v>90</v>
      </c>
    </row>
    <row r="32" ht="15.75" customHeight="1">
      <c r="A32" s="2" t="s">
        <v>61</v>
      </c>
      <c r="C32" s="2" t="s">
        <v>89</v>
      </c>
      <c r="D32" s="38" t="s">
        <v>91</v>
      </c>
      <c r="Q32" s="2" t="s">
        <v>92</v>
      </c>
    </row>
    <row r="33" ht="15.75" customHeight="1">
      <c r="C33" s="41">
        <v>3.4251208E7</v>
      </c>
      <c r="D33" s="38" t="s">
        <v>93</v>
      </c>
      <c r="Q33" s="2" t="s">
        <v>94</v>
      </c>
    </row>
    <row r="34" ht="15.75" customHeight="1">
      <c r="C34" s="41">
        <v>3.1053995E7</v>
      </c>
      <c r="D34" s="2" t="s">
        <v>95</v>
      </c>
    </row>
    <row r="35" ht="15.75" customHeight="1">
      <c r="C35" s="42">
        <v>2.47698E7</v>
      </c>
      <c r="D35" s="2" t="s">
        <v>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"/>
    <hyperlink r:id="rId2" ref="F5"/>
    <hyperlink r:id="rId3" ref="F6"/>
    <hyperlink r:id="rId4" location="SD1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C15"/>
    <hyperlink r:id="rId13" ref="C16"/>
    <hyperlink r:id="rId14" ref="C17"/>
    <hyperlink r:id="rId15" ref="F17"/>
    <hyperlink r:id="rId16" ref="C18"/>
    <hyperlink r:id="rId17" location="Sec2" ref="F18"/>
    <hyperlink r:id="rId18" location="notes4" ref="F20"/>
    <hyperlink r:id="rId19" ref="F21"/>
    <hyperlink r:id="rId20" ref="D26"/>
    <hyperlink r:id="rId21" ref="D28"/>
    <hyperlink r:id="rId22" ref="E29"/>
    <hyperlink r:id="rId23" location="Sec23" ref="D30"/>
    <hyperlink r:id="rId24" location="s0035" ref="D31"/>
    <hyperlink r:id="rId25" ref="D32"/>
    <hyperlink r:id="rId26" ref="D33"/>
    <hyperlink r:id="rId27" ref="C35"/>
  </hyperlinks>
  <printOptions/>
  <pageMargins bottom="0.75" footer="0.0" header="0.0" left="0.7" right="0.7" top="0.75"/>
  <pageSetup paperSize="9" orientation="portrait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6.57"/>
    <col customWidth="1" min="3" max="8" width="19.29"/>
    <col customWidth="1" min="9" max="9" width="16.57"/>
  </cols>
  <sheetData>
    <row r="1">
      <c r="A1" s="2" t="s">
        <v>97</v>
      </c>
      <c r="B1" s="43" t="s">
        <v>98</v>
      </c>
      <c r="C1" s="44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14</v>
      </c>
    </row>
    <row r="2">
      <c r="A2" s="2">
        <v>3.8516193E7</v>
      </c>
      <c r="B2" s="45" t="s">
        <v>106</v>
      </c>
      <c r="C2" s="46">
        <v>0.0</v>
      </c>
      <c r="J2" s="2" t="s">
        <v>23</v>
      </c>
    </row>
    <row r="3">
      <c r="A3" s="2">
        <v>3.8516193E7</v>
      </c>
      <c r="B3" s="45" t="s">
        <v>107</v>
      </c>
      <c r="C3" s="46">
        <v>0.0</v>
      </c>
      <c r="J3" s="2" t="s">
        <v>23</v>
      </c>
    </row>
    <row r="4">
      <c r="A4" s="2">
        <v>3.8516193E7</v>
      </c>
      <c r="B4" s="45" t="s">
        <v>108</v>
      </c>
      <c r="C4" s="46">
        <v>0.0037</v>
      </c>
      <c r="J4" s="2" t="s">
        <v>23</v>
      </c>
    </row>
    <row r="5">
      <c r="A5" s="2">
        <v>3.8516193E7</v>
      </c>
      <c r="B5" s="45" t="s">
        <v>109</v>
      </c>
      <c r="C5" s="46">
        <v>0.0</v>
      </c>
      <c r="J5" s="2" t="s">
        <v>23</v>
      </c>
    </row>
    <row r="6">
      <c r="A6" s="2">
        <v>3.8516193E7</v>
      </c>
      <c r="B6" s="45" t="s">
        <v>110</v>
      </c>
      <c r="C6" s="46">
        <v>0.0138</v>
      </c>
      <c r="J6" s="2" t="s">
        <v>23</v>
      </c>
    </row>
    <row r="7">
      <c r="A7" s="2">
        <v>3.8516193E7</v>
      </c>
      <c r="B7" s="45" t="s">
        <v>111</v>
      </c>
      <c r="C7" s="46">
        <v>0.0265</v>
      </c>
      <c r="J7" s="2" t="s">
        <v>23</v>
      </c>
    </row>
    <row r="8">
      <c r="A8" s="2">
        <v>3.8516193E7</v>
      </c>
      <c r="B8" s="45" t="s">
        <v>112</v>
      </c>
      <c r="C8" s="46">
        <v>0.0</v>
      </c>
      <c r="J8" s="2" t="s">
        <v>23</v>
      </c>
    </row>
    <row r="9">
      <c r="A9" s="2">
        <v>3.8516193E7</v>
      </c>
      <c r="B9" s="45" t="s">
        <v>113</v>
      </c>
      <c r="C9" s="46">
        <v>0.0</v>
      </c>
      <c r="J9" s="2" t="s">
        <v>23</v>
      </c>
    </row>
    <row r="10">
      <c r="A10" s="2">
        <v>3.8516193E7</v>
      </c>
      <c r="B10" s="45" t="s">
        <v>114</v>
      </c>
      <c r="C10" s="46">
        <v>6.0E-4</v>
      </c>
      <c r="J10" s="2" t="s">
        <v>23</v>
      </c>
    </row>
    <row r="11">
      <c r="A11" s="2">
        <v>3.8516193E7</v>
      </c>
      <c r="B11" s="45" t="s">
        <v>115</v>
      </c>
      <c r="C11" s="46">
        <v>0.002</v>
      </c>
      <c r="J11" s="2" t="s">
        <v>23</v>
      </c>
    </row>
    <row r="12">
      <c r="A12" s="2">
        <v>3.8516193E7</v>
      </c>
      <c r="B12" s="45" t="s">
        <v>116</v>
      </c>
      <c r="C12" s="46">
        <v>0.023</v>
      </c>
      <c r="J12" s="2" t="s">
        <v>23</v>
      </c>
    </row>
    <row r="13">
      <c r="A13" s="2">
        <v>3.8516193E7</v>
      </c>
      <c r="B13" s="45" t="s">
        <v>117</v>
      </c>
      <c r="C13" s="46">
        <v>0.0</v>
      </c>
      <c r="J13" s="2" t="s">
        <v>23</v>
      </c>
    </row>
    <row r="14">
      <c r="A14" s="2">
        <v>3.8516193E7</v>
      </c>
      <c r="B14" s="45" t="s">
        <v>118</v>
      </c>
      <c r="C14" s="46">
        <v>0.0054</v>
      </c>
      <c r="J14" s="2" t="s">
        <v>23</v>
      </c>
    </row>
    <row r="15">
      <c r="A15" s="2">
        <v>3.8516193E7</v>
      </c>
      <c r="B15" s="45" t="s">
        <v>119</v>
      </c>
      <c r="C15" s="46">
        <v>0.0124</v>
      </c>
      <c r="J15" s="2" t="s">
        <v>23</v>
      </c>
    </row>
    <row r="16">
      <c r="A16" s="2">
        <v>3.8516193E7</v>
      </c>
      <c r="B16" s="45" t="s">
        <v>120</v>
      </c>
      <c r="C16" s="46">
        <v>5.0E-4</v>
      </c>
      <c r="J16" s="2" t="s">
        <v>23</v>
      </c>
    </row>
    <row r="17">
      <c r="A17" s="2">
        <v>3.8516193E7</v>
      </c>
      <c r="B17" s="45" t="s">
        <v>121</v>
      </c>
      <c r="C17" s="47">
        <v>0.034</v>
      </c>
      <c r="J17" s="2" t="s">
        <v>23</v>
      </c>
    </row>
    <row r="18">
      <c r="A18" s="2">
        <v>3.8516193E7</v>
      </c>
      <c r="B18" s="45" t="s">
        <v>122</v>
      </c>
      <c r="C18" s="47">
        <v>0.037</v>
      </c>
      <c r="J18" s="2" t="s">
        <v>23</v>
      </c>
    </row>
    <row r="19">
      <c r="A19" s="2">
        <v>3.8516193E7</v>
      </c>
      <c r="B19" s="45" t="s">
        <v>123</v>
      </c>
      <c r="C19" s="47">
        <v>0.032</v>
      </c>
      <c r="J19" s="2" t="s">
        <v>23</v>
      </c>
    </row>
    <row r="20">
      <c r="A20" s="2">
        <v>3.8516193E7</v>
      </c>
      <c r="B20" s="45" t="s">
        <v>124</v>
      </c>
      <c r="C20" s="47">
        <v>0.007</v>
      </c>
      <c r="J20" s="2" t="s">
        <v>23</v>
      </c>
    </row>
    <row r="21">
      <c r="A21" s="2">
        <v>3.8516193E7</v>
      </c>
      <c r="B21" s="45" t="s">
        <v>125</v>
      </c>
      <c r="C21" s="47">
        <v>0.009</v>
      </c>
      <c r="J21" s="2" t="s">
        <v>23</v>
      </c>
    </row>
    <row r="22">
      <c r="A22" s="2">
        <v>3.8516193E7</v>
      </c>
      <c r="B22" s="45" t="s">
        <v>126</v>
      </c>
      <c r="C22" s="47">
        <v>0.035</v>
      </c>
      <c r="J22" s="2" t="s">
        <v>23</v>
      </c>
    </row>
    <row r="23">
      <c r="A23" s="2">
        <v>3.8516193E7</v>
      </c>
      <c r="B23" s="45" t="s">
        <v>127</v>
      </c>
      <c r="C23" s="47">
        <v>0.018</v>
      </c>
      <c r="J23" s="2" t="s">
        <v>23</v>
      </c>
    </row>
    <row r="24">
      <c r="A24" s="2">
        <v>3.8516193E7</v>
      </c>
      <c r="B24" s="45" t="s">
        <v>128</v>
      </c>
      <c r="C24" s="47">
        <v>0.011</v>
      </c>
      <c r="J24" s="2" t="s">
        <v>23</v>
      </c>
    </row>
    <row r="25">
      <c r="A25" s="2">
        <v>3.8516193E7</v>
      </c>
      <c r="B25" s="45" t="s">
        <v>129</v>
      </c>
      <c r="C25" s="47">
        <v>0.009</v>
      </c>
      <c r="J25" s="2" t="s">
        <v>23</v>
      </c>
    </row>
    <row r="26">
      <c r="A26" s="2">
        <v>3.8516193E7</v>
      </c>
      <c r="B26" s="45" t="s">
        <v>130</v>
      </c>
      <c r="C26" s="47">
        <v>0.02</v>
      </c>
      <c r="J26" s="2" t="s">
        <v>23</v>
      </c>
    </row>
    <row r="27">
      <c r="A27" s="2">
        <v>3.8516193E7</v>
      </c>
      <c r="B27" s="45" t="s">
        <v>131</v>
      </c>
      <c r="C27" s="47">
        <v>0.049</v>
      </c>
      <c r="J27" s="2" t="s">
        <v>23</v>
      </c>
    </row>
    <row r="28">
      <c r="A28" s="2">
        <v>3.8516193E7</v>
      </c>
      <c r="B28" s="45" t="s">
        <v>132</v>
      </c>
      <c r="C28" s="47">
        <v>0.019</v>
      </c>
      <c r="J28" s="2" t="s">
        <v>23</v>
      </c>
    </row>
    <row r="29">
      <c r="A29" s="2">
        <v>3.8516193E7</v>
      </c>
      <c r="B29" s="45" t="s">
        <v>133</v>
      </c>
      <c r="C29" s="47">
        <v>0.029</v>
      </c>
      <c r="J29" s="2" t="s">
        <v>23</v>
      </c>
    </row>
    <row r="30">
      <c r="A30" s="2">
        <v>3.8516193E7</v>
      </c>
      <c r="B30" s="45" t="s">
        <v>134</v>
      </c>
      <c r="C30" s="47">
        <v>0.033</v>
      </c>
      <c r="J30" s="2" t="s">
        <v>23</v>
      </c>
    </row>
    <row r="31">
      <c r="A31" s="2">
        <v>3.8516193E7</v>
      </c>
      <c r="B31" s="45" t="s">
        <v>135</v>
      </c>
      <c r="C31" s="47">
        <v>0.012</v>
      </c>
      <c r="J31" s="2" t="s">
        <v>23</v>
      </c>
    </row>
    <row r="32">
      <c r="A32" s="2">
        <v>3.8516193E7</v>
      </c>
      <c r="B32" s="45" t="s">
        <v>136</v>
      </c>
      <c r="C32" s="47">
        <v>0.026</v>
      </c>
      <c r="J32" s="2" t="s">
        <v>23</v>
      </c>
    </row>
    <row r="33">
      <c r="A33" s="2">
        <v>3.8516193E7</v>
      </c>
      <c r="B33" s="45" t="s">
        <v>137</v>
      </c>
      <c r="C33" s="47">
        <v>0.012</v>
      </c>
      <c r="J33" s="2" t="s">
        <v>23</v>
      </c>
    </row>
    <row r="34">
      <c r="A34" s="2">
        <v>3.8516193E7</v>
      </c>
      <c r="B34" s="45" t="s">
        <v>138</v>
      </c>
      <c r="C34" s="47">
        <v>0.026</v>
      </c>
      <c r="J34" s="2" t="s">
        <v>23</v>
      </c>
    </row>
    <row r="35">
      <c r="A35" s="2">
        <v>3.8516193E7</v>
      </c>
      <c r="B35" s="45" t="s">
        <v>139</v>
      </c>
      <c r="C35" s="47">
        <v>0.01</v>
      </c>
      <c r="J35" s="2" t="s">
        <v>23</v>
      </c>
    </row>
    <row r="36">
      <c r="A36" s="2">
        <v>3.8516193E7</v>
      </c>
      <c r="B36" s="45" t="s">
        <v>118</v>
      </c>
      <c r="C36" s="47">
        <v>0.027</v>
      </c>
      <c r="J36" s="2" t="s">
        <v>23</v>
      </c>
    </row>
    <row r="37">
      <c r="A37" s="48">
        <v>2.9518718E7</v>
      </c>
      <c r="B37" s="2" t="s">
        <v>140</v>
      </c>
      <c r="C37" s="2">
        <v>0.0016</v>
      </c>
      <c r="D37" s="1">
        <f>+4.6</f>
        <v>4.6</v>
      </c>
      <c r="E37" s="2" t="s">
        <v>141</v>
      </c>
      <c r="F37" s="2">
        <v>166.0865</v>
      </c>
      <c r="G37" s="2" t="s">
        <v>142</v>
      </c>
      <c r="J37" s="2" t="s">
        <v>23</v>
      </c>
    </row>
    <row r="38">
      <c r="A38" s="48">
        <v>2.9518718E7</v>
      </c>
      <c r="B38" s="2" t="s">
        <v>143</v>
      </c>
      <c r="C38" s="2">
        <v>6.0E-4</v>
      </c>
      <c r="D38" s="1">
        <f>+24.3</f>
        <v>24.3</v>
      </c>
      <c r="E38" s="2" t="s">
        <v>144</v>
      </c>
      <c r="F38" s="2">
        <v>195.066</v>
      </c>
      <c r="G38" s="2" t="s">
        <v>145</v>
      </c>
      <c r="J38" s="2" t="s">
        <v>23</v>
      </c>
    </row>
    <row r="39">
      <c r="A39" s="48">
        <v>2.9518718E7</v>
      </c>
      <c r="B39" s="2" t="s">
        <v>146</v>
      </c>
      <c r="C39" s="2">
        <v>0.0199</v>
      </c>
      <c r="D39" s="1">
        <f>+2.7</f>
        <v>2.7</v>
      </c>
      <c r="E39" s="2" t="s">
        <v>147</v>
      </c>
      <c r="F39" s="2">
        <v>357.2797</v>
      </c>
      <c r="G39" s="2" t="s">
        <v>148</v>
      </c>
      <c r="J39" s="2" t="s">
        <v>23</v>
      </c>
    </row>
    <row r="40">
      <c r="A40" s="48">
        <v>2.9518718E7</v>
      </c>
      <c r="B40" s="2" t="s">
        <v>149</v>
      </c>
      <c r="C40" s="2">
        <v>0.0315</v>
      </c>
      <c r="D40" s="2" t="s">
        <v>150</v>
      </c>
      <c r="E40" s="2" t="s">
        <v>151</v>
      </c>
      <c r="F40" s="2">
        <v>450.3224</v>
      </c>
      <c r="G40" s="2" t="s">
        <v>152</v>
      </c>
      <c r="J40" s="2" t="s">
        <v>23</v>
      </c>
    </row>
    <row r="41">
      <c r="A41" s="48">
        <v>2.9518718E7</v>
      </c>
      <c r="B41" s="2" t="s">
        <v>153</v>
      </c>
      <c r="J41" s="2" t="s">
        <v>23</v>
      </c>
    </row>
    <row r="42">
      <c r="A42" s="48">
        <v>2.9518718E7</v>
      </c>
      <c r="B42" s="2" t="s">
        <v>154</v>
      </c>
      <c r="C42" s="2">
        <v>0.025</v>
      </c>
      <c r="D42" s="1">
        <f>+2.8</f>
        <v>2.8</v>
      </c>
      <c r="E42" s="2" t="s">
        <v>155</v>
      </c>
      <c r="F42" s="2">
        <v>542.3257</v>
      </c>
      <c r="G42" s="2" t="s">
        <v>156</v>
      </c>
      <c r="J42" s="2" t="s">
        <v>23</v>
      </c>
    </row>
    <row r="43">
      <c r="A43" s="48">
        <v>2.9518718E7</v>
      </c>
      <c r="B43" s="2" t="s">
        <v>157</v>
      </c>
      <c r="C43" s="2">
        <v>0.0106</v>
      </c>
      <c r="D43" s="1">
        <f>+2.6</f>
        <v>2.6</v>
      </c>
      <c r="E43" s="2" t="s">
        <v>158</v>
      </c>
      <c r="F43" s="2">
        <v>623.4414</v>
      </c>
      <c r="G43" s="2" t="s">
        <v>159</v>
      </c>
      <c r="J43" s="2" t="s">
        <v>23</v>
      </c>
    </row>
    <row r="44">
      <c r="A44" s="48">
        <v>2.9518718E7</v>
      </c>
      <c r="B44" s="2" t="s">
        <v>160</v>
      </c>
      <c r="C44" s="2">
        <v>0.0108</v>
      </c>
      <c r="D44" s="2" t="s">
        <v>161</v>
      </c>
      <c r="E44" s="2" t="s">
        <v>162</v>
      </c>
      <c r="F44" s="2">
        <v>120.1024</v>
      </c>
      <c r="G44" s="2" t="s">
        <v>163</v>
      </c>
      <c r="J44" s="2" t="s">
        <v>23</v>
      </c>
    </row>
    <row r="45">
      <c r="A45" s="48">
        <v>2.9518718E7</v>
      </c>
      <c r="B45" s="2" t="s">
        <v>164</v>
      </c>
      <c r="C45" s="2">
        <v>1.0E-4</v>
      </c>
      <c r="D45" s="1">
        <f>+2.3</f>
        <v>2.3</v>
      </c>
      <c r="E45" s="2" t="s">
        <v>165</v>
      </c>
      <c r="F45" s="2">
        <v>160.1335</v>
      </c>
      <c r="G45" s="2" t="s">
        <v>166</v>
      </c>
      <c r="J45" s="2" t="s">
        <v>23</v>
      </c>
    </row>
    <row r="46">
      <c r="A46" s="48">
        <v>2.9518718E7</v>
      </c>
      <c r="B46" s="2" t="s">
        <v>167</v>
      </c>
      <c r="C46" s="2">
        <v>0.0043</v>
      </c>
      <c r="D46" s="2" t="s">
        <v>168</v>
      </c>
      <c r="E46" s="2" t="s">
        <v>169</v>
      </c>
      <c r="F46" s="2">
        <v>331.3348</v>
      </c>
      <c r="G46" s="2" t="s">
        <v>170</v>
      </c>
      <c r="J46" s="2" t="s">
        <v>23</v>
      </c>
    </row>
    <row r="47">
      <c r="A47" s="48">
        <v>2.9518718E7</v>
      </c>
      <c r="B47" s="2" t="s">
        <v>171</v>
      </c>
      <c r="C47" s="2">
        <v>0.0351</v>
      </c>
      <c r="D47" s="2" t="s">
        <v>172</v>
      </c>
      <c r="E47" s="2" t="s">
        <v>173</v>
      </c>
      <c r="F47" s="2">
        <v>144.1021</v>
      </c>
      <c r="G47" s="2" t="s">
        <v>174</v>
      </c>
      <c r="J47" s="2" t="s">
        <v>23</v>
      </c>
    </row>
    <row r="48">
      <c r="A48" s="48">
        <v>2.9518718E7</v>
      </c>
      <c r="B48" s="2" t="s">
        <v>175</v>
      </c>
      <c r="C48" s="2">
        <v>0.0046</v>
      </c>
      <c r="D48" s="2" t="s">
        <v>176</v>
      </c>
      <c r="E48" s="2" t="s">
        <v>177</v>
      </c>
      <c r="F48" s="2">
        <v>246.1708</v>
      </c>
      <c r="G48" s="2" t="s">
        <v>178</v>
      </c>
      <c r="J48" s="2" t="s">
        <v>23</v>
      </c>
    </row>
    <row r="49">
      <c r="A49" s="48">
        <v>2.9518718E7</v>
      </c>
      <c r="B49" s="2" t="s">
        <v>179</v>
      </c>
      <c r="C49" s="2">
        <v>7.0E-4</v>
      </c>
      <c r="D49" s="1">
        <f>+10.1</f>
        <v>10.1</v>
      </c>
      <c r="E49" s="2" t="s">
        <v>180</v>
      </c>
      <c r="F49" s="2">
        <v>105.0343</v>
      </c>
      <c r="G49" s="2" t="s">
        <v>181</v>
      </c>
      <c r="J49" s="2" t="s">
        <v>23</v>
      </c>
    </row>
    <row r="50">
      <c r="A50" s="48">
        <v>2.9518718E7</v>
      </c>
      <c r="B50" s="2" t="s">
        <v>182</v>
      </c>
      <c r="C50" s="2">
        <v>0.0196</v>
      </c>
      <c r="D50" s="1">
        <f>+16.2</f>
        <v>16.2</v>
      </c>
      <c r="E50" s="2" t="s">
        <v>183</v>
      </c>
      <c r="F50" s="2">
        <v>180.0658</v>
      </c>
      <c r="G50" s="2" t="s">
        <v>184</v>
      </c>
      <c r="J50" s="2" t="s">
        <v>23</v>
      </c>
    </row>
    <row r="51">
      <c r="A51" s="48">
        <v>2.9518718E7</v>
      </c>
      <c r="B51" s="2" t="s">
        <v>185</v>
      </c>
      <c r="C51" s="2">
        <v>0.0018</v>
      </c>
      <c r="D51" s="1">
        <f>+1.7</f>
        <v>1.7</v>
      </c>
      <c r="E51" s="2" t="s">
        <v>186</v>
      </c>
      <c r="F51" s="2">
        <v>356.2807</v>
      </c>
      <c r="G51" s="2" t="s">
        <v>187</v>
      </c>
      <c r="J51" s="2" t="s">
        <v>23</v>
      </c>
    </row>
    <row r="52">
      <c r="A52" s="48">
        <v>2.9518718E7</v>
      </c>
      <c r="B52" s="2" t="s">
        <v>188</v>
      </c>
      <c r="C52" s="2">
        <v>0.0441</v>
      </c>
      <c r="D52" s="1">
        <f>+3.8</f>
        <v>3.8</v>
      </c>
      <c r="E52" s="2" t="s">
        <v>189</v>
      </c>
      <c r="F52" s="2">
        <v>306.0479</v>
      </c>
      <c r="G52" s="2" t="s">
        <v>190</v>
      </c>
      <c r="J52" s="2" t="s">
        <v>23</v>
      </c>
    </row>
    <row r="53">
      <c r="A53" s="48">
        <v>2.9518718E7</v>
      </c>
      <c r="B53" s="2" t="s">
        <v>191</v>
      </c>
      <c r="C53" s="2">
        <v>0.0474</v>
      </c>
      <c r="D53" s="1">
        <f>+3.3</f>
        <v>3.3</v>
      </c>
      <c r="E53" s="2" t="s">
        <v>192</v>
      </c>
      <c r="F53" s="2">
        <v>130.0654</v>
      </c>
      <c r="G53" s="2" t="s">
        <v>193</v>
      </c>
      <c r="J53" s="2" t="s">
        <v>23</v>
      </c>
    </row>
    <row r="54">
      <c r="A54" s="48">
        <v>2.9518718E7</v>
      </c>
      <c r="B54" s="2" t="s">
        <v>194</v>
      </c>
      <c r="C54" s="2">
        <v>0.0227</v>
      </c>
      <c r="D54" s="2" t="s">
        <v>195</v>
      </c>
      <c r="E54" s="2" t="s">
        <v>196</v>
      </c>
      <c r="F54" s="2">
        <v>199.1943</v>
      </c>
      <c r="J54" s="2" t="s">
        <v>23</v>
      </c>
    </row>
    <row r="55">
      <c r="A55" s="49">
        <v>3.7589832E7</v>
      </c>
      <c r="B55" s="50" t="s">
        <v>197</v>
      </c>
      <c r="C55" s="50" t="s">
        <v>198</v>
      </c>
      <c r="H55" s="50" t="s">
        <v>199</v>
      </c>
      <c r="I55" s="51">
        <v>0.8</v>
      </c>
      <c r="J55" s="2" t="s">
        <v>23</v>
      </c>
    </row>
    <row r="56">
      <c r="A56" s="49">
        <v>3.7589832E7</v>
      </c>
      <c r="B56" s="50" t="s">
        <v>200</v>
      </c>
      <c r="C56" s="52" t="s">
        <v>201</v>
      </c>
      <c r="H56" s="50">
        <v>0.0</v>
      </c>
      <c r="I56" s="51">
        <v>0.58</v>
      </c>
      <c r="J56" s="2" t="s">
        <v>23</v>
      </c>
    </row>
    <row r="57">
      <c r="A57" s="49">
        <v>3.7589832E7</v>
      </c>
      <c r="B57" s="50" t="s">
        <v>202</v>
      </c>
      <c r="C57" s="50" t="s">
        <v>203</v>
      </c>
      <c r="H57" s="50">
        <v>0.23</v>
      </c>
      <c r="I57" s="51">
        <v>0.25</v>
      </c>
      <c r="J57" s="2" t="s">
        <v>23</v>
      </c>
    </row>
    <row r="58">
      <c r="A58" s="49">
        <v>3.7589832E7</v>
      </c>
      <c r="B58" s="50" t="s">
        <v>204</v>
      </c>
      <c r="C58" s="52" t="s">
        <v>205</v>
      </c>
      <c r="H58" s="50">
        <v>0.49</v>
      </c>
      <c r="I58" s="51">
        <v>0.41</v>
      </c>
      <c r="J58" s="2" t="s">
        <v>23</v>
      </c>
    </row>
    <row r="59">
      <c r="A59" s="49">
        <v>3.7589832E7</v>
      </c>
      <c r="B59" s="50" t="s">
        <v>206</v>
      </c>
      <c r="C59" s="52" t="s">
        <v>201</v>
      </c>
      <c r="H59" s="50">
        <v>0.15</v>
      </c>
      <c r="I59" s="51">
        <v>1.45</v>
      </c>
      <c r="J59" s="2" t="s">
        <v>23</v>
      </c>
    </row>
    <row r="60">
      <c r="A60" s="49">
        <v>3.7589832E7</v>
      </c>
      <c r="B60" s="50" t="s">
        <v>207</v>
      </c>
      <c r="C60" s="52" t="s">
        <v>208</v>
      </c>
      <c r="H60" s="50">
        <v>2.93</v>
      </c>
      <c r="I60" s="51">
        <v>1.34</v>
      </c>
      <c r="J60" s="2" t="s">
        <v>23</v>
      </c>
    </row>
    <row r="61">
      <c r="A61" s="48">
        <v>2.5390405E7</v>
      </c>
      <c r="B61" s="53" t="s">
        <v>209</v>
      </c>
      <c r="C61" s="54"/>
      <c r="D61" s="54"/>
      <c r="F61" s="2">
        <v>687.29</v>
      </c>
      <c r="J61" s="2" t="s">
        <v>39</v>
      </c>
    </row>
    <row r="62">
      <c r="A62" s="48">
        <v>2.5390405E7</v>
      </c>
      <c r="B62" s="53" t="s">
        <v>210</v>
      </c>
      <c r="F62" s="2">
        <v>136.4</v>
      </c>
      <c r="J62" s="2" t="s">
        <v>39</v>
      </c>
    </row>
    <row r="63">
      <c r="A63" s="48">
        <v>2.5390405E7</v>
      </c>
      <c r="B63" s="53" t="s">
        <v>211</v>
      </c>
      <c r="F63" s="2">
        <v>117.01</v>
      </c>
      <c r="J63" s="2" t="s">
        <v>39</v>
      </c>
    </row>
    <row r="64">
      <c r="A64" s="48">
        <v>3.3485385E7</v>
      </c>
      <c r="B64" s="55" t="s">
        <v>212</v>
      </c>
      <c r="C64" s="56">
        <v>0.0023</v>
      </c>
      <c r="D64" s="55">
        <v>1.57</v>
      </c>
      <c r="E64" s="55">
        <v>3.56</v>
      </c>
      <c r="F64" s="55">
        <v>265.1172</v>
      </c>
      <c r="G64" s="55" t="s">
        <v>213</v>
      </c>
      <c r="J64" s="2" t="s">
        <v>23</v>
      </c>
      <c r="K64" s="57" t="s">
        <v>214</v>
      </c>
    </row>
    <row r="65">
      <c r="A65" s="48">
        <v>3.3485385E7</v>
      </c>
      <c r="B65" s="55" t="s">
        <v>215</v>
      </c>
      <c r="C65" s="56">
        <v>0.0113</v>
      </c>
      <c r="D65" s="55">
        <v>0.86</v>
      </c>
      <c r="E65" s="55">
        <v>1.36</v>
      </c>
      <c r="F65" s="55">
        <v>209.0914</v>
      </c>
      <c r="G65" s="55" t="s">
        <v>213</v>
      </c>
      <c r="J65" s="2" t="s">
        <v>23</v>
      </c>
    </row>
    <row r="66">
      <c r="A66" s="48">
        <v>3.3485385E7</v>
      </c>
      <c r="B66" s="55" t="s">
        <v>216</v>
      </c>
      <c r="C66" s="56">
        <v>0.0109</v>
      </c>
      <c r="D66" s="55">
        <v>0.81</v>
      </c>
      <c r="E66" s="55">
        <v>3.97</v>
      </c>
      <c r="F66" s="55">
        <v>204.0671</v>
      </c>
      <c r="G66" s="55" t="s">
        <v>217</v>
      </c>
      <c r="J66" s="2" t="s">
        <v>23</v>
      </c>
    </row>
    <row r="67">
      <c r="A67" s="48">
        <v>3.3485385E7</v>
      </c>
      <c r="B67" s="55" t="s">
        <v>218</v>
      </c>
      <c r="C67" s="56">
        <v>0.0035</v>
      </c>
      <c r="D67" s="56">
        <v>0.85</v>
      </c>
      <c r="E67" s="55">
        <v>1.36</v>
      </c>
      <c r="F67" s="55">
        <v>192.0639</v>
      </c>
      <c r="G67" s="55" t="s">
        <v>213</v>
      </c>
      <c r="J67" s="2" t="s">
        <v>23</v>
      </c>
    </row>
    <row r="68">
      <c r="A68" s="48">
        <v>3.3485385E7</v>
      </c>
      <c r="B68" s="55" t="s">
        <v>219</v>
      </c>
      <c r="C68" s="56">
        <v>0.0401</v>
      </c>
      <c r="D68" s="56">
        <v>1.14</v>
      </c>
      <c r="E68" s="55">
        <v>0.73</v>
      </c>
      <c r="F68" s="55">
        <v>116.0708</v>
      </c>
      <c r="G68" s="55" t="s">
        <v>213</v>
      </c>
      <c r="J68" s="2" t="s">
        <v>23</v>
      </c>
    </row>
    <row r="69">
      <c r="A69" s="48">
        <v>3.3485385E7</v>
      </c>
      <c r="B69" s="58" t="s">
        <v>220</v>
      </c>
      <c r="C69" s="56">
        <v>0.0021</v>
      </c>
      <c r="D69" s="56">
        <v>2.15</v>
      </c>
      <c r="E69" s="55">
        <v>4.29</v>
      </c>
      <c r="F69" s="55">
        <v>283.0838</v>
      </c>
      <c r="G69" s="55" t="s">
        <v>217</v>
      </c>
      <c r="J69" s="2" t="s">
        <v>23</v>
      </c>
    </row>
    <row r="70">
      <c r="A70" s="48">
        <v>3.3485385E7</v>
      </c>
      <c r="B70" s="59" t="s">
        <v>221</v>
      </c>
      <c r="C70" s="56">
        <v>0.0278</v>
      </c>
      <c r="D70" s="55">
        <v>1.08</v>
      </c>
      <c r="E70" s="56">
        <v>5.28</v>
      </c>
      <c r="F70" s="56">
        <v>187.0079</v>
      </c>
      <c r="G70" s="56" t="s">
        <v>213</v>
      </c>
      <c r="J70" s="2" t="s">
        <v>23</v>
      </c>
    </row>
    <row r="71">
      <c r="A71" s="48">
        <v>3.3485385E7</v>
      </c>
      <c r="B71" s="56" t="s">
        <v>222</v>
      </c>
      <c r="C71" s="56">
        <v>0.0061</v>
      </c>
      <c r="D71" s="56">
        <v>0.76</v>
      </c>
      <c r="E71" s="56">
        <v>12.41</v>
      </c>
      <c r="F71" s="56">
        <v>183.1399</v>
      </c>
      <c r="G71" s="56" t="s">
        <v>217</v>
      </c>
      <c r="J71" s="2" t="s">
        <v>23</v>
      </c>
    </row>
    <row r="72">
      <c r="A72" s="48">
        <v>3.3485385E7</v>
      </c>
      <c r="B72" s="56" t="s">
        <v>223</v>
      </c>
      <c r="C72" s="56">
        <v>0.0179</v>
      </c>
      <c r="D72" s="56">
        <v>0.78</v>
      </c>
      <c r="E72" s="56">
        <v>17.48</v>
      </c>
      <c r="F72" s="56">
        <v>295.2638</v>
      </c>
      <c r="G72" s="56" t="s">
        <v>217</v>
      </c>
      <c r="J72" s="2" t="s">
        <v>23</v>
      </c>
    </row>
    <row r="73">
      <c r="A73" s="48">
        <v>3.3485385E7</v>
      </c>
      <c r="B73" s="56" t="s">
        <v>224</v>
      </c>
      <c r="C73" s="56">
        <v>0.01</v>
      </c>
      <c r="D73" s="56">
        <v>0.77</v>
      </c>
      <c r="E73" s="56">
        <v>15.11</v>
      </c>
      <c r="F73" s="56">
        <v>225.1846</v>
      </c>
      <c r="G73" s="56" t="s">
        <v>217</v>
      </c>
      <c r="J73" s="2" t="s">
        <v>23</v>
      </c>
    </row>
    <row r="74">
      <c r="A74" s="48">
        <v>3.3485385E7</v>
      </c>
      <c r="B74" s="56" t="s">
        <v>225</v>
      </c>
      <c r="C74" s="56">
        <v>0.0021</v>
      </c>
      <c r="D74" s="56">
        <v>0.81</v>
      </c>
      <c r="E74" s="56">
        <v>12.37</v>
      </c>
      <c r="F74" s="56">
        <v>171.1402</v>
      </c>
      <c r="G74" s="56" t="s">
        <v>217</v>
      </c>
      <c r="J74" s="2" t="s">
        <v>23</v>
      </c>
    </row>
    <row r="75">
      <c r="A75" s="48">
        <v>3.3485385E7</v>
      </c>
      <c r="B75" s="56" t="s">
        <v>226</v>
      </c>
      <c r="C75" s="56">
        <v>0.0184</v>
      </c>
      <c r="D75" s="56">
        <v>0.91</v>
      </c>
      <c r="E75" s="56">
        <v>14.26</v>
      </c>
      <c r="F75" s="56">
        <v>199.1709</v>
      </c>
      <c r="G75" s="56" t="s">
        <v>217</v>
      </c>
      <c r="J75" s="2" t="s">
        <v>23</v>
      </c>
    </row>
    <row r="76">
      <c r="A76" s="48">
        <v>3.3485385E7</v>
      </c>
      <c r="B76" s="56" t="s">
        <v>227</v>
      </c>
      <c r="C76" s="56">
        <v>0.0012</v>
      </c>
      <c r="D76" s="56">
        <v>0.87</v>
      </c>
      <c r="E76" s="56">
        <v>17.64</v>
      </c>
      <c r="F76" s="56">
        <v>283.2625</v>
      </c>
      <c r="G76" s="56" t="s">
        <v>217</v>
      </c>
      <c r="J76" s="2" t="s">
        <v>23</v>
      </c>
    </row>
    <row r="77">
      <c r="A77" s="48">
        <v>3.3485385E7</v>
      </c>
      <c r="B77" s="56" t="s">
        <v>228</v>
      </c>
      <c r="C77" s="56">
        <v>0.0</v>
      </c>
      <c r="D77" s="56">
        <v>0.59</v>
      </c>
      <c r="E77" s="56">
        <v>15.48</v>
      </c>
      <c r="F77" s="56">
        <v>251.2007</v>
      </c>
      <c r="G77" s="56" t="s">
        <v>217</v>
      </c>
      <c r="J77" s="2" t="s">
        <v>23</v>
      </c>
    </row>
    <row r="78">
      <c r="A78" s="48">
        <v>3.3485385E7</v>
      </c>
      <c r="B78" s="56" t="s">
        <v>229</v>
      </c>
      <c r="C78" s="56">
        <v>2.0E-4</v>
      </c>
      <c r="D78" s="56">
        <v>0.63</v>
      </c>
      <c r="E78" s="56">
        <v>16.93</v>
      </c>
      <c r="F78" s="56">
        <v>329.2469</v>
      </c>
      <c r="G78" s="56" t="s">
        <v>217</v>
      </c>
      <c r="J78" s="2" t="s">
        <v>23</v>
      </c>
    </row>
    <row r="79">
      <c r="A79" s="48">
        <v>3.3485385E7</v>
      </c>
      <c r="B79" s="56" t="s">
        <v>230</v>
      </c>
      <c r="C79" s="56">
        <v>0.0199</v>
      </c>
      <c r="D79" s="56">
        <v>0.8</v>
      </c>
      <c r="E79" s="56">
        <v>17.05</v>
      </c>
      <c r="F79" s="56">
        <v>281.2482</v>
      </c>
      <c r="G79" s="56" t="s">
        <v>217</v>
      </c>
      <c r="J79" s="2" t="s">
        <v>23</v>
      </c>
    </row>
    <row r="80">
      <c r="A80" s="48">
        <v>3.3485385E7</v>
      </c>
      <c r="B80" s="56" t="s">
        <v>231</v>
      </c>
      <c r="C80" s="56">
        <v>0.0106</v>
      </c>
      <c r="D80" s="56">
        <v>0.73</v>
      </c>
      <c r="E80" s="56">
        <v>16.5</v>
      </c>
      <c r="F80" s="56">
        <v>279.2333</v>
      </c>
      <c r="G80" s="56" t="s">
        <v>217</v>
      </c>
      <c r="J80" s="2" t="s">
        <v>23</v>
      </c>
    </row>
    <row r="81">
      <c r="A81" s="48">
        <v>3.3485385E7</v>
      </c>
      <c r="B81" s="56" t="s">
        <v>232</v>
      </c>
      <c r="C81" s="56">
        <v>0.0331</v>
      </c>
      <c r="D81" s="56">
        <v>0.77</v>
      </c>
      <c r="E81" s="56">
        <v>16.0</v>
      </c>
      <c r="F81" s="56">
        <v>277.2179</v>
      </c>
      <c r="G81" s="56" t="s">
        <v>217</v>
      </c>
      <c r="J81" s="2" t="s">
        <v>23</v>
      </c>
    </row>
    <row r="82">
      <c r="A82" s="48">
        <v>3.3485385E7</v>
      </c>
      <c r="B82" s="56" t="s">
        <v>233</v>
      </c>
      <c r="C82" s="56">
        <v>0.0014</v>
      </c>
      <c r="D82" s="56">
        <v>0.61</v>
      </c>
      <c r="E82" s="56">
        <v>16.14</v>
      </c>
      <c r="F82" s="56">
        <v>301.2165</v>
      </c>
      <c r="G82" s="56" t="s">
        <v>217</v>
      </c>
      <c r="J82" s="2" t="s">
        <v>23</v>
      </c>
    </row>
    <row r="83">
      <c r="A83" s="48">
        <v>3.3485385E7</v>
      </c>
      <c r="B83" s="56" t="s">
        <v>234</v>
      </c>
      <c r="C83" s="56">
        <v>0.009</v>
      </c>
      <c r="D83" s="56">
        <v>0.76</v>
      </c>
      <c r="E83" s="56">
        <v>17.44</v>
      </c>
      <c r="F83" s="56">
        <v>307.2605</v>
      </c>
      <c r="G83" s="56" t="s">
        <v>217</v>
      </c>
      <c r="J83" s="2" t="s">
        <v>23</v>
      </c>
    </row>
    <row r="84">
      <c r="A84" s="48">
        <v>3.3485385E7</v>
      </c>
      <c r="B84" s="56" t="s">
        <v>235</v>
      </c>
      <c r="C84" s="56">
        <v>0.0</v>
      </c>
      <c r="D84" s="56">
        <v>0.6</v>
      </c>
      <c r="E84" s="56">
        <v>16.66</v>
      </c>
      <c r="F84" s="56">
        <v>327.2326</v>
      </c>
      <c r="G84" s="56" t="s">
        <v>217</v>
      </c>
      <c r="J84" s="2" t="s">
        <v>23</v>
      </c>
    </row>
    <row r="85">
      <c r="A85" s="48">
        <v>3.3485385E7</v>
      </c>
      <c r="B85" s="60" t="s">
        <v>236</v>
      </c>
      <c r="C85" s="56">
        <v>0.0307</v>
      </c>
      <c r="D85" s="56">
        <v>0.87</v>
      </c>
      <c r="E85" s="56">
        <v>18.34</v>
      </c>
      <c r="F85" s="56">
        <v>311.2958</v>
      </c>
      <c r="G85" s="56" t="s">
        <v>217</v>
      </c>
      <c r="J85" s="2" t="s">
        <v>23</v>
      </c>
    </row>
    <row r="86">
      <c r="A86" s="48">
        <v>3.3485385E7</v>
      </c>
      <c r="B86" s="60" t="s">
        <v>237</v>
      </c>
      <c r="C86" s="56">
        <v>0.0</v>
      </c>
      <c r="D86" s="56">
        <v>0.63</v>
      </c>
      <c r="E86" s="56">
        <v>16.94</v>
      </c>
      <c r="F86" s="56">
        <v>305.2485</v>
      </c>
      <c r="G86" s="56" t="s">
        <v>217</v>
      </c>
      <c r="J86" s="2" t="s">
        <v>23</v>
      </c>
    </row>
    <row r="87">
      <c r="A87" s="48">
        <v>3.3485385E7</v>
      </c>
      <c r="B87" s="60" t="s">
        <v>238</v>
      </c>
      <c r="C87" s="56">
        <v>4.0E-4</v>
      </c>
      <c r="D87" s="56">
        <v>0.65</v>
      </c>
      <c r="E87" s="56">
        <v>16.54</v>
      </c>
      <c r="F87" s="56">
        <v>303.2329</v>
      </c>
      <c r="G87" s="56" t="s">
        <v>217</v>
      </c>
      <c r="J87" s="2" t="s">
        <v>23</v>
      </c>
    </row>
    <row r="88">
      <c r="A88" s="48">
        <v>3.3485385E7</v>
      </c>
      <c r="B88" s="60" t="s">
        <v>239</v>
      </c>
      <c r="C88" s="56">
        <v>0.0078</v>
      </c>
      <c r="D88" s="56">
        <v>0.71</v>
      </c>
      <c r="E88" s="56">
        <v>9.15</v>
      </c>
      <c r="F88" s="56">
        <v>314.2321</v>
      </c>
      <c r="G88" s="56" t="s">
        <v>213</v>
      </c>
      <c r="J88" s="2" t="s">
        <v>23</v>
      </c>
    </row>
    <row r="89">
      <c r="A89" s="48">
        <v>3.3485385E7</v>
      </c>
      <c r="B89" s="60" t="s">
        <v>240</v>
      </c>
      <c r="C89" s="56">
        <v>0.0022</v>
      </c>
      <c r="D89" s="56">
        <v>0.78</v>
      </c>
      <c r="E89" s="56">
        <v>11.68</v>
      </c>
      <c r="F89" s="56">
        <v>344.2783</v>
      </c>
      <c r="G89" s="56" t="s">
        <v>213</v>
      </c>
      <c r="J89" s="2" t="s">
        <v>23</v>
      </c>
    </row>
    <row r="90">
      <c r="A90" s="48">
        <v>3.3485385E7</v>
      </c>
      <c r="B90" s="60" t="s">
        <v>241</v>
      </c>
      <c r="C90" s="56">
        <v>0.0014</v>
      </c>
      <c r="D90" s="56">
        <v>0.75</v>
      </c>
      <c r="E90" s="56">
        <v>10.97</v>
      </c>
      <c r="F90" s="56">
        <v>342.2637</v>
      </c>
      <c r="G90" s="56" t="s">
        <v>213</v>
      </c>
      <c r="J90" s="2" t="s">
        <v>23</v>
      </c>
    </row>
    <row r="91">
      <c r="A91" s="48">
        <v>3.3485385E7</v>
      </c>
      <c r="B91" s="60" t="s">
        <v>242</v>
      </c>
      <c r="C91" s="56">
        <v>0.0034</v>
      </c>
      <c r="D91" s="56">
        <v>0.74</v>
      </c>
      <c r="E91" s="56">
        <v>11.8</v>
      </c>
      <c r="F91" s="56">
        <v>368.2789</v>
      </c>
      <c r="G91" s="56" t="s">
        <v>213</v>
      </c>
      <c r="J91" s="2" t="s">
        <v>23</v>
      </c>
    </row>
    <row r="92">
      <c r="A92" s="48">
        <v>3.3485385E7</v>
      </c>
      <c r="B92" s="60" t="s">
        <v>243</v>
      </c>
      <c r="C92" s="56">
        <v>0.0095</v>
      </c>
      <c r="D92" s="56">
        <v>0.74</v>
      </c>
      <c r="E92" s="56">
        <v>10.88</v>
      </c>
      <c r="F92" s="56">
        <v>366.2625</v>
      </c>
      <c r="G92" s="56" t="s">
        <v>213</v>
      </c>
      <c r="J92" s="2" t="s">
        <v>23</v>
      </c>
    </row>
    <row r="93">
      <c r="A93" s="48">
        <v>3.3485385E7</v>
      </c>
      <c r="B93" s="60" t="s">
        <v>244</v>
      </c>
      <c r="C93" s="56">
        <v>8.0E-4</v>
      </c>
      <c r="D93" s="56">
        <v>0.8</v>
      </c>
      <c r="E93" s="56">
        <v>19.64</v>
      </c>
      <c r="F93" s="56">
        <v>312.3256</v>
      </c>
      <c r="G93" s="56" t="s">
        <v>213</v>
      </c>
      <c r="J93" s="2" t="s">
        <v>23</v>
      </c>
    </row>
    <row r="94">
      <c r="A94" s="48">
        <v>3.3485385E7</v>
      </c>
      <c r="B94" s="60" t="s">
        <v>245</v>
      </c>
      <c r="C94" s="56">
        <v>0.0</v>
      </c>
      <c r="D94" s="56">
        <v>0.62</v>
      </c>
      <c r="E94" s="56">
        <v>18.64</v>
      </c>
      <c r="F94" s="56">
        <v>310.31</v>
      </c>
      <c r="G94" s="56" t="s">
        <v>213</v>
      </c>
      <c r="J94" s="2" t="s">
        <v>23</v>
      </c>
    </row>
    <row r="95">
      <c r="A95" s="48">
        <v>3.3485385E7</v>
      </c>
      <c r="B95" s="60" t="s">
        <v>246</v>
      </c>
      <c r="C95" s="56">
        <v>0.0037</v>
      </c>
      <c r="D95" s="56">
        <v>0.84</v>
      </c>
      <c r="E95" s="56">
        <v>20.88</v>
      </c>
      <c r="F95" s="56">
        <v>340.3574</v>
      </c>
      <c r="G95" s="56" t="s">
        <v>213</v>
      </c>
      <c r="J95" s="2" t="s">
        <v>23</v>
      </c>
    </row>
    <row r="96">
      <c r="A96" s="48">
        <v>3.3485385E7</v>
      </c>
      <c r="B96" s="60" t="s">
        <v>247</v>
      </c>
      <c r="C96" s="56">
        <v>0.0014</v>
      </c>
      <c r="D96" s="56">
        <v>0.84</v>
      </c>
      <c r="E96" s="56">
        <v>19.92</v>
      </c>
      <c r="F96" s="56">
        <v>338.3412</v>
      </c>
      <c r="G96" s="56" t="s">
        <v>213</v>
      </c>
      <c r="J96" s="2" t="s">
        <v>23</v>
      </c>
    </row>
    <row r="97">
      <c r="A97" s="48">
        <v>3.3485385E7</v>
      </c>
      <c r="B97" s="60" t="s">
        <v>248</v>
      </c>
      <c r="C97" s="56">
        <v>5.0E-4</v>
      </c>
      <c r="D97" s="56">
        <v>0.82</v>
      </c>
      <c r="E97" s="56">
        <v>21.37</v>
      </c>
      <c r="F97" s="56">
        <v>730.5384</v>
      </c>
      <c r="G97" s="56" t="s">
        <v>213</v>
      </c>
      <c r="J97" s="2" t="s">
        <v>23</v>
      </c>
    </row>
    <row r="98">
      <c r="A98" s="48">
        <v>3.3485385E7</v>
      </c>
      <c r="B98" s="60" t="s">
        <v>249</v>
      </c>
      <c r="C98" s="56">
        <v>0.0194</v>
      </c>
      <c r="D98" s="56">
        <v>0.85</v>
      </c>
      <c r="E98" s="56">
        <v>20.26</v>
      </c>
      <c r="F98" s="56">
        <v>728.5233</v>
      </c>
      <c r="G98" s="56" t="s">
        <v>213</v>
      </c>
      <c r="J98" s="2" t="s">
        <v>23</v>
      </c>
    </row>
    <row r="99">
      <c r="A99" s="48">
        <v>3.3485385E7</v>
      </c>
      <c r="B99" s="60" t="s">
        <v>250</v>
      </c>
      <c r="C99" s="56">
        <v>0.0069</v>
      </c>
      <c r="D99" s="56">
        <v>0.94</v>
      </c>
      <c r="E99" s="56">
        <v>22.22</v>
      </c>
      <c r="F99" s="56">
        <v>758.5706</v>
      </c>
      <c r="G99" s="56" t="s">
        <v>213</v>
      </c>
      <c r="J99" s="2" t="s">
        <v>23</v>
      </c>
    </row>
    <row r="100">
      <c r="A100" s="48">
        <v>3.3485385E7</v>
      </c>
      <c r="B100" s="60" t="s">
        <v>251</v>
      </c>
      <c r="C100" s="56">
        <v>0.0011</v>
      </c>
      <c r="D100" s="56">
        <v>0.82</v>
      </c>
      <c r="E100" s="56">
        <v>21.6</v>
      </c>
      <c r="F100" s="56">
        <v>756.5561</v>
      </c>
      <c r="G100" s="56" t="s">
        <v>213</v>
      </c>
      <c r="J100" s="2" t="s">
        <v>23</v>
      </c>
    </row>
    <row r="101">
      <c r="A101" s="48">
        <v>3.3485385E7</v>
      </c>
      <c r="B101" s="60" t="s">
        <v>252</v>
      </c>
      <c r="C101" s="56">
        <v>0.0221</v>
      </c>
      <c r="D101" s="56">
        <v>0.81</v>
      </c>
      <c r="E101" s="56">
        <v>21.35</v>
      </c>
      <c r="F101" s="56">
        <v>754.535</v>
      </c>
      <c r="G101" s="56" t="s">
        <v>213</v>
      </c>
      <c r="J101" s="2" t="s">
        <v>23</v>
      </c>
    </row>
    <row r="102">
      <c r="A102" s="48">
        <v>3.3485385E7</v>
      </c>
      <c r="B102" s="60" t="s">
        <v>253</v>
      </c>
      <c r="C102" s="56">
        <v>0.0122</v>
      </c>
      <c r="D102" s="56">
        <v>0.83</v>
      </c>
      <c r="E102" s="56">
        <v>19.16</v>
      </c>
      <c r="F102" s="56">
        <v>673.5267</v>
      </c>
      <c r="G102" s="56" t="s">
        <v>213</v>
      </c>
      <c r="J102" s="2" t="s">
        <v>23</v>
      </c>
    </row>
    <row r="103">
      <c r="A103" s="48">
        <v>3.3485385E7</v>
      </c>
      <c r="B103" s="60" t="s">
        <v>254</v>
      </c>
      <c r="C103" s="56">
        <v>0.0165</v>
      </c>
      <c r="D103" s="56">
        <v>1.21</v>
      </c>
      <c r="E103" s="56">
        <v>7.64</v>
      </c>
      <c r="F103" s="56">
        <v>363.2162</v>
      </c>
      <c r="G103" s="56" t="s">
        <v>213</v>
      </c>
      <c r="J103" s="2" t="s">
        <v>23</v>
      </c>
    </row>
    <row r="104">
      <c r="A104" s="48">
        <v>3.3485385E7</v>
      </c>
      <c r="B104" s="60" t="s">
        <v>255</v>
      </c>
      <c r="C104" s="56">
        <v>0.0271</v>
      </c>
      <c r="D104" s="56">
        <v>0.92</v>
      </c>
      <c r="E104" s="56">
        <v>7.67</v>
      </c>
      <c r="F104" s="56">
        <v>361.2006</v>
      </c>
      <c r="G104" s="56" t="s">
        <v>213</v>
      </c>
      <c r="J104" s="2" t="s">
        <v>23</v>
      </c>
    </row>
    <row r="105">
      <c r="A105" s="48">
        <v>3.3485385E7</v>
      </c>
      <c r="B105" s="60" t="s">
        <v>256</v>
      </c>
      <c r="C105" s="56">
        <v>2.0E-4</v>
      </c>
      <c r="D105" s="56">
        <v>1.83</v>
      </c>
      <c r="E105" s="56">
        <v>8.82</v>
      </c>
      <c r="F105" s="56">
        <v>347.2208</v>
      </c>
      <c r="G105" s="56" t="s">
        <v>213</v>
      </c>
      <c r="J105" s="2" t="s">
        <v>23</v>
      </c>
    </row>
    <row r="106">
      <c r="A106" s="48">
        <v>3.3485385E7</v>
      </c>
      <c r="B106" s="56" t="s">
        <v>257</v>
      </c>
      <c r="C106" s="56">
        <v>0.0119</v>
      </c>
      <c r="D106" s="56">
        <v>0.53</v>
      </c>
      <c r="E106" s="56">
        <v>0.75</v>
      </c>
      <c r="F106" s="56">
        <v>138.0548</v>
      </c>
      <c r="G106" s="56" t="s">
        <v>213</v>
      </c>
      <c r="J106" s="2" t="s">
        <v>23</v>
      </c>
    </row>
    <row r="107">
      <c r="A107" s="48">
        <v>3.3485385E7</v>
      </c>
      <c r="B107" s="56" t="s">
        <v>258</v>
      </c>
      <c r="C107" s="56">
        <v>0.003</v>
      </c>
      <c r="D107" s="56">
        <v>0.73</v>
      </c>
      <c r="E107" s="56">
        <v>11.34</v>
      </c>
      <c r="F107" s="56">
        <v>251.1263</v>
      </c>
      <c r="G107" s="56" t="s">
        <v>213</v>
      </c>
      <c r="J107" s="2" t="s">
        <v>23</v>
      </c>
    </row>
    <row r="108">
      <c r="A108" s="48">
        <v>3.3485385E7</v>
      </c>
      <c r="B108" s="56" t="s">
        <v>259</v>
      </c>
      <c r="C108" s="56">
        <v>0.0174</v>
      </c>
      <c r="D108" s="56">
        <v>0.85</v>
      </c>
      <c r="E108" s="56">
        <v>1.71</v>
      </c>
      <c r="F108" s="56">
        <v>220.116</v>
      </c>
      <c r="G108" s="56" t="s">
        <v>213</v>
      </c>
      <c r="J108" s="2" t="s">
        <v>23</v>
      </c>
    </row>
    <row r="109">
      <c r="A109" s="48">
        <v>3.3485385E7</v>
      </c>
      <c r="B109" s="56" t="s">
        <v>260</v>
      </c>
      <c r="C109" s="56">
        <v>0.0078</v>
      </c>
      <c r="D109" s="56">
        <v>0.83</v>
      </c>
      <c r="E109" s="56">
        <v>0.56</v>
      </c>
      <c r="F109" s="56">
        <v>173.0096</v>
      </c>
      <c r="G109" s="56" t="s">
        <v>217</v>
      </c>
      <c r="J109" s="2" t="s">
        <v>23</v>
      </c>
    </row>
    <row r="110">
      <c r="A110" s="48">
        <v>3.3485385E7</v>
      </c>
      <c r="B110" s="56" t="s">
        <v>261</v>
      </c>
      <c r="C110" s="56">
        <v>0.03</v>
      </c>
      <c r="D110" s="56">
        <v>0.91</v>
      </c>
      <c r="E110" s="56">
        <v>1.04</v>
      </c>
      <c r="F110" s="56">
        <v>243.0632</v>
      </c>
      <c r="G110" s="56" t="s">
        <v>217</v>
      </c>
      <c r="J110" s="2" t="s">
        <v>23</v>
      </c>
    </row>
    <row r="111">
      <c r="A111" s="48">
        <v>3.3485385E7</v>
      </c>
      <c r="B111" s="56" t="s">
        <v>262</v>
      </c>
      <c r="C111" s="56">
        <v>3.0E-4</v>
      </c>
      <c r="D111" s="56">
        <v>0.7</v>
      </c>
      <c r="E111" s="56">
        <v>10.49</v>
      </c>
      <c r="F111" s="56">
        <v>583.2545</v>
      </c>
      <c r="G111" s="56" t="s">
        <v>213</v>
      </c>
      <c r="J111" s="2" t="s">
        <v>23</v>
      </c>
    </row>
    <row r="112">
      <c r="A112" s="48">
        <v>3.3485385E7</v>
      </c>
      <c r="B112" s="56" t="s">
        <v>263</v>
      </c>
      <c r="C112" s="56">
        <v>0.0012</v>
      </c>
      <c r="D112" s="56">
        <v>1.1</v>
      </c>
      <c r="E112" s="56">
        <v>0.82</v>
      </c>
      <c r="F112" s="56">
        <v>98.9834</v>
      </c>
      <c r="G112" s="56" t="s">
        <v>213</v>
      </c>
      <c r="J112" s="2" t="s">
        <v>23</v>
      </c>
    </row>
    <row r="113">
      <c r="A113" s="48">
        <v>3.3485385E7</v>
      </c>
      <c r="B113" s="56" t="s">
        <v>264</v>
      </c>
      <c r="C113" s="56">
        <v>0.0264</v>
      </c>
      <c r="D113" s="56">
        <v>0.76</v>
      </c>
      <c r="E113" s="56">
        <v>0.74</v>
      </c>
      <c r="F113" s="56">
        <v>179.0569</v>
      </c>
      <c r="G113" s="56" t="s">
        <v>217</v>
      </c>
      <c r="J113" s="2" t="s">
        <v>23</v>
      </c>
    </row>
    <row r="114">
      <c r="A114" s="48">
        <v>2.4058461E7</v>
      </c>
      <c r="B114" s="61" t="s">
        <v>265</v>
      </c>
      <c r="C114" s="62"/>
      <c r="D114" s="62"/>
      <c r="E114" s="62"/>
      <c r="F114" s="62"/>
      <c r="G114" s="62"/>
      <c r="J114" s="2" t="s">
        <v>23</v>
      </c>
    </row>
    <row r="115">
      <c r="A115" s="48">
        <v>2.4058461E7</v>
      </c>
      <c r="B115" s="63" t="s">
        <v>266</v>
      </c>
      <c r="C115" s="61">
        <v>6.0E-4</v>
      </c>
      <c r="D115" s="63"/>
      <c r="E115" s="63"/>
      <c r="F115" s="63"/>
      <c r="J115" s="2" t="s">
        <v>23</v>
      </c>
    </row>
    <row r="116">
      <c r="A116" s="48">
        <v>2.4058461E7</v>
      </c>
      <c r="B116" s="63" t="s">
        <v>267</v>
      </c>
      <c r="C116" s="63">
        <v>0.067</v>
      </c>
      <c r="D116" s="63"/>
      <c r="E116" s="63"/>
      <c r="F116" s="63"/>
      <c r="J116" s="2" t="s">
        <v>23</v>
      </c>
    </row>
    <row r="117">
      <c r="A117" s="48">
        <v>2.4058461E7</v>
      </c>
      <c r="B117" s="63" t="s">
        <v>268</v>
      </c>
      <c r="C117" s="61">
        <v>0.006</v>
      </c>
      <c r="D117" s="63"/>
      <c r="E117" s="63"/>
      <c r="F117" s="63"/>
      <c r="J117" s="2" t="s">
        <v>23</v>
      </c>
    </row>
    <row r="118">
      <c r="A118" s="48">
        <v>2.4058461E7</v>
      </c>
      <c r="B118" s="63" t="s">
        <v>269</v>
      </c>
      <c r="C118" s="61">
        <v>0.01</v>
      </c>
      <c r="D118" s="63"/>
      <c r="E118" s="63"/>
      <c r="F118" s="63"/>
      <c r="J118" s="2" t="s">
        <v>23</v>
      </c>
    </row>
    <row r="119">
      <c r="A119" s="48">
        <v>2.4058461E7</v>
      </c>
      <c r="B119" s="63" t="s">
        <v>270</v>
      </c>
      <c r="C119" s="63">
        <v>0.096</v>
      </c>
      <c r="D119" s="63"/>
      <c r="E119" s="63"/>
      <c r="F119" s="63"/>
      <c r="J119" s="2" t="s">
        <v>23</v>
      </c>
    </row>
    <row r="120">
      <c r="A120" s="48">
        <v>2.4058461E7</v>
      </c>
      <c r="B120" s="63" t="s">
        <v>271</v>
      </c>
      <c r="C120" s="63">
        <v>0.096</v>
      </c>
      <c r="D120" s="63"/>
      <c r="E120" s="63"/>
      <c r="F120" s="63"/>
      <c r="J120" s="2" t="s">
        <v>23</v>
      </c>
    </row>
    <row r="121">
      <c r="A121" s="48">
        <v>2.4058461E7</v>
      </c>
      <c r="B121" s="63" t="s">
        <v>272</v>
      </c>
      <c r="C121" s="63">
        <v>0.051</v>
      </c>
      <c r="D121" s="63"/>
      <c r="E121" s="63"/>
      <c r="F121" s="63"/>
      <c r="J121" s="2" t="s">
        <v>23</v>
      </c>
    </row>
    <row r="122">
      <c r="A122" s="48">
        <v>2.4058461E7</v>
      </c>
      <c r="B122" s="63" t="s">
        <v>273</v>
      </c>
      <c r="C122" s="61">
        <v>0.007</v>
      </c>
      <c r="D122" s="63"/>
      <c r="E122" s="63"/>
      <c r="F122" s="63"/>
      <c r="J122" s="2" t="s">
        <v>23</v>
      </c>
    </row>
    <row r="123">
      <c r="A123" s="48">
        <v>2.4058461E7</v>
      </c>
      <c r="B123" s="63" t="s">
        <v>274</v>
      </c>
      <c r="C123" s="61">
        <v>0.024</v>
      </c>
      <c r="D123" s="63"/>
      <c r="E123" s="63"/>
      <c r="F123" s="63"/>
      <c r="J123" s="2" t="s">
        <v>23</v>
      </c>
    </row>
    <row r="124">
      <c r="A124" s="48">
        <v>2.4058461E7</v>
      </c>
      <c r="B124" s="64" t="s">
        <v>275</v>
      </c>
      <c r="C124" s="62"/>
      <c r="D124" s="63"/>
      <c r="E124" s="63"/>
      <c r="F124" s="63"/>
      <c r="J124" s="2" t="s">
        <v>23</v>
      </c>
    </row>
    <row r="125">
      <c r="A125" s="48">
        <v>2.4058461E7</v>
      </c>
      <c r="B125" s="63" t="s">
        <v>266</v>
      </c>
      <c r="C125" s="61">
        <v>0.001</v>
      </c>
      <c r="D125" s="63"/>
      <c r="E125" s="63"/>
      <c r="F125" s="63"/>
      <c r="J125" s="2" t="s">
        <v>23</v>
      </c>
    </row>
    <row r="126">
      <c r="A126" s="48">
        <v>2.4058461E7</v>
      </c>
      <c r="B126" s="63" t="s">
        <v>267</v>
      </c>
      <c r="C126" s="61">
        <v>0.011</v>
      </c>
      <c r="D126" s="63"/>
      <c r="E126" s="63"/>
      <c r="F126" s="63"/>
      <c r="J126" s="2" t="s">
        <v>23</v>
      </c>
    </row>
    <row r="127">
      <c r="A127" s="48">
        <v>2.4058461E7</v>
      </c>
      <c r="B127" s="63" t="s">
        <v>268</v>
      </c>
      <c r="C127" s="61">
        <v>0.01</v>
      </c>
      <c r="D127" s="63"/>
      <c r="E127" s="63"/>
      <c r="F127" s="63"/>
      <c r="J127" s="2" t="s">
        <v>23</v>
      </c>
    </row>
    <row r="128">
      <c r="A128" s="48">
        <v>2.4058461E7</v>
      </c>
      <c r="B128" s="63" t="s">
        <v>269</v>
      </c>
      <c r="C128" s="61">
        <v>0.001</v>
      </c>
      <c r="D128" s="63"/>
      <c r="E128" s="63"/>
      <c r="F128" s="63"/>
      <c r="J128" s="2" t="s">
        <v>23</v>
      </c>
    </row>
    <row r="129">
      <c r="A129" s="48">
        <v>2.4058461E7</v>
      </c>
      <c r="B129" s="63" t="s">
        <v>270</v>
      </c>
      <c r="C129" s="61">
        <v>0.006</v>
      </c>
      <c r="D129" s="63"/>
      <c r="E129" s="63"/>
      <c r="F129" s="63"/>
      <c r="J129" s="2" t="s">
        <v>23</v>
      </c>
    </row>
    <row r="130">
      <c r="A130" s="48">
        <v>2.4058461E7</v>
      </c>
      <c r="B130" s="63" t="s">
        <v>271</v>
      </c>
      <c r="C130" s="63">
        <v>0.215</v>
      </c>
      <c r="D130" s="63"/>
      <c r="E130" s="63"/>
      <c r="F130" s="63"/>
      <c r="J130" s="2" t="s">
        <v>23</v>
      </c>
    </row>
    <row r="131">
      <c r="A131" s="48">
        <v>2.4058461E7</v>
      </c>
      <c r="B131" s="63" t="s">
        <v>276</v>
      </c>
      <c r="C131" s="61">
        <v>0.011</v>
      </c>
      <c r="D131" s="63"/>
      <c r="E131" s="63"/>
      <c r="F131" s="63"/>
      <c r="J131" s="2" t="s">
        <v>23</v>
      </c>
    </row>
    <row r="132">
      <c r="A132" s="48">
        <v>2.4058461E7</v>
      </c>
      <c r="B132" s="63" t="s">
        <v>272</v>
      </c>
      <c r="C132" s="63">
        <v>0.176</v>
      </c>
      <c r="D132" s="63"/>
      <c r="E132" s="63"/>
      <c r="F132" s="63"/>
      <c r="J132" s="2" t="s">
        <v>23</v>
      </c>
    </row>
    <row r="133">
      <c r="A133" s="48">
        <v>2.4058461E7</v>
      </c>
      <c r="B133" s="63" t="s">
        <v>273</v>
      </c>
      <c r="C133" s="63">
        <v>0.573</v>
      </c>
      <c r="D133" s="63"/>
      <c r="E133" s="63"/>
      <c r="F133" s="63"/>
      <c r="J133" s="2" t="s">
        <v>23</v>
      </c>
    </row>
    <row r="134">
      <c r="A134" s="48">
        <v>2.4058461E7</v>
      </c>
      <c r="B134" s="61" t="s">
        <v>277</v>
      </c>
      <c r="C134" s="62"/>
      <c r="D134" s="63"/>
      <c r="E134" s="63"/>
      <c r="F134" s="63"/>
      <c r="J134" s="2" t="s">
        <v>23</v>
      </c>
    </row>
    <row r="135">
      <c r="A135" s="48">
        <v>2.4058461E7</v>
      </c>
      <c r="B135" s="63" t="s">
        <v>266</v>
      </c>
      <c r="C135" s="61">
        <v>0.006</v>
      </c>
      <c r="D135" s="63"/>
      <c r="E135" s="63"/>
      <c r="F135" s="63"/>
      <c r="J135" s="2" t="s">
        <v>23</v>
      </c>
    </row>
    <row r="136">
      <c r="A136" s="48">
        <v>2.4058461E7</v>
      </c>
      <c r="B136" s="63" t="s">
        <v>267</v>
      </c>
      <c r="C136" s="61">
        <v>0.006</v>
      </c>
      <c r="D136" s="63"/>
      <c r="E136" s="63"/>
      <c r="F136" s="63"/>
      <c r="J136" s="2" t="s">
        <v>23</v>
      </c>
    </row>
    <row r="137">
      <c r="A137" s="48">
        <v>2.4058461E7</v>
      </c>
      <c r="B137" s="63" t="s">
        <v>269</v>
      </c>
      <c r="C137" s="61">
        <v>0.001</v>
      </c>
      <c r="D137" s="63"/>
      <c r="E137" s="63"/>
      <c r="F137" s="63"/>
      <c r="J137" s="2" t="s">
        <v>23</v>
      </c>
    </row>
    <row r="138">
      <c r="A138" s="48">
        <v>2.4058461E7</v>
      </c>
      <c r="B138" s="63" t="s">
        <v>270</v>
      </c>
      <c r="C138" s="61">
        <v>0.009</v>
      </c>
      <c r="D138" s="63"/>
      <c r="E138" s="63"/>
      <c r="F138" s="63"/>
      <c r="J138" s="2" t="s">
        <v>23</v>
      </c>
    </row>
    <row r="139">
      <c r="A139" s="48">
        <v>2.4058461E7</v>
      </c>
      <c r="B139" s="63" t="s">
        <v>273</v>
      </c>
      <c r="C139" s="61">
        <v>0.004</v>
      </c>
      <c r="D139" s="63"/>
      <c r="E139" s="63"/>
      <c r="F139" s="63"/>
      <c r="J139" s="2" t="s">
        <v>23</v>
      </c>
    </row>
    <row r="140">
      <c r="B140" s="38">
        <v>2.8880465E7</v>
      </c>
    </row>
    <row r="141" ht="22.5" customHeight="1">
      <c r="A141" s="65" t="s">
        <v>278</v>
      </c>
      <c r="B141" s="65" t="s">
        <v>279</v>
      </c>
      <c r="C141" s="65" t="s">
        <v>280</v>
      </c>
      <c r="D141" s="66" t="s">
        <v>281</v>
      </c>
      <c r="E141" s="66" t="s">
        <v>2</v>
      </c>
      <c r="F141" s="66" t="s">
        <v>282</v>
      </c>
      <c r="G141" s="66" t="s">
        <v>283</v>
      </c>
      <c r="H141" s="67"/>
      <c r="I141" s="67"/>
      <c r="J141" s="67"/>
      <c r="K141" s="68"/>
      <c r="L141" s="67"/>
      <c r="M141" s="68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22.5" customHeight="1">
      <c r="A142" s="69">
        <v>2.65</v>
      </c>
      <c r="B142" s="70" t="s">
        <v>284</v>
      </c>
      <c r="C142" s="69">
        <v>198.0746</v>
      </c>
      <c r="D142" s="71" t="s">
        <v>285</v>
      </c>
      <c r="E142" s="71" t="s">
        <v>286</v>
      </c>
      <c r="F142" s="72">
        <v>0.61</v>
      </c>
      <c r="G142" s="72">
        <v>0.00247</v>
      </c>
      <c r="K142" s="68"/>
      <c r="M142" s="68"/>
    </row>
    <row r="143" ht="22.5" customHeight="1">
      <c r="A143" s="69">
        <v>3.2</v>
      </c>
      <c r="B143" s="70" t="s">
        <v>287</v>
      </c>
      <c r="C143" s="69">
        <v>268.0802</v>
      </c>
      <c r="D143" s="71" t="s">
        <v>288</v>
      </c>
      <c r="E143" s="71" t="s">
        <v>286</v>
      </c>
      <c r="F143" s="72">
        <v>0.74</v>
      </c>
      <c r="G143" s="72">
        <v>0.0686</v>
      </c>
      <c r="K143" s="68"/>
      <c r="M143" s="68"/>
    </row>
    <row r="144" ht="22.5" customHeight="1">
      <c r="A144" s="69">
        <v>3.58</v>
      </c>
      <c r="B144" s="70" t="s">
        <v>289</v>
      </c>
      <c r="C144" s="69">
        <v>237.0839</v>
      </c>
      <c r="D144" s="71" t="s">
        <v>290</v>
      </c>
      <c r="E144" s="71" t="s">
        <v>286</v>
      </c>
      <c r="F144" s="72">
        <v>1.36</v>
      </c>
      <c r="G144" s="72">
        <v>1.74E-4</v>
      </c>
      <c r="K144" s="68"/>
      <c r="M144" s="68"/>
    </row>
    <row r="145" ht="22.5" customHeight="1">
      <c r="A145" s="69">
        <v>3.9</v>
      </c>
      <c r="B145" s="70" t="s">
        <v>128</v>
      </c>
      <c r="C145" s="69">
        <v>175.0951</v>
      </c>
      <c r="D145" s="71" t="s">
        <v>291</v>
      </c>
      <c r="E145" s="71" t="s">
        <v>292</v>
      </c>
      <c r="F145" s="72">
        <v>0.83</v>
      </c>
      <c r="G145" s="72">
        <v>2.23E-5</v>
      </c>
      <c r="K145" s="68"/>
      <c r="M145" s="68"/>
    </row>
    <row r="146" ht="22.5" customHeight="1">
      <c r="A146" s="69">
        <v>4.08</v>
      </c>
      <c r="B146" s="70" t="s">
        <v>293</v>
      </c>
      <c r="C146" s="69">
        <v>165.0452</v>
      </c>
      <c r="D146" s="71" t="s">
        <v>294</v>
      </c>
      <c r="E146" s="71" t="s">
        <v>292</v>
      </c>
      <c r="F146" s="72">
        <v>1.21</v>
      </c>
      <c r="G146" s="72">
        <v>0.0255</v>
      </c>
      <c r="K146" s="68"/>
      <c r="M146" s="68"/>
    </row>
    <row r="147" ht="22.5" customHeight="1">
      <c r="A147" s="69">
        <v>4.6</v>
      </c>
      <c r="B147" s="70" t="s">
        <v>295</v>
      </c>
      <c r="C147" s="69">
        <v>165.0454</v>
      </c>
      <c r="D147" s="71" t="s">
        <v>294</v>
      </c>
      <c r="E147" s="71" t="s">
        <v>292</v>
      </c>
      <c r="F147" s="72">
        <v>1.24</v>
      </c>
      <c r="G147" s="72">
        <v>0.0268</v>
      </c>
      <c r="K147" s="68"/>
      <c r="M147" s="68"/>
    </row>
    <row r="148" ht="22.5" customHeight="1">
      <c r="A148" s="69">
        <v>4.9</v>
      </c>
      <c r="B148" s="70" t="s">
        <v>296</v>
      </c>
      <c r="C148" s="69">
        <v>176.0789</v>
      </c>
      <c r="D148" s="71" t="s">
        <v>297</v>
      </c>
      <c r="E148" s="71" t="s">
        <v>286</v>
      </c>
      <c r="F148" s="72">
        <v>0.78</v>
      </c>
      <c r="G148" s="72">
        <v>7.71E-6</v>
      </c>
      <c r="K148" s="68"/>
      <c r="M148" s="68"/>
    </row>
    <row r="149" ht="22.5" customHeight="1">
      <c r="A149" s="69">
        <v>6.81</v>
      </c>
      <c r="B149" s="70" t="s">
        <v>298</v>
      </c>
      <c r="C149" s="69">
        <v>181.0733</v>
      </c>
      <c r="D149" s="71" t="s">
        <v>299</v>
      </c>
      <c r="E149" s="71" t="s">
        <v>286</v>
      </c>
      <c r="F149" s="72">
        <v>0.76</v>
      </c>
      <c r="G149" s="72">
        <v>9.15E-5</v>
      </c>
      <c r="K149" s="68"/>
      <c r="M149" s="68"/>
    </row>
    <row r="150" ht="22.5" customHeight="1">
      <c r="A150" s="69">
        <v>7.4</v>
      </c>
      <c r="B150" s="70" t="s">
        <v>300</v>
      </c>
      <c r="C150" s="69">
        <v>202.1311</v>
      </c>
      <c r="D150" s="71" t="s">
        <v>301</v>
      </c>
      <c r="E150" s="71" t="s">
        <v>286</v>
      </c>
      <c r="F150" s="72">
        <v>0.66</v>
      </c>
      <c r="G150" s="72">
        <v>1.92E-8</v>
      </c>
      <c r="K150" s="68"/>
      <c r="M150" s="68"/>
    </row>
    <row r="151" ht="22.5" customHeight="1">
      <c r="A151" s="69">
        <v>7.63</v>
      </c>
      <c r="B151" s="70" t="s">
        <v>302</v>
      </c>
      <c r="C151" s="69">
        <v>75.0685</v>
      </c>
      <c r="D151" s="71" t="s">
        <v>303</v>
      </c>
      <c r="E151" s="71" t="s">
        <v>286</v>
      </c>
      <c r="F151" s="72">
        <v>1.9</v>
      </c>
      <c r="G151" s="72">
        <v>5.32E-6</v>
      </c>
      <c r="K151" s="68"/>
      <c r="M151" s="68"/>
    </row>
    <row r="152" ht="22.5" customHeight="1">
      <c r="A152" s="69">
        <v>7.75</v>
      </c>
      <c r="B152" s="70" t="s">
        <v>304</v>
      </c>
      <c r="C152" s="69">
        <v>231.1209</v>
      </c>
      <c r="D152" s="71" t="s">
        <v>305</v>
      </c>
      <c r="E152" s="71" t="s">
        <v>286</v>
      </c>
      <c r="F152" s="72">
        <v>1.34</v>
      </c>
      <c r="G152" s="72">
        <v>0.0151</v>
      </c>
      <c r="K152" s="68"/>
      <c r="M152" s="68"/>
    </row>
    <row r="153" ht="22.5" customHeight="1">
      <c r="A153" s="69">
        <v>8.21</v>
      </c>
      <c r="B153" s="70" t="s">
        <v>298</v>
      </c>
      <c r="C153" s="69">
        <v>181.0731</v>
      </c>
      <c r="D153" s="71" t="s">
        <v>299</v>
      </c>
      <c r="E153" s="71" t="s">
        <v>286</v>
      </c>
      <c r="F153" s="72">
        <v>0.82</v>
      </c>
      <c r="G153" s="72">
        <v>0.0204</v>
      </c>
      <c r="K153" s="68"/>
      <c r="M153" s="68"/>
    </row>
    <row r="154" ht="22.5" customHeight="1">
      <c r="A154" s="69">
        <v>8.56</v>
      </c>
      <c r="B154" s="70" t="s">
        <v>259</v>
      </c>
      <c r="C154" s="69">
        <v>219.11</v>
      </c>
      <c r="D154" s="71" t="s">
        <v>306</v>
      </c>
      <c r="E154" s="71" t="s">
        <v>292</v>
      </c>
      <c r="F154" s="72">
        <v>0.76</v>
      </c>
      <c r="G154" s="72">
        <v>0.0195</v>
      </c>
      <c r="K154" s="68"/>
      <c r="M154" s="68"/>
    </row>
    <row r="155" ht="22.5" customHeight="1">
      <c r="A155" s="69">
        <v>9.34</v>
      </c>
      <c r="B155" s="70" t="s">
        <v>307</v>
      </c>
      <c r="C155" s="69">
        <v>174.0991</v>
      </c>
      <c r="D155" s="71" t="s">
        <v>308</v>
      </c>
      <c r="E155" s="71" t="s">
        <v>292</v>
      </c>
      <c r="F155" s="72">
        <v>1.45</v>
      </c>
      <c r="G155" s="72">
        <v>0.0191</v>
      </c>
      <c r="K155" s="68"/>
      <c r="M155" s="68"/>
    </row>
    <row r="156" ht="22.5" customHeight="1">
      <c r="A156" s="69">
        <v>9.52</v>
      </c>
      <c r="B156" s="70" t="s">
        <v>309</v>
      </c>
      <c r="C156" s="69">
        <v>73.0533</v>
      </c>
      <c r="D156" s="71" t="s">
        <v>310</v>
      </c>
      <c r="E156" s="71" t="s">
        <v>286</v>
      </c>
      <c r="F156" s="72">
        <v>1.48</v>
      </c>
      <c r="G156" s="72">
        <v>1.02E-7</v>
      </c>
      <c r="K156" s="68"/>
      <c r="M156" s="68"/>
    </row>
    <row r="157" ht="22.5" customHeight="1">
      <c r="A157" s="69">
        <v>11.58</v>
      </c>
      <c r="B157" s="70" t="s">
        <v>311</v>
      </c>
      <c r="C157" s="69">
        <v>196.0363</v>
      </c>
      <c r="D157" s="71" t="s">
        <v>312</v>
      </c>
      <c r="E157" s="71" t="s">
        <v>286</v>
      </c>
      <c r="F157" s="72">
        <v>179.7</v>
      </c>
      <c r="G157" s="72">
        <v>6.28E-8</v>
      </c>
      <c r="K157" s="68"/>
      <c r="M157" s="68"/>
    </row>
    <row r="158" ht="22.5" customHeight="1">
      <c r="A158" s="69">
        <v>11.77</v>
      </c>
      <c r="B158" s="70" t="s">
        <v>313</v>
      </c>
      <c r="C158" s="69">
        <v>166.047</v>
      </c>
      <c r="D158" s="71" t="s">
        <v>314</v>
      </c>
      <c r="E158" s="71" t="s">
        <v>286</v>
      </c>
      <c r="F158" s="72">
        <v>0.62</v>
      </c>
      <c r="G158" s="72">
        <v>0.00246</v>
      </c>
      <c r="K158" s="68"/>
      <c r="M158" s="68"/>
    </row>
    <row r="159" ht="22.5" customHeight="1">
      <c r="A159" s="69">
        <v>12.02</v>
      </c>
      <c r="B159" s="70" t="s">
        <v>315</v>
      </c>
      <c r="C159" s="69">
        <v>166.0483</v>
      </c>
      <c r="D159" s="71" t="s">
        <v>316</v>
      </c>
      <c r="E159" s="71" t="s">
        <v>286</v>
      </c>
      <c r="F159" s="72">
        <v>0.65</v>
      </c>
      <c r="G159" s="72">
        <v>0.00444</v>
      </c>
      <c r="K159" s="68"/>
      <c r="M159" s="68"/>
    </row>
    <row r="160" ht="22.5" customHeight="1">
      <c r="A160" s="69">
        <v>12.9</v>
      </c>
      <c r="B160" s="70" t="s">
        <v>317</v>
      </c>
      <c r="C160" s="69">
        <v>297.0434</v>
      </c>
      <c r="D160" s="71" t="s">
        <v>318</v>
      </c>
      <c r="E160" s="71" t="s">
        <v>286</v>
      </c>
      <c r="F160" s="72">
        <v>0.83</v>
      </c>
      <c r="G160" s="72">
        <v>9.87E-8</v>
      </c>
      <c r="K160" s="68"/>
      <c r="M160" s="68"/>
    </row>
    <row r="161" ht="22.5" customHeight="1">
      <c r="A161" s="69">
        <v>13.27</v>
      </c>
      <c r="B161" s="70" t="s">
        <v>319</v>
      </c>
      <c r="C161" s="69">
        <v>198.0518</v>
      </c>
      <c r="D161" s="71" t="s">
        <v>320</v>
      </c>
      <c r="E161" s="71" t="s">
        <v>292</v>
      </c>
      <c r="F161" s="72">
        <v>3.8</v>
      </c>
      <c r="G161" s="72">
        <v>2.07E-19</v>
      </c>
      <c r="K161" s="68"/>
      <c r="M161" s="68"/>
    </row>
    <row r="162" ht="22.5" customHeight="1">
      <c r="A162" s="69">
        <v>13.66</v>
      </c>
      <c r="B162" s="70" t="s">
        <v>321</v>
      </c>
      <c r="C162" s="69">
        <v>129.0778</v>
      </c>
      <c r="D162" s="71" t="s">
        <v>322</v>
      </c>
      <c r="E162" s="71" t="s">
        <v>292</v>
      </c>
      <c r="F162" s="72">
        <v>0.8</v>
      </c>
      <c r="G162" s="72">
        <v>0.0193</v>
      </c>
      <c r="K162" s="68"/>
      <c r="M162" s="68"/>
    </row>
    <row r="163" ht="22.5" customHeight="1">
      <c r="A163" s="69">
        <v>14.61</v>
      </c>
      <c r="B163" s="70" t="s">
        <v>323</v>
      </c>
      <c r="C163" s="69">
        <v>200.1156</v>
      </c>
      <c r="D163" s="71" t="s">
        <v>324</v>
      </c>
      <c r="E163" s="71" t="s">
        <v>286</v>
      </c>
      <c r="F163" s="72">
        <v>0.82</v>
      </c>
      <c r="G163" s="72">
        <v>0.0118</v>
      </c>
      <c r="K163" s="68"/>
      <c r="M163" s="68"/>
    </row>
    <row r="164" ht="22.5" customHeight="1">
      <c r="A164" s="69">
        <v>15.05</v>
      </c>
      <c r="B164" s="70" t="s">
        <v>325</v>
      </c>
      <c r="C164" s="69">
        <v>198.0518</v>
      </c>
      <c r="D164" s="71" t="s">
        <v>326</v>
      </c>
      <c r="E164" s="71" t="s">
        <v>286</v>
      </c>
      <c r="F164" s="72">
        <v>164.05</v>
      </c>
      <c r="G164" s="72">
        <v>3.25E-7</v>
      </c>
      <c r="K164" s="68"/>
      <c r="M164" s="68"/>
    </row>
    <row r="165" ht="22.5" customHeight="1">
      <c r="A165" s="69">
        <v>15.87</v>
      </c>
      <c r="B165" s="70" t="s">
        <v>327</v>
      </c>
      <c r="C165" s="69">
        <v>180.0649</v>
      </c>
      <c r="D165" s="71" t="s">
        <v>328</v>
      </c>
      <c r="E165" s="71" t="s">
        <v>292</v>
      </c>
      <c r="F165" s="72">
        <v>0.48</v>
      </c>
      <c r="G165" s="72">
        <v>4.42E-7</v>
      </c>
      <c r="K165" s="68"/>
      <c r="M165" s="68"/>
    </row>
    <row r="166" ht="22.5" customHeight="1">
      <c r="A166" s="69">
        <v>17.58</v>
      </c>
      <c r="B166" s="70" t="s">
        <v>329</v>
      </c>
      <c r="C166" s="69">
        <v>243.121</v>
      </c>
      <c r="D166" s="71" t="s">
        <v>330</v>
      </c>
      <c r="E166" s="71" t="s">
        <v>286</v>
      </c>
      <c r="F166" s="72">
        <v>1.24</v>
      </c>
      <c r="G166" s="72">
        <v>2.07E-4</v>
      </c>
      <c r="K166" s="68"/>
      <c r="M166" s="68"/>
    </row>
    <row r="167" ht="22.5" customHeight="1">
      <c r="A167" s="69">
        <v>17.77</v>
      </c>
      <c r="B167" s="70" t="s">
        <v>331</v>
      </c>
      <c r="C167" s="69">
        <v>138.0305</v>
      </c>
      <c r="D167" s="71" t="s">
        <v>332</v>
      </c>
      <c r="E167" s="71" t="s">
        <v>286</v>
      </c>
      <c r="F167" s="72">
        <v>0.8</v>
      </c>
      <c r="G167" s="72">
        <v>0.00715</v>
      </c>
      <c r="K167" s="68"/>
      <c r="M167" s="68"/>
    </row>
    <row r="168" ht="22.5" customHeight="1">
      <c r="A168" s="69">
        <v>17.88</v>
      </c>
      <c r="B168" s="70" t="s">
        <v>333</v>
      </c>
      <c r="C168" s="69">
        <v>168.0418</v>
      </c>
      <c r="D168" s="71" t="s">
        <v>334</v>
      </c>
      <c r="E168" s="71" t="s">
        <v>292</v>
      </c>
      <c r="F168" s="72">
        <v>3.48</v>
      </c>
      <c r="G168" s="72">
        <v>3.96E-20</v>
      </c>
      <c r="K168" s="68"/>
      <c r="M168" s="68"/>
    </row>
    <row r="169" ht="22.5" customHeight="1">
      <c r="A169" s="69">
        <v>20.43</v>
      </c>
      <c r="B169" s="70" t="s">
        <v>335</v>
      </c>
      <c r="C169" s="69">
        <v>180.0781</v>
      </c>
      <c r="D169" s="71" t="s">
        <v>336</v>
      </c>
      <c r="E169" s="71" t="s">
        <v>286</v>
      </c>
      <c r="F169" s="72">
        <v>3.75</v>
      </c>
      <c r="G169" s="72">
        <v>0.0591</v>
      </c>
      <c r="K169" s="68"/>
      <c r="M169" s="68"/>
    </row>
    <row r="170" ht="22.5" customHeight="1">
      <c r="A170" s="69">
        <v>20.81</v>
      </c>
      <c r="B170" s="70" t="s">
        <v>337</v>
      </c>
      <c r="C170" s="69">
        <v>99.1044</v>
      </c>
      <c r="D170" s="71" t="s">
        <v>338</v>
      </c>
      <c r="E170" s="71" t="s">
        <v>286</v>
      </c>
      <c r="F170" s="72">
        <v>0.6</v>
      </c>
      <c r="G170" s="72">
        <v>0.0171</v>
      </c>
      <c r="K170" s="68"/>
      <c r="M170" s="68"/>
    </row>
    <row r="171" ht="22.5" customHeight="1">
      <c r="A171" s="69">
        <v>20.82</v>
      </c>
      <c r="B171" s="70" t="s">
        <v>339</v>
      </c>
      <c r="C171" s="69">
        <v>305.2608</v>
      </c>
      <c r="D171" s="71" t="s">
        <v>340</v>
      </c>
      <c r="E171" s="71" t="s">
        <v>286</v>
      </c>
      <c r="F171" s="72">
        <v>1.65</v>
      </c>
      <c r="G171" s="72">
        <v>7.89E-6</v>
      </c>
      <c r="K171" s="68"/>
      <c r="M171" s="68"/>
    </row>
    <row r="172" ht="22.5" customHeight="1">
      <c r="A172" s="69">
        <v>21.0</v>
      </c>
      <c r="B172" s="70" t="s">
        <v>341</v>
      </c>
      <c r="C172" s="69">
        <v>160.1193</v>
      </c>
      <c r="D172" s="71" t="s">
        <v>342</v>
      </c>
      <c r="E172" s="71" t="s">
        <v>286</v>
      </c>
      <c r="F172" s="72">
        <v>0.65</v>
      </c>
      <c r="G172" s="72">
        <v>0.00291</v>
      </c>
      <c r="K172" s="68"/>
      <c r="M172" s="68"/>
    </row>
    <row r="173" ht="22.5" customHeight="1">
      <c r="A173" s="69">
        <v>21.01</v>
      </c>
      <c r="B173" s="70" t="s">
        <v>343</v>
      </c>
      <c r="C173" s="69">
        <v>162.1193</v>
      </c>
      <c r="D173" s="71" t="s">
        <v>344</v>
      </c>
      <c r="E173" s="71" t="s">
        <v>286</v>
      </c>
      <c r="F173" s="72">
        <v>0.68</v>
      </c>
      <c r="G173" s="72">
        <v>0.00605</v>
      </c>
      <c r="K173" s="68"/>
      <c r="M173" s="68"/>
    </row>
    <row r="174" ht="22.5" customHeight="1">
      <c r="A174" s="69">
        <v>21.75</v>
      </c>
      <c r="B174" s="70" t="s">
        <v>345</v>
      </c>
      <c r="C174" s="69">
        <v>152.0456</v>
      </c>
      <c r="D174" s="71" t="s">
        <v>346</v>
      </c>
      <c r="E174" s="71" t="s">
        <v>286</v>
      </c>
      <c r="F174" s="72">
        <v>1.27</v>
      </c>
      <c r="G174" s="72">
        <v>0.0101</v>
      </c>
      <c r="K174" s="68"/>
      <c r="M174" s="68"/>
    </row>
    <row r="175" ht="22.5" customHeight="1">
      <c r="A175" s="69">
        <v>22.21</v>
      </c>
      <c r="B175" s="70" t="s">
        <v>347</v>
      </c>
      <c r="C175" s="69">
        <v>208.0885</v>
      </c>
      <c r="D175" s="71" t="s">
        <v>348</v>
      </c>
      <c r="E175" s="71" t="s">
        <v>286</v>
      </c>
      <c r="F175" s="72">
        <v>0.61</v>
      </c>
      <c r="G175" s="72">
        <v>2.55E-19</v>
      </c>
      <c r="K175" s="68"/>
      <c r="M175" s="68"/>
    </row>
    <row r="176" ht="22.5" customHeight="1">
      <c r="A176" s="69">
        <v>22.28</v>
      </c>
      <c r="B176" s="70" t="s">
        <v>349</v>
      </c>
      <c r="C176" s="69">
        <v>212.0873</v>
      </c>
      <c r="D176" s="71" t="s">
        <v>350</v>
      </c>
      <c r="E176" s="71" t="s">
        <v>286</v>
      </c>
      <c r="F176" s="72">
        <v>29.32</v>
      </c>
      <c r="G176" s="72">
        <v>4.66E-6</v>
      </c>
      <c r="K176" s="68"/>
      <c r="M176" s="68"/>
    </row>
    <row r="177" ht="22.5" customHeight="1">
      <c r="A177" s="69">
        <v>23.42</v>
      </c>
      <c r="B177" s="70" t="s">
        <v>351</v>
      </c>
      <c r="C177" s="69">
        <v>224.0805</v>
      </c>
      <c r="D177" s="71" t="s">
        <v>352</v>
      </c>
      <c r="E177" s="71" t="s">
        <v>292</v>
      </c>
      <c r="F177" s="72">
        <v>2.73</v>
      </c>
      <c r="G177" s="72">
        <v>1.3E-8</v>
      </c>
      <c r="K177" s="68"/>
      <c r="M177" s="68"/>
    </row>
    <row r="178" ht="22.5" customHeight="1">
      <c r="A178" s="69">
        <v>23.75</v>
      </c>
      <c r="B178" s="70" t="s">
        <v>353</v>
      </c>
      <c r="C178" s="69">
        <v>188.0259</v>
      </c>
      <c r="D178" s="71" t="s">
        <v>354</v>
      </c>
      <c r="E178" s="71" t="s">
        <v>286</v>
      </c>
      <c r="F178" s="72">
        <v>0.82</v>
      </c>
      <c r="G178" s="72">
        <v>0.0123</v>
      </c>
      <c r="K178" s="68"/>
      <c r="M178" s="68"/>
    </row>
    <row r="179" ht="22.5" customHeight="1">
      <c r="A179" s="69">
        <v>24.23</v>
      </c>
      <c r="B179" s="70" t="s">
        <v>355</v>
      </c>
      <c r="C179" s="69">
        <v>152.0336</v>
      </c>
      <c r="D179" s="71" t="s">
        <v>356</v>
      </c>
      <c r="E179" s="71" t="s">
        <v>286</v>
      </c>
      <c r="F179" s="72">
        <v>0.59</v>
      </c>
      <c r="G179" s="72">
        <v>0.0615</v>
      </c>
      <c r="K179" s="68"/>
      <c r="M179" s="68"/>
    </row>
    <row r="180" ht="22.5" customHeight="1">
      <c r="A180" s="69">
        <v>24.38</v>
      </c>
      <c r="B180" s="70" t="s">
        <v>357</v>
      </c>
      <c r="C180" s="69">
        <v>136.0538</v>
      </c>
      <c r="D180" s="71" t="s">
        <v>358</v>
      </c>
      <c r="E180" s="71" t="s">
        <v>286</v>
      </c>
      <c r="F180" s="72">
        <v>0.75</v>
      </c>
      <c r="G180" s="72">
        <v>0.00176</v>
      </c>
      <c r="K180" s="68"/>
      <c r="M180" s="68"/>
    </row>
    <row r="181" ht="22.5" customHeight="1">
      <c r="A181" s="69">
        <v>24.38</v>
      </c>
      <c r="B181" s="70" t="s">
        <v>359</v>
      </c>
      <c r="C181" s="69">
        <v>216.1461</v>
      </c>
      <c r="D181" s="71" t="s">
        <v>326</v>
      </c>
      <c r="E181" s="71" t="s">
        <v>286</v>
      </c>
      <c r="F181" s="72">
        <v>0.82</v>
      </c>
      <c r="G181" s="72">
        <v>0.0995</v>
      </c>
      <c r="K181" s="68"/>
      <c r="M181" s="68"/>
    </row>
    <row r="182" ht="22.5" customHeight="1">
      <c r="A182" s="69">
        <v>24.69</v>
      </c>
      <c r="B182" s="70" t="s">
        <v>357</v>
      </c>
      <c r="C182" s="69">
        <v>136.0515</v>
      </c>
      <c r="D182" s="71" t="s">
        <v>360</v>
      </c>
      <c r="E182" s="71" t="s">
        <v>286</v>
      </c>
      <c r="F182" s="72">
        <v>0.83</v>
      </c>
      <c r="G182" s="72">
        <v>0.017</v>
      </c>
      <c r="K182" s="68"/>
      <c r="M182" s="68"/>
    </row>
    <row r="183" ht="22.5" customHeight="1">
      <c r="A183" s="69">
        <v>25.06</v>
      </c>
      <c r="B183" s="70" t="s">
        <v>361</v>
      </c>
      <c r="C183" s="69">
        <v>176.0933</v>
      </c>
      <c r="D183" s="71" t="s">
        <v>362</v>
      </c>
      <c r="E183" s="71" t="s">
        <v>292</v>
      </c>
      <c r="F183" s="72">
        <v>0.79</v>
      </c>
      <c r="G183" s="72">
        <v>0.0107</v>
      </c>
      <c r="K183" s="68"/>
      <c r="M183" s="68"/>
    </row>
    <row r="184" ht="22.5" customHeight="1">
      <c r="A184" s="69">
        <v>27.48</v>
      </c>
      <c r="B184" s="70" t="s">
        <v>363</v>
      </c>
      <c r="C184" s="69">
        <v>211.0677</v>
      </c>
      <c r="D184" s="71" t="s">
        <v>364</v>
      </c>
      <c r="E184" s="71" t="s">
        <v>286</v>
      </c>
      <c r="F184" s="72">
        <v>231.42</v>
      </c>
      <c r="G184" s="72">
        <v>0.0364</v>
      </c>
      <c r="K184" s="68"/>
      <c r="M184" s="68"/>
    </row>
    <row r="185" ht="22.5" customHeight="1">
      <c r="A185" s="69">
        <v>27.54</v>
      </c>
      <c r="B185" s="70" t="s">
        <v>365</v>
      </c>
      <c r="C185" s="69">
        <v>140.0485</v>
      </c>
      <c r="D185" s="71" t="s">
        <v>334</v>
      </c>
      <c r="E185" s="71" t="s">
        <v>286</v>
      </c>
      <c r="F185" s="72">
        <v>11.77</v>
      </c>
      <c r="G185" s="72">
        <v>0.00381</v>
      </c>
      <c r="K185" s="68"/>
      <c r="M185" s="68"/>
    </row>
    <row r="186" ht="22.5" customHeight="1">
      <c r="A186" s="69">
        <v>27.74</v>
      </c>
      <c r="B186" s="70" t="s">
        <v>366</v>
      </c>
      <c r="C186" s="69">
        <v>165.0551</v>
      </c>
      <c r="D186" s="71" t="s">
        <v>367</v>
      </c>
      <c r="E186" s="71" t="s">
        <v>286</v>
      </c>
      <c r="F186" s="72">
        <v>240.6</v>
      </c>
      <c r="G186" s="72">
        <v>6.28E-8</v>
      </c>
      <c r="K186" s="68"/>
      <c r="M186" s="68"/>
    </row>
    <row r="187" ht="22.5" customHeight="1">
      <c r="A187" s="69">
        <v>27.76</v>
      </c>
      <c r="B187" s="70" t="s">
        <v>368</v>
      </c>
      <c r="C187" s="69">
        <v>166.0655</v>
      </c>
      <c r="D187" s="71" t="s">
        <v>369</v>
      </c>
      <c r="E187" s="71" t="s">
        <v>286</v>
      </c>
      <c r="F187" s="72">
        <v>208.33</v>
      </c>
      <c r="G187" s="72">
        <v>1.38E-22</v>
      </c>
      <c r="K187" s="68"/>
    </row>
    <row r="188">
      <c r="L188" s="68"/>
    </row>
    <row r="189" ht="22.5" customHeight="1">
      <c r="A189" s="65" t="s">
        <v>1</v>
      </c>
      <c r="B189" s="65" t="s">
        <v>370</v>
      </c>
      <c r="C189" s="66" t="s">
        <v>281</v>
      </c>
      <c r="D189" s="65" t="s">
        <v>371</v>
      </c>
      <c r="E189" s="65" t="s">
        <v>372</v>
      </c>
      <c r="F189" s="65" t="s">
        <v>373</v>
      </c>
      <c r="G189" s="65" t="s">
        <v>374</v>
      </c>
      <c r="H189" s="65" t="s">
        <v>375</v>
      </c>
      <c r="I189" s="65" t="s">
        <v>282</v>
      </c>
      <c r="J189" s="66" t="s">
        <v>376</v>
      </c>
      <c r="M189" s="68"/>
    </row>
    <row r="190" ht="22.5" customHeight="1">
      <c r="A190" s="70" t="s">
        <v>377</v>
      </c>
      <c r="B190" s="70" t="s">
        <v>377</v>
      </c>
      <c r="C190" s="71" t="s">
        <v>378</v>
      </c>
      <c r="D190" s="69">
        <v>136.0385</v>
      </c>
      <c r="E190" s="69">
        <v>388.1098</v>
      </c>
      <c r="F190" s="69">
        <v>2.12</v>
      </c>
      <c r="G190" s="69">
        <v>0.9237</v>
      </c>
      <c r="H190" s="69">
        <v>0.9384</v>
      </c>
      <c r="I190" s="69">
        <v>1.0159</v>
      </c>
      <c r="J190" s="72">
        <v>0.7675</v>
      </c>
      <c r="M190" s="68"/>
    </row>
    <row r="191" ht="22.5" customHeight="1">
      <c r="A191" s="70" t="s">
        <v>16</v>
      </c>
      <c r="B191" s="70" t="s">
        <v>16</v>
      </c>
      <c r="C191" s="71" t="s">
        <v>379</v>
      </c>
      <c r="D191" s="69">
        <v>169.0851</v>
      </c>
      <c r="E191" s="69">
        <v>403.1434</v>
      </c>
      <c r="F191" s="69">
        <v>2.17</v>
      </c>
      <c r="G191" s="69">
        <v>0.977</v>
      </c>
      <c r="H191" s="69">
        <v>0.8759</v>
      </c>
      <c r="I191" s="69">
        <v>0.8965</v>
      </c>
      <c r="J191" s="72">
        <v>0.0108</v>
      </c>
      <c r="M191" s="68"/>
    </row>
    <row r="192" ht="22.5" customHeight="1">
      <c r="A192" s="70" t="s">
        <v>380</v>
      </c>
      <c r="B192" s="70" t="s">
        <v>380</v>
      </c>
      <c r="C192" s="71" t="s">
        <v>381</v>
      </c>
      <c r="D192" s="69">
        <v>125.0147</v>
      </c>
      <c r="E192" s="69">
        <v>359.073</v>
      </c>
      <c r="F192" s="69">
        <v>2.24</v>
      </c>
      <c r="G192" s="69">
        <v>0.9298</v>
      </c>
      <c r="H192" s="69">
        <v>0.9171</v>
      </c>
      <c r="I192" s="69">
        <v>0.9864</v>
      </c>
      <c r="J192" s="72">
        <v>0.7258</v>
      </c>
      <c r="M192" s="68"/>
    </row>
    <row r="193" ht="22.5" customHeight="1">
      <c r="A193" s="70" t="s">
        <v>382</v>
      </c>
      <c r="B193" s="70" t="s">
        <v>382</v>
      </c>
      <c r="C193" s="71" t="s">
        <v>383</v>
      </c>
      <c r="D193" s="69">
        <v>174.1117</v>
      </c>
      <c r="E193" s="69">
        <v>408.17</v>
      </c>
      <c r="F193" s="69">
        <v>2.44</v>
      </c>
      <c r="G193" s="69">
        <v>0.9233</v>
      </c>
      <c r="H193" s="69">
        <v>0.8127</v>
      </c>
      <c r="I193" s="69">
        <v>0.8802</v>
      </c>
      <c r="J193" s="72">
        <v>1.0E-4</v>
      </c>
      <c r="M193" s="68"/>
    </row>
    <row r="194" ht="22.5" customHeight="1">
      <c r="A194" s="70" t="s">
        <v>384</v>
      </c>
      <c r="B194" s="70" t="s">
        <v>384</v>
      </c>
      <c r="C194" s="71" t="s">
        <v>385</v>
      </c>
      <c r="D194" s="69">
        <v>132.0535</v>
      </c>
      <c r="E194" s="69">
        <v>366.1118</v>
      </c>
      <c r="F194" s="69">
        <v>3.0</v>
      </c>
      <c r="G194" s="69">
        <v>0.9257</v>
      </c>
      <c r="H194" s="69">
        <v>0.8979</v>
      </c>
      <c r="I194" s="69">
        <v>0.97</v>
      </c>
      <c r="J194" s="72">
        <v>0.2036</v>
      </c>
      <c r="M194" s="68"/>
    </row>
    <row r="195" ht="22.5" customHeight="1">
      <c r="A195" s="70" t="s">
        <v>386</v>
      </c>
      <c r="B195" s="70" t="s">
        <v>386</v>
      </c>
      <c r="C195" s="71" t="s">
        <v>387</v>
      </c>
      <c r="D195" s="69">
        <v>146.0691</v>
      </c>
      <c r="E195" s="69">
        <v>380.1275</v>
      </c>
      <c r="F195" s="69">
        <v>3.32</v>
      </c>
      <c r="G195" s="69">
        <v>0.9519</v>
      </c>
      <c r="H195" s="69">
        <v>0.947</v>
      </c>
      <c r="I195" s="69">
        <v>0.9948</v>
      </c>
      <c r="J195" s="72">
        <v>0.4878</v>
      </c>
      <c r="M195" s="68"/>
    </row>
    <row r="196" ht="22.5" customHeight="1">
      <c r="A196" s="70" t="s">
        <v>128</v>
      </c>
      <c r="B196" s="70" t="s">
        <v>128</v>
      </c>
      <c r="C196" s="71" t="s">
        <v>291</v>
      </c>
      <c r="D196" s="69">
        <v>175.0957</v>
      </c>
      <c r="E196" s="69">
        <v>409.154</v>
      </c>
      <c r="F196" s="69">
        <v>3.74</v>
      </c>
      <c r="G196" s="69">
        <v>0.9669</v>
      </c>
      <c r="H196" s="69">
        <v>0.7978</v>
      </c>
      <c r="I196" s="69">
        <v>0.8251</v>
      </c>
      <c r="J196" s="72">
        <v>0.0</v>
      </c>
      <c r="M196" s="68"/>
    </row>
    <row r="197" ht="22.5" customHeight="1">
      <c r="A197" s="70" t="s">
        <v>293</v>
      </c>
      <c r="B197" s="70" t="s">
        <v>293</v>
      </c>
      <c r="C197" s="71" t="s">
        <v>294</v>
      </c>
      <c r="D197" s="69">
        <v>165.046</v>
      </c>
      <c r="E197" s="69">
        <v>399.1043</v>
      </c>
      <c r="F197" s="69">
        <v>3.72</v>
      </c>
      <c r="G197" s="69">
        <v>0.7405</v>
      </c>
      <c r="H197" s="69">
        <v>0.8977</v>
      </c>
      <c r="I197" s="69">
        <v>1.2123</v>
      </c>
      <c r="J197" s="72">
        <v>0.0156</v>
      </c>
      <c r="M197" s="68"/>
    </row>
    <row r="198" ht="22.5" customHeight="1">
      <c r="A198" s="70" t="s">
        <v>388</v>
      </c>
      <c r="B198" s="70" t="s">
        <v>388</v>
      </c>
      <c r="C198" s="71" t="s">
        <v>389</v>
      </c>
      <c r="D198" s="69">
        <v>119.0582</v>
      </c>
      <c r="E198" s="69">
        <v>353.1166</v>
      </c>
      <c r="F198" s="69">
        <v>4.05</v>
      </c>
      <c r="G198" s="69">
        <v>0.941</v>
      </c>
      <c r="H198" s="69">
        <v>0.912</v>
      </c>
      <c r="I198" s="69">
        <v>0.9692</v>
      </c>
      <c r="J198" s="72">
        <v>0.58</v>
      </c>
      <c r="M198" s="68"/>
    </row>
    <row r="199" ht="22.5" customHeight="1">
      <c r="A199" s="70" t="s">
        <v>295</v>
      </c>
      <c r="B199" s="70" t="s">
        <v>295</v>
      </c>
      <c r="C199" s="71" t="s">
        <v>294</v>
      </c>
      <c r="D199" s="69">
        <v>165.046</v>
      </c>
      <c r="E199" s="69">
        <v>399.1043</v>
      </c>
      <c r="F199" s="69">
        <v>4.2</v>
      </c>
      <c r="G199" s="69">
        <v>0.7219</v>
      </c>
      <c r="H199" s="69">
        <v>0.8937</v>
      </c>
      <c r="I199" s="69">
        <v>1.238</v>
      </c>
      <c r="J199" s="72">
        <v>0.0169</v>
      </c>
      <c r="M199" s="68"/>
    </row>
    <row r="200" ht="22.5" customHeight="1">
      <c r="A200" s="70" t="s">
        <v>390</v>
      </c>
      <c r="B200" s="70" t="s">
        <v>390</v>
      </c>
      <c r="C200" s="71" t="s">
        <v>391</v>
      </c>
      <c r="D200" s="69">
        <v>105.0426</v>
      </c>
      <c r="E200" s="69">
        <v>339.1009</v>
      </c>
      <c r="F200" s="69">
        <v>4.4</v>
      </c>
      <c r="G200" s="69">
        <v>0.8962</v>
      </c>
      <c r="H200" s="69">
        <v>0.8587</v>
      </c>
      <c r="I200" s="69">
        <v>0.9582</v>
      </c>
      <c r="J200" s="72">
        <v>0.1135</v>
      </c>
      <c r="M200" s="68"/>
    </row>
    <row r="201" ht="22.5" customHeight="1">
      <c r="A201" s="70" t="s">
        <v>392</v>
      </c>
      <c r="B201" s="70" t="s">
        <v>392</v>
      </c>
      <c r="C201" s="71" t="s">
        <v>393</v>
      </c>
      <c r="D201" s="69">
        <v>147.0532</v>
      </c>
      <c r="E201" s="69">
        <v>381.1115</v>
      </c>
      <c r="F201" s="69">
        <v>5.05</v>
      </c>
      <c r="G201" s="69">
        <v>0.8538</v>
      </c>
      <c r="H201" s="69">
        <v>0.8957</v>
      </c>
      <c r="I201" s="69">
        <v>1.0491</v>
      </c>
      <c r="J201" s="72">
        <v>0.3946</v>
      </c>
      <c r="M201" s="68"/>
    </row>
    <row r="202" ht="22.5" customHeight="1">
      <c r="A202" s="70" t="s">
        <v>394</v>
      </c>
      <c r="B202" s="70" t="s">
        <v>394</v>
      </c>
      <c r="C202" s="71" t="s">
        <v>395</v>
      </c>
      <c r="D202" s="69">
        <v>133.0375</v>
      </c>
      <c r="E202" s="69">
        <v>367.0958</v>
      </c>
      <c r="F202" s="69">
        <v>5.16</v>
      </c>
      <c r="G202" s="69">
        <v>0.8495</v>
      </c>
      <c r="H202" s="69">
        <v>0.8933</v>
      </c>
      <c r="I202" s="69">
        <v>1.0515</v>
      </c>
      <c r="J202" s="72">
        <v>0.2951</v>
      </c>
      <c r="M202" s="68"/>
    </row>
    <row r="203" ht="22.5" customHeight="1">
      <c r="A203" s="70" t="s">
        <v>396</v>
      </c>
      <c r="B203" s="70" t="s">
        <v>396</v>
      </c>
      <c r="C203" s="71" t="s">
        <v>397</v>
      </c>
      <c r="D203" s="69">
        <v>131.0582</v>
      </c>
      <c r="E203" s="69">
        <v>365.1166</v>
      </c>
      <c r="F203" s="69">
        <v>5.17</v>
      </c>
      <c r="G203" s="69">
        <v>0.9888</v>
      </c>
      <c r="H203" s="69">
        <v>1.0471</v>
      </c>
      <c r="I203" s="69">
        <v>1.0589</v>
      </c>
      <c r="J203" s="72">
        <v>0.3601</v>
      </c>
      <c r="M203" s="68"/>
    </row>
    <row r="204" ht="22.5" customHeight="1">
      <c r="A204" s="70" t="s">
        <v>398</v>
      </c>
      <c r="B204" s="70" t="s">
        <v>398</v>
      </c>
      <c r="C204" s="71" t="s">
        <v>399</v>
      </c>
      <c r="D204" s="69">
        <v>188.1161</v>
      </c>
      <c r="E204" s="69">
        <v>422.1744</v>
      </c>
      <c r="F204" s="69">
        <v>5.71</v>
      </c>
      <c r="G204" s="69">
        <v>0.9186</v>
      </c>
      <c r="H204" s="69">
        <v>0.8535</v>
      </c>
      <c r="I204" s="69">
        <v>0.9291</v>
      </c>
      <c r="J204" s="72">
        <v>0.0143</v>
      </c>
      <c r="M204" s="68"/>
    </row>
    <row r="205" ht="22.5" customHeight="1">
      <c r="A205" s="70" t="s">
        <v>400</v>
      </c>
      <c r="B205" s="70" t="s">
        <v>400</v>
      </c>
      <c r="C205" s="71" t="s">
        <v>401</v>
      </c>
      <c r="D205" s="69">
        <v>119.0582</v>
      </c>
      <c r="E205" s="69">
        <v>353.1166</v>
      </c>
      <c r="F205" s="69">
        <v>5.79</v>
      </c>
      <c r="G205" s="69">
        <v>0.8498</v>
      </c>
      <c r="H205" s="69">
        <v>0.9167</v>
      </c>
      <c r="I205" s="69">
        <v>1.0788</v>
      </c>
      <c r="J205" s="72">
        <v>0.0154</v>
      </c>
      <c r="M205" s="68"/>
    </row>
    <row r="206" ht="22.5" customHeight="1">
      <c r="A206" s="70" t="s">
        <v>402</v>
      </c>
      <c r="B206" s="70" t="s">
        <v>402</v>
      </c>
      <c r="C206" s="71" t="s">
        <v>403</v>
      </c>
      <c r="D206" s="69">
        <v>161.0688</v>
      </c>
      <c r="E206" s="69">
        <v>395.1271</v>
      </c>
      <c r="F206" s="69">
        <v>5.97</v>
      </c>
      <c r="G206" s="69">
        <v>0.8971</v>
      </c>
      <c r="H206" s="69">
        <v>0.8938</v>
      </c>
      <c r="I206" s="69">
        <v>0.9963</v>
      </c>
      <c r="J206" s="72">
        <v>0.9341</v>
      </c>
      <c r="M206" s="68"/>
    </row>
    <row r="207" ht="22.5" customHeight="1">
      <c r="A207" s="70" t="s">
        <v>404</v>
      </c>
      <c r="B207" s="70" t="s">
        <v>404</v>
      </c>
      <c r="C207" s="71" t="s">
        <v>405</v>
      </c>
      <c r="D207" s="69">
        <v>61.0528</v>
      </c>
      <c r="E207" s="69">
        <v>295.1111</v>
      </c>
      <c r="F207" s="69">
        <v>6.0</v>
      </c>
      <c r="G207" s="69">
        <v>0.9027</v>
      </c>
      <c r="H207" s="69">
        <v>0.9592</v>
      </c>
      <c r="I207" s="69">
        <v>1.0625</v>
      </c>
      <c r="J207" s="72">
        <v>0.0253</v>
      </c>
    </row>
    <row r="208" ht="22.5" customHeight="1">
      <c r="A208" s="70" t="s">
        <v>406</v>
      </c>
      <c r="B208" s="70" t="s">
        <v>406</v>
      </c>
      <c r="C208" s="71" t="s">
        <v>407</v>
      </c>
      <c r="D208" s="69">
        <v>75.032</v>
      </c>
      <c r="E208" s="69">
        <v>309.0903</v>
      </c>
      <c r="F208" s="69">
        <v>6.59</v>
      </c>
      <c r="G208" s="69">
        <v>0.9358</v>
      </c>
      <c r="H208" s="69">
        <v>0.9748</v>
      </c>
      <c r="I208" s="69">
        <v>1.0416</v>
      </c>
      <c r="J208" s="72">
        <v>0.0064</v>
      </c>
    </row>
    <row r="209" ht="22.5" customHeight="1">
      <c r="A209" s="70" t="s">
        <v>408</v>
      </c>
      <c r="B209" s="70" t="s">
        <v>408</v>
      </c>
      <c r="C209" s="71" t="s">
        <v>409</v>
      </c>
      <c r="D209" s="69">
        <v>89.0477</v>
      </c>
      <c r="E209" s="69">
        <v>323.106</v>
      </c>
      <c r="F209" s="69">
        <v>7.57</v>
      </c>
      <c r="G209" s="69">
        <v>0.9713</v>
      </c>
      <c r="H209" s="69">
        <v>0.9564</v>
      </c>
      <c r="I209" s="69">
        <v>0.9846</v>
      </c>
      <c r="J209" s="72">
        <v>0.0391</v>
      </c>
    </row>
    <row r="210" ht="22.5" customHeight="1">
      <c r="A210" s="70" t="s">
        <v>410</v>
      </c>
      <c r="B210" s="70" t="s">
        <v>410</v>
      </c>
      <c r="C210" s="71" t="s">
        <v>411</v>
      </c>
      <c r="D210" s="69">
        <v>103.0633</v>
      </c>
      <c r="E210" s="69">
        <v>337.1216</v>
      </c>
      <c r="F210" s="69">
        <v>7.79</v>
      </c>
      <c r="G210" s="69">
        <v>0.9509</v>
      </c>
      <c r="H210" s="69">
        <v>0.926</v>
      </c>
      <c r="I210" s="69">
        <v>0.9738</v>
      </c>
      <c r="J210" s="72">
        <v>0.3352</v>
      </c>
    </row>
    <row r="211" ht="22.5" customHeight="1">
      <c r="A211" s="70" t="s">
        <v>261</v>
      </c>
      <c r="B211" s="70" t="s">
        <v>261</v>
      </c>
      <c r="C211" s="71" t="s">
        <v>412</v>
      </c>
      <c r="D211" s="69">
        <v>244.0695</v>
      </c>
      <c r="E211" s="69">
        <v>478.1279</v>
      </c>
      <c r="F211" s="69">
        <v>7.84</v>
      </c>
      <c r="G211" s="69">
        <v>0.9395</v>
      </c>
      <c r="H211" s="69">
        <v>0.848</v>
      </c>
      <c r="I211" s="69">
        <v>0.9026</v>
      </c>
      <c r="J211" s="72">
        <v>0.0019</v>
      </c>
    </row>
    <row r="212" ht="22.5" customHeight="1">
      <c r="A212" s="70" t="s">
        <v>259</v>
      </c>
      <c r="B212" s="70" t="s">
        <v>259</v>
      </c>
      <c r="C212" s="71" t="s">
        <v>306</v>
      </c>
      <c r="D212" s="69">
        <v>219.1107</v>
      </c>
      <c r="E212" s="69">
        <v>453.169</v>
      </c>
      <c r="F212" s="69">
        <v>8.37</v>
      </c>
      <c r="G212" s="69">
        <v>0.9102</v>
      </c>
      <c r="H212" s="69">
        <v>0.6891</v>
      </c>
      <c r="I212" s="69">
        <v>0.7571</v>
      </c>
      <c r="J212" s="72">
        <v>0.0101</v>
      </c>
    </row>
    <row r="213" ht="22.5" customHeight="1">
      <c r="A213" s="70" t="s">
        <v>413</v>
      </c>
      <c r="B213" s="70" t="s">
        <v>413</v>
      </c>
      <c r="C213" s="71" t="s">
        <v>378</v>
      </c>
      <c r="D213" s="69">
        <v>136.0385</v>
      </c>
      <c r="E213" s="69">
        <v>370.0968</v>
      </c>
      <c r="F213" s="69">
        <v>8.73</v>
      </c>
      <c r="G213" s="69">
        <v>0.8842</v>
      </c>
      <c r="H213" s="69">
        <v>0.977</v>
      </c>
      <c r="I213" s="69">
        <v>1.1049</v>
      </c>
      <c r="J213" s="72">
        <v>0.0797</v>
      </c>
    </row>
    <row r="214" ht="22.5" customHeight="1">
      <c r="A214" s="70" t="s">
        <v>414</v>
      </c>
      <c r="B214" s="70" t="s">
        <v>414</v>
      </c>
      <c r="C214" s="71" t="s">
        <v>415</v>
      </c>
      <c r="D214" s="69">
        <v>103.0633</v>
      </c>
      <c r="E214" s="69">
        <v>337.1216</v>
      </c>
      <c r="F214" s="69">
        <v>8.91</v>
      </c>
      <c r="G214" s="69">
        <v>0.8451</v>
      </c>
      <c r="H214" s="69">
        <v>0.9158</v>
      </c>
      <c r="I214" s="69">
        <v>1.0837</v>
      </c>
      <c r="J214" s="72">
        <v>0.2451</v>
      </c>
    </row>
    <row r="215" ht="22.5" customHeight="1">
      <c r="A215" s="70" t="s">
        <v>416</v>
      </c>
      <c r="B215" s="70" t="s">
        <v>416</v>
      </c>
      <c r="C215" s="71" t="s">
        <v>412</v>
      </c>
      <c r="D215" s="69">
        <v>244.0695</v>
      </c>
      <c r="E215" s="69">
        <v>460.1173</v>
      </c>
      <c r="F215" s="69">
        <v>8.67</v>
      </c>
      <c r="G215" s="69">
        <v>0.9371</v>
      </c>
      <c r="H215" s="69">
        <v>0.8309</v>
      </c>
      <c r="I215" s="69">
        <v>0.8867</v>
      </c>
      <c r="J215" s="72">
        <v>4.0E-4</v>
      </c>
    </row>
    <row r="216" ht="22.5" customHeight="1">
      <c r="A216" s="70" t="s">
        <v>417</v>
      </c>
      <c r="B216" s="70" t="s">
        <v>417</v>
      </c>
      <c r="C216" s="71" t="s">
        <v>418</v>
      </c>
      <c r="D216" s="69">
        <v>152.0334</v>
      </c>
      <c r="E216" s="69">
        <v>386.0917</v>
      </c>
      <c r="F216" s="69">
        <v>8.95</v>
      </c>
      <c r="G216" s="69">
        <v>0.985</v>
      </c>
      <c r="H216" s="69">
        <v>0.839</v>
      </c>
      <c r="I216" s="69">
        <v>0.8517</v>
      </c>
      <c r="J216" s="72">
        <v>0.02</v>
      </c>
    </row>
    <row r="217" ht="22.5" customHeight="1">
      <c r="A217" s="70" t="s">
        <v>307</v>
      </c>
      <c r="B217" s="70" t="s">
        <v>307</v>
      </c>
      <c r="C217" s="71" t="s">
        <v>308</v>
      </c>
      <c r="D217" s="69">
        <v>174.1004</v>
      </c>
      <c r="E217" s="69">
        <v>408.1588</v>
      </c>
      <c r="F217" s="69">
        <v>9.19</v>
      </c>
      <c r="G217" s="69">
        <v>0.6544</v>
      </c>
      <c r="H217" s="69">
        <v>0.951</v>
      </c>
      <c r="I217" s="69">
        <v>1.4532</v>
      </c>
      <c r="J217" s="72">
        <v>0.0097</v>
      </c>
    </row>
    <row r="218" ht="22.5" customHeight="1">
      <c r="A218" s="70" t="s">
        <v>419</v>
      </c>
      <c r="B218" s="70" t="s">
        <v>419</v>
      </c>
      <c r="C218" s="71" t="s">
        <v>420</v>
      </c>
      <c r="D218" s="69">
        <v>103.0633</v>
      </c>
      <c r="E218" s="69">
        <v>337.1216</v>
      </c>
      <c r="F218" s="69">
        <v>9.13</v>
      </c>
      <c r="G218" s="69">
        <v>0.828</v>
      </c>
      <c r="H218" s="69">
        <v>0.861</v>
      </c>
      <c r="I218" s="69">
        <v>1.0399</v>
      </c>
      <c r="J218" s="72">
        <v>0.3566</v>
      </c>
    </row>
    <row r="219" ht="22.5" customHeight="1">
      <c r="A219" s="70" t="s">
        <v>421</v>
      </c>
      <c r="B219" s="70" t="s">
        <v>421</v>
      </c>
      <c r="C219" s="71" t="s">
        <v>393</v>
      </c>
      <c r="D219" s="69">
        <v>147.0532</v>
      </c>
      <c r="E219" s="69">
        <v>363.1009</v>
      </c>
      <c r="F219" s="69">
        <v>9.46</v>
      </c>
      <c r="G219" s="69">
        <v>0.9513</v>
      </c>
      <c r="H219" s="69">
        <v>0.9914</v>
      </c>
      <c r="I219" s="69">
        <v>1.0421</v>
      </c>
      <c r="J219" s="72">
        <v>0.4365</v>
      </c>
    </row>
    <row r="220" ht="22.5" customHeight="1">
      <c r="A220" s="70" t="s">
        <v>422</v>
      </c>
      <c r="B220" s="70" t="s">
        <v>422</v>
      </c>
      <c r="C220" s="71" t="s">
        <v>423</v>
      </c>
      <c r="D220" s="69">
        <v>31.0422</v>
      </c>
      <c r="E220" s="69">
        <v>265.1005</v>
      </c>
      <c r="F220" s="69">
        <v>9.82</v>
      </c>
      <c r="G220" s="69">
        <v>1.643</v>
      </c>
      <c r="H220" s="69">
        <v>1.6264</v>
      </c>
      <c r="I220" s="69">
        <v>0.9899</v>
      </c>
      <c r="J220" s="72">
        <v>0.78</v>
      </c>
    </row>
    <row r="221" ht="22.5" customHeight="1">
      <c r="A221" s="70" t="s">
        <v>424</v>
      </c>
      <c r="B221" s="70" t="s">
        <v>424</v>
      </c>
      <c r="C221" s="71" t="s">
        <v>425</v>
      </c>
      <c r="D221" s="69">
        <v>280.1059</v>
      </c>
      <c r="E221" s="69">
        <v>514.1642</v>
      </c>
      <c r="F221" s="69">
        <v>10.07</v>
      </c>
      <c r="G221" s="69">
        <v>0.776</v>
      </c>
      <c r="H221" s="69">
        <v>0.853</v>
      </c>
      <c r="I221" s="69">
        <v>1.0992</v>
      </c>
      <c r="J221" s="72">
        <v>0.1685</v>
      </c>
    </row>
    <row r="222" ht="22.5" customHeight="1">
      <c r="A222" s="70" t="s">
        <v>426</v>
      </c>
      <c r="B222" s="70" t="s">
        <v>426</v>
      </c>
      <c r="C222" s="71" t="s">
        <v>427</v>
      </c>
      <c r="D222" s="69">
        <v>115.0633</v>
      </c>
      <c r="E222" s="69">
        <v>349.1216</v>
      </c>
      <c r="F222" s="69">
        <v>10.18</v>
      </c>
      <c r="G222" s="69">
        <v>0.9725</v>
      </c>
      <c r="H222" s="69">
        <v>0.9828</v>
      </c>
      <c r="I222" s="69">
        <v>1.0106</v>
      </c>
      <c r="J222" s="72">
        <v>0.2212</v>
      </c>
    </row>
    <row r="223" ht="22.5" customHeight="1">
      <c r="A223" s="70" t="s">
        <v>428</v>
      </c>
      <c r="B223" s="70" t="s">
        <v>428</v>
      </c>
      <c r="C223" s="71" t="s">
        <v>429</v>
      </c>
      <c r="D223" s="69">
        <v>117.079</v>
      </c>
      <c r="E223" s="69">
        <v>351.1373</v>
      </c>
      <c r="F223" s="69">
        <v>10.81</v>
      </c>
      <c r="G223" s="69">
        <v>0.9161</v>
      </c>
      <c r="H223" s="69">
        <v>0.885</v>
      </c>
      <c r="I223" s="69">
        <v>0.9661</v>
      </c>
      <c r="J223" s="72">
        <v>0.088</v>
      </c>
    </row>
    <row r="224" ht="22.5" customHeight="1">
      <c r="A224" s="70" t="s">
        <v>430</v>
      </c>
      <c r="B224" s="70" t="s">
        <v>430</v>
      </c>
      <c r="C224" s="71" t="s">
        <v>431</v>
      </c>
      <c r="D224" s="69">
        <v>149.051</v>
      </c>
      <c r="E224" s="69">
        <v>383.1094</v>
      </c>
      <c r="F224" s="69">
        <v>10.89</v>
      </c>
      <c r="G224" s="69">
        <v>1.4577</v>
      </c>
      <c r="H224" s="69">
        <v>1.186</v>
      </c>
      <c r="I224" s="69">
        <v>0.8136</v>
      </c>
      <c r="J224" s="72">
        <v>0.1392</v>
      </c>
    </row>
    <row r="225" ht="22.5" customHeight="1">
      <c r="A225" s="70" t="s">
        <v>432</v>
      </c>
      <c r="B225" s="70" t="s">
        <v>432</v>
      </c>
      <c r="C225" s="71" t="s">
        <v>433</v>
      </c>
      <c r="D225" s="69">
        <v>204.0899</v>
      </c>
      <c r="E225" s="69">
        <v>438.1482</v>
      </c>
      <c r="F225" s="69">
        <v>11.44</v>
      </c>
      <c r="G225" s="69">
        <v>0.8661</v>
      </c>
      <c r="H225" s="69">
        <v>0.7359</v>
      </c>
      <c r="I225" s="69">
        <v>0.8497</v>
      </c>
      <c r="J225" s="72">
        <v>0.0</v>
      </c>
    </row>
    <row r="226" ht="22.5" customHeight="1">
      <c r="A226" s="70" t="s">
        <v>434</v>
      </c>
      <c r="B226" s="70" t="s">
        <v>434</v>
      </c>
      <c r="C226" s="71" t="s">
        <v>435</v>
      </c>
      <c r="D226" s="69">
        <v>208.0848</v>
      </c>
      <c r="E226" s="69">
        <v>442.1431</v>
      </c>
      <c r="F226" s="69">
        <v>11.44</v>
      </c>
      <c r="G226" s="69">
        <v>1.7386</v>
      </c>
      <c r="H226" s="69">
        <v>1.5041</v>
      </c>
      <c r="I226" s="69">
        <v>0.8651</v>
      </c>
      <c r="J226" s="72">
        <v>0.0</v>
      </c>
    </row>
    <row r="227" ht="22.5" customHeight="1">
      <c r="A227" s="70" t="s">
        <v>436</v>
      </c>
      <c r="B227" s="70" t="s">
        <v>436</v>
      </c>
      <c r="C227" s="71" t="s">
        <v>437</v>
      </c>
      <c r="D227" s="69">
        <v>222.1004</v>
      </c>
      <c r="E227" s="69">
        <v>456.1588</v>
      </c>
      <c r="F227" s="69">
        <v>11.65</v>
      </c>
      <c r="G227" s="69">
        <v>0.8488</v>
      </c>
      <c r="H227" s="69">
        <v>0.838</v>
      </c>
      <c r="I227" s="69">
        <v>0.9873</v>
      </c>
      <c r="J227" s="72">
        <v>0.8137</v>
      </c>
    </row>
    <row r="228" ht="22.5" customHeight="1">
      <c r="A228" s="70" t="s">
        <v>438</v>
      </c>
      <c r="B228" s="70" t="s">
        <v>438</v>
      </c>
      <c r="C228" s="71" t="s">
        <v>439</v>
      </c>
      <c r="D228" s="69">
        <v>165.079</v>
      </c>
      <c r="E228" s="69">
        <v>399.1373</v>
      </c>
      <c r="F228" s="69">
        <v>12.74</v>
      </c>
      <c r="G228" s="69">
        <v>0.8073</v>
      </c>
      <c r="H228" s="69">
        <v>0.7703</v>
      </c>
      <c r="I228" s="69">
        <v>0.9543</v>
      </c>
      <c r="J228" s="72">
        <v>0.1339</v>
      </c>
    </row>
    <row r="229" ht="22.5" customHeight="1">
      <c r="A229" s="70" t="s">
        <v>319</v>
      </c>
      <c r="B229" s="70" t="s">
        <v>319</v>
      </c>
      <c r="C229" s="71" t="s">
        <v>320</v>
      </c>
      <c r="D229" s="69">
        <v>198.0528</v>
      </c>
      <c r="E229" s="69">
        <v>432.1111</v>
      </c>
      <c r="F229" s="69">
        <v>12.81</v>
      </c>
      <c r="G229" s="69">
        <v>0.3532</v>
      </c>
      <c r="H229" s="69">
        <v>1.3415</v>
      </c>
      <c r="I229" s="69">
        <v>3.7981</v>
      </c>
      <c r="J229" s="72">
        <v>0.0</v>
      </c>
    </row>
    <row r="230" ht="22.5" customHeight="1">
      <c r="A230" s="70" t="s">
        <v>440</v>
      </c>
      <c r="B230" s="70" t="s">
        <v>440</v>
      </c>
      <c r="C230" s="71" t="s">
        <v>441</v>
      </c>
      <c r="D230" s="69">
        <v>131.0946</v>
      </c>
      <c r="E230" s="69">
        <v>365.1529</v>
      </c>
      <c r="F230" s="69">
        <v>13.06</v>
      </c>
      <c r="G230" s="69">
        <v>0.8894</v>
      </c>
      <c r="H230" s="69">
        <v>0.8572</v>
      </c>
      <c r="I230" s="69">
        <v>0.9638</v>
      </c>
      <c r="J230" s="72">
        <v>0.3301</v>
      </c>
    </row>
    <row r="231" ht="22.5" customHeight="1">
      <c r="A231" s="70" t="s">
        <v>321</v>
      </c>
      <c r="B231" s="70" t="s">
        <v>321</v>
      </c>
      <c r="C231" s="71" t="s">
        <v>322</v>
      </c>
      <c r="D231" s="69">
        <v>129.079</v>
      </c>
      <c r="E231" s="69">
        <v>363.1373</v>
      </c>
      <c r="F231" s="69">
        <v>13.45</v>
      </c>
      <c r="G231" s="69">
        <v>0.8705</v>
      </c>
      <c r="H231" s="69">
        <v>0.6964</v>
      </c>
      <c r="I231" s="69">
        <v>0.8</v>
      </c>
      <c r="J231" s="72">
        <v>0.0099</v>
      </c>
    </row>
    <row r="232" ht="22.5" customHeight="1">
      <c r="A232" s="70" t="s">
        <v>442</v>
      </c>
      <c r="B232" s="70" t="s">
        <v>442</v>
      </c>
      <c r="C232" s="71" t="s">
        <v>443</v>
      </c>
      <c r="D232" s="69">
        <v>131.0946</v>
      </c>
      <c r="E232" s="69">
        <v>365.1529</v>
      </c>
      <c r="F232" s="69">
        <v>13.36</v>
      </c>
      <c r="G232" s="69">
        <v>0.883</v>
      </c>
      <c r="H232" s="69">
        <v>0.8433</v>
      </c>
      <c r="I232" s="69">
        <v>0.955</v>
      </c>
      <c r="J232" s="72">
        <v>0.1455</v>
      </c>
    </row>
    <row r="233" ht="22.5" customHeight="1">
      <c r="A233" s="70" t="s">
        <v>444</v>
      </c>
      <c r="B233" s="70" t="s">
        <v>444</v>
      </c>
      <c r="C233" s="71" t="s">
        <v>445</v>
      </c>
      <c r="D233" s="69">
        <v>138.0429</v>
      </c>
      <c r="E233" s="69">
        <v>372.1012</v>
      </c>
      <c r="F233" s="69">
        <v>13.52</v>
      </c>
      <c r="G233" s="69">
        <v>0.7015</v>
      </c>
      <c r="H233" s="69">
        <v>0.7643</v>
      </c>
      <c r="I233" s="69">
        <v>1.0894</v>
      </c>
      <c r="J233" s="72">
        <v>0.1887</v>
      </c>
    </row>
    <row r="234" ht="22.5" customHeight="1">
      <c r="A234" s="70" t="s">
        <v>446</v>
      </c>
      <c r="B234" s="70" t="s">
        <v>446</v>
      </c>
      <c r="C234" s="71" t="s">
        <v>447</v>
      </c>
      <c r="D234" s="69">
        <v>222.0674</v>
      </c>
      <c r="E234" s="69">
        <v>345.092</v>
      </c>
      <c r="F234" s="69">
        <v>13.69</v>
      </c>
      <c r="G234" s="69">
        <v>0.9857</v>
      </c>
      <c r="H234" s="69">
        <v>1.0544</v>
      </c>
      <c r="I234" s="69">
        <v>1.0697</v>
      </c>
      <c r="J234" s="72">
        <v>0.5574</v>
      </c>
    </row>
    <row r="235" ht="22.5" customHeight="1">
      <c r="A235" s="70" t="s">
        <v>448</v>
      </c>
      <c r="B235" s="70" t="s">
        <v>448</v>
      </c>
      <c r="C235" s="71" t="s">
        <v>449</v>
      </c>
      <c r="D235" s="69">
        <v>162.1004</v>
      </c>
      <c r="E235" s="69">
        <v>315.1085</v>
      </c>
      <c r="F235" s="69">
        <v>13.88</v>
      </c>
      <c r="G235" s="69">
        <v>0.8719</v>
      </c>
      <c r="H235" s="69">
        <v>0.9307</v>
      </c>
      <c r="I235" s="69">
        <v>1.0674</v>
      </c>
      <c r="J235" s="72">
        <v>0.191</v>
      </c>
    </row>
    <row r="236" ht="22.5" customHeight="1">
      <c r="A236" s="70" t="s">
        <v>450</v>
      </c>
      <c r="B236" s="70" t="s">
        <v>450</v>
      </c>
      <c r="C236" s="71" t="s">
        <v>451</v>
      </c>
      <c r="D236" s="69">
        <v>240.0238</v>
      </c>
      <c r="E236" s="69">
        <v>354.0702</v>
      </c>
      <c r="F236" s="69">
        <v>14.11</v>
      </c>
      <c r="G236" s="69">
        <v>0.8501</v>
      </c>
      <c r="H236" s="69">
        <v>0.8544</v>
      </c>
      <c r="I236" s="69">
        <v>1.0051</v>
      </c>
      <c r="J236" s="72">
        <v>0.863</v>
      </c>
    </row>
    <row r="237" ht="22.5" customHeight="1">
      <c r="A237" s="70" t="s">
        <v>327</v>
      </c>
      <c r="B237" s="70" t="s">
        <v>327</v>
      </c>
      <c r="C237" s="71" t="s">
        <v>328</v>
      </c>
      <c r="D237" s="69">
        <v>180.0647</v>
      </c>
      <c r="E237" s="69">
        <v>414.123</v>
      </c>
      <c r="F237" s="69">
        <v>15.42</v>
      </c>
      <c r="G237" s="69">
        <v>1.2695</v>
      </c>
      <c r="H237" s="69">
        <v>0.6073</v>
      </c>
      <c r="I237" s="69">
        <v>0.4784</v>
      </c>
      <c r="J237" s="72">
        <v>0.0</v>
      </c>
    </row>
    <row r="238" ht="22.5" customHeight="1">
      <c r="A238" s="70" t="s">
        <v>452</v>
      </c>
      <c r="B238" s="70" t="s">
        <v>452</v>
      </c>
      <c r="C238" s="71" t="s">
        <v>326</v>
      </c>
      <c r="D238" s="69">
        <v>278.1631</v>
      </c>
      <c r="E238" s="69">
        <v>512.2214</v>
      </c>
      <c r="F238" s="69">
        <v>15.9</v>
      </c>
      <c r="G238" s="69">
        <v>0.749</v>
      </c>
      <c r="H238" s="69">
        <v>0.7936</v>
      </c>
      <c r="I238" s="69">
        <v>1.0596</v>
      </c>
      <c r="J238" s="72">
        <v>0.4285</v>
      </c>
    </row>
    <row r="239" ht="22.5" customHeight="1">
      <c r="A239" s="70" t="s">
        <v>453</v>
      </c>
      <c r="B239" s="70" t="s">
        <v>453</v>
      </c>
      <c r="C239" s="71" t="s">
        <v>297</v>
      </c>
      <c r="D239" s="69">
        <v>132.0899</v>
      </c>
      <c r="E239" s="69">
        <v>300.1033</v>
      </c>
      <c r="F239" s="69">
        <v>16.58</v>
      </c>
      <c r="G239" s="69">
        <v>0.8229</v>
      </c>
      <c r="H239" s="69">
        <v>0.8848</v>
      </c>
      <c r="I239" s="69">
        <v>1.0752</v>
      </c>
      <c r="J239" s="72">
        <v>0.0862</v>
      </c>
    </row>
    <row r="240" ht="22.5" customHeight="1">
      <c r="A240" s="70" t="s">
        <v>454</v>
      </c>
      <c r="B240" s="70" t="s">
        <v>454</v>
      </c>
      <c r="C240" s="71" t="s">
        <v>455</v>
      </c>
      <c r="D240" s="69">
        <v>103.0633</v>
      </c>
      <c r="E240" s="69">
        <v>319.111</v>
      </c>
      <c r="F240" s="69">
        <v>16.29</v>
      </c>
      <c r="G240" s="69">
        <v>0.9512</v>
      </c>
      <c r="H240" s="69">
        <v>0.9735</v>
      </c>
      <c r="I240" s="69">
        <v>1.0234</v>
      </c>
      <c r="J240" s="72">
        <v>0.7379</v>
      </c>
    </row>
    <row r="241" ht="22.5" customHeight="1">
      <c r="A241" s="70" t="s">
        <v>456</v>
      </c>
      <c r="B241" s="70" t="s">
        <v>456</v>
      </c>
      <c r="C241" s="71" t="s">
        <v>457</v>
      </c>
      <c r="D241" s="69">
        <v>312.1474</v>
      </c>
      <c r="E241" s="69">
        <v>546.2057</v>
      </c>
      <c r="F241" s="69">
        <v>16.55</v>
      </c>
      <c r="G241" s="69">
        <v>0.8044</v>
      </c>
      <c r="H241" s="69">
        <v>0.7615</v>
      </c>
      <c r="I241" s="69">
        <v>0.9467</v>
      </c>
      <c r="J241" s="72">
        <v>0.3388</v>
      </c>
    </row>
    <row r="242" ht="22.5" customHeight="1">
      <c r="A242" s="70" t="s">
        <v>458</v>
      </c>
      <c r="B242" s="70" t="s">
        <v>458</v>
      </c>
      <c r="C242" s="71" t="s">
        <v>459</v>
      </c>
      <c r="D242" s="69">
        <v>152.0473</v>
      </c>
      <c r="E242" s="69">
        <v>386.1057</v>
      </c>
      <c r="F242" s="69">
        <v>16.72</v>
      </c>
      <c r="G242" s="69">
        <v>0.9189</v>
      </c>
      <c r="H242" s="69">
        <v>0.9056</v>
      </c>
      <c r="I242" s="69">
        <v>0.9855</v>
      </c>
      <c r="J242" s="72">
        <v>0.8543</v>
      </c>
    </row>
    <row r="243" ht="22.5" customHeight="1">
      <c r="A243" s="70" t="s">
        <v>460</v>
      </c>
      <c r="B243" s="70" t="s">
        <v>460</v>
      </c>
      <c r="C243" s="71" t="s">
        <v>336</v>
      </c>
      <c r="D243" s="69">
        <v>152.0473</v>
      </c>
      <c r="E243" s="69">
        <v>386.1057</v>
      </c>
      <c r="F243" s="69">
        <v>16.91</v>
      </c>
      <c r="G243" s="69">
        <v>0.9656</v>
      </c>
      <c r="H243" s="69">
        <v>1.0179</v>
      </c>
      <c r="I243" s="69">
        <v>1.0542</v>
      </c>
      <c r="J243" s="72">
        <v>0.4965</v>
      </c>
    </row>
    <row r="244" ht="22.5" customHeight="1">
      <c r="A244" s="70" t="s">
        <v>461</v>
      </c>
      <c r="B244" s="70" t="s">
        <v>461</v>
      </c>
      <c r="C244" s="71" t="s">
        <v>462</v>
      </c>
      <c r="D244" s="69">
        <v>146.1055</v>
      </c>
      <c r="E244" s="69">
        <v>307.1111</v>
      </c>
      <c r="F244" s="69">
        <v>17.47</v>
      </c>
      <c r="G244" s="69">
        <v>0.8595</v>
      </c>
      <c r="H244" s="69">
        <v>0.8241</v>
      </c>
      <c r="I244" s="69">
        <v>0.9588</v>
      </c>
      <c r="J244" s="72">
        <v>0.1922</v>
      </c>
    </row>
    <row r="245" ht="22.5" customHeight="1">
      <c r="A245" s="70" t="s">
        <v>333</v>
      </c>
      <c r="B245" s="70" t="s">
        <v>333</v>
      </c>
      <c r="C245" s="71" t="s">
        <v>334</v>
      </c>
      <c r="D245" s="69">
        <v>168.0423</v>
      </c>
      <c r="E245" s="69">
        <v>402.1006</v>
      </c>
      <c r="F245" s="69">
        <v>17.34</v>
      </c>
      <c r="G245" s="69">
        <v>0.4441</v>
      </c>
      <c r="H245" s="69">
        <v>1.5441</v>
      </c>
      <c r="I245" s="69">
        <v>3.477</v>
      </c>
      <c r="J245" s="72">
        <v>0.0</v>
      </c>
    </row>
    <row r="246" ht="22.5" customHeight="1">
      <c r="A246" s="70" t="s">
        <v>331</v>
      </c>
      <c r="B246" s="70" t="s">
        <v>331</v>
      </c>
      <c r="C246" s="71" t="s">
        <v>332</v>
      </c>
      <c r="D246" s="69">
        <v>138.0317</v>
      </c>
      <c r="E246" s="69">
        <v>372.09</v>
      </c>
      <c r="F246" s="69">
        <v>17.57</v>
      </c>
      <c r="G246" s="69">
        <v>0.944</v>
      </c>
      <c r="H246" s="69">
        <v>0.9065</v>
      </c>
      <c r="I246" s="69">
        <v>0.9602</v>
      </c>
      <c r="J246" s="72">
        <v>0.2171</v>
      </c>
    </row>
    <row r="247" ht="22.5" customHeight="1">
      <c r="A247" s="70" t="s">
        <v>463</v>
      </c>
      <c r="B247" s="70" t="s">
        <v>463</v>
      </c>
      <c r="C247" s="71" t="s">
        <v>464</v>
      </c>
      <c r="D247" s="69">
        <v>166.063</v>
      </c>
      <c r="E247" s="69">
        <v>400.1213</v>
      </c>
      <c r="F247" s="69">
        <v>18.04</v>
      </c>
      <c r="G247" s="69">
        <v>0.9563</v>
      </c>
      <c r="H247" s="69">
        <v>0.8265</v>
      </c>
      <c r="I247" s="69">
        <v>0.8643</v>
      </c>
      <c r="J247" s="72">
        <v>0.2585</v>
      </c>
    </row>
    <row r="248" ht="22.5" customHeight="1">
      <c r="A248" s="70" t="s">
        <v>465</v>
      </c>
      <c r="B248" s="70" t="s">
        <v>465</v>
      </c>
      <c r="C248" s="71" t="s">
        <v>466</v>
      </c>
      <c r="D248" s="69">
        <v>155.0695</v>
      </c>
      <c r="E248" s="69">
        <v>389.1278</v>
      </c>
      <c r="F248" s="69">
        <v>18.09</v>
      </c>
      <c r="G248" s="69">
        <v>0.9064</v>
      </c>
      <c r="H248" s="69">
        <v>0.8699</v>
      </c>
      <c r="I248" s="69">
        <v>0.9597</v>
      </c>
      <c r="J248" s="72">
        <v>0.0931</v>
      </c>
    </row>
    <row r="249" ht="22.5" customHeight="1">
      <c r="A249" s="70" t="s">
        <v>467</v>
      </c>
      <c r="B249" s="70" t="s">
        <v>467</v>
      </c>
      <c r="C249" s="71" t="s">
        <v>468</v>
      </c>
      <c r="D249" s="69">
        <v>161.0477</v>
      </c>
      <c r="E249" s="69">
        <v>395.106</v>
      </c>
      <c r="F249" s="69">
        <v>19.27</v>
      </c>
      <c r="G249" s="69">
        <v>0.957</v>
      </c>
      <c r="H249" s="69">
        <v>0.8733</v>
      </c>
      <c r="I249" s="69">
        <v>0.9126</v>
      </c>
      <c r="J249" s="72">
        <v>0.0093</v>
      </c>
    </row>
    <row r="250" ht="22.5" customHeight="1">
      <c r="A250" s="70" t="s">
        <v>469</v>
      </c>
      <c r="B250" s="70" t="s">
        <v>469</v>
      </c>
      <c r="C250" s="71" t="s">
        <v>470</v>
      </c>
      <c r="D250" s="69">
        <v>88.1</v>
      </c>
      <c r="E250" s="69">
        <v>278.1083</v>
      </c>
      <c r="F250" s="69">
        <v>21.27</v>
      </c>
      <c r="G250" s="69">
        <v>1.0035</v>
      </c>
      <c r="H250" s="69">
        <v>0.9671</v>
      </c>
      <c r="I250" s="69">
        <v>0.9638</v>
      </c>
      <c r="J250" s="72">
        <v>0.5029</v>
      </c>
    </row>
    <row r="251" ht="22.5" customHeight="1">
      <c r="A251" s="70" t="s">
        <v>471</v>
      </c>
      <c r="B251" s="70" t="s">
        <v>471</v>
      </c>
      <c r="C251" s="71" t="s">
        <v>472</v>
      </c>
      <c r="D251" s="69">
        <v>168.0423</v>
      </c>
      <c r="E251" s="69">
        <v>356.0951</v>
      </c>
      <c r="F251" s="69">
        <v>21.64</v>
      </c>
      <c r="G251" s="69">
        <v>0.9627</v>
      </c>
      <c r="H251" s="69">
        <v>0.9094</v>
      </c>
      <c r="I251" s="69">
        <v>0.9446</v>
      </c>
      <c r="J251" s="72">
        <v>0.0235</v>
      </c>
    </row>
    <row r="252" ht="22.5" customHeight="1">
      <c r="A252" s="70" t="s">
        <v>473</v>
      </c>
      <c r="B252" s="70" t="s">
        <v>473</v>
      </c>
      <c r="C252" s="71" t="s">
        <v>474</v>
      </c>
      <c r="D252" s="69">
        <v>181.0739</v>
      </c>
      <c r="E252" s="69">
        <v>324.5953</v>
      </c>
      <c r="F252" s="69">
        <v>22.65</v>
      </c>
      <c r="G252" s="69">
        <v>0.8215</v>
      </c>
      <c r="H252" s="69">
        <v>0.7283</v>
      </c>
      <c r="I252" s="69">
        <v>0.8864</v>
      </c>
      <c r="J252" s="72">
        <v>0.0034</v>
      </c>
    </row>
    <row r="253" ht="22.5" customHeight="1">
      <c r="A253" s="70" t="s">
        <v>351</v>
      </c>
      <c r="B253" s="70" t="s">
        <v>351</v>
      </c>
      <c r="C253" s="71" t="s">
        <v>352</v>
      </c>
      <c r="D253" s="69">
        <v>224.0797</v>
      </c>
      <c r="E253" s="69">
        <v>346.0985</v>
      </c>
      <c r="F253" s="69">
        <v>24.0</v>
      </c>
      <c r="G253" s="69">
        <v>0.5755</v>
      </c>
      <c r="H253" s="69">
        <v>0.9479</v>
      </c>
      <c r="I253" s="69">
        <v>2.7326</v>
      </c>
      <c r="J253" s="72">
        <v>0.0</v>
      </c>
    </row>
    <row r="254" ht="22.5" customHeight="1">
      <c r="A254" s="70" t="s">
        <v>475</v>
      </c>
      <c r="B254" s="70" t="s">
        <v>475</v>
      </c>
      <c r="C254" s="71" t="s">
        <v>476</v>
      </c>
      <c r="D254" s="69">
        <v>94.0419</v>
      </c>
      <c r="E254" s="69">
        <v>328.1002</v>
      </c>
      <c r="F254" s="69">
        <v>23.16</v>
      </c>
      <c r="G254" s="69">
        <v>0.6177</v>
      </c>
      <c r="H254" s="69">
        <v>0.5513</v>
      </c>
      <c r="I254" s="69">
        <v>0.8926</v>
      </c>
      <c r="J254" s="72">
        <v>0.0565</v>
      </c>
    </row>
    <row r="255" ht="22.5" customHeight="1">
      <c r="A255" s="70" t="s">
        <v>361</v>
      </c>
      <c r="B255" s="70" t="s">
        <v>361</v>
      </c>
      <c r="C255" s="71" t="s">
        <v>362</v>
      </c>
      <c r="D255" s="69">
        <v>176.095</v>
      </c>
      <c r="E255" s="69">
        <v>322.1058</v>
      </c>
      <c r="F255" s="69">
        <v>24.65</v>
      </c>
      <c r="G255" s="69">
        <v>1.2032</v>
      </c>
      <c r="H255" s="69">
        <v>0.9554</v>
      </c>
      <c r="I255" s="69">
        <v>0.7941</v>
      </c>
      <c r="J255" s="72">
        <v>0.0041</v>
      </c>
    </row>
    <row r="256" ht="22.5" customHeight="1">
      <c r="A256" s="73"/>
      <c r="B256" s="73"/>
      <c r="C256" s="74"/>
      <c r="D256" s="75"/>
      <c r="E256" s="75"/>
      <c r="F256" s="75"/>
      <c r="G256" s="76" t="s">
        <v>477</v>
      </c>
      <c r="H256" s="75"/>
      <c r="I256" s="75"/>
      <c r="J256" s="77"/>
    </row>
    <row r="257">
      <c r="B257" s="78" t="s">
        <v>220</v>
      </c>
      <c r="D257" s="44">
        <v>283.0821</v>
      </c>
      <c r="E257" s="44">
        <v>30.18</v>
      </c>
      <c r="F257" s="44" t="s">
        <v>217</v>
      </c>
      <c r="G257" s="79">
        <v>1.21E-5</v>
      </c>
      <c r="H257" s="79">
        <v>4.2E-4</v>
      </c>
      <c r="I257" s="44">
        <v>3.8</v>
      </c>
    </row>
    <row r="258">
      <c r="B258" s="78" t="s">
        <v>221</v>
      </c>
      <c r="D258" s="44">
        <v>187.0071</v>
      </c>
      <c r="E258" s="44">
        <v>35.79</v>
      </c>
      <c r="F258" s="44" t="s">
        <v>217</v>
      </c>
      <c r="G258" s="79">
        <v>8.32E-5</v>
      </c>
      <c r="H258" s="79">
        <v>0.0015</v>
      </c>
      <c r="I258" s="44">
        <v>1.55</v>
      </c>
    </row>
    <row r="259">
      <c r="B259" s="80" t="s">
        <v>237</v>
      </c>
      <c r="D259" s="44">
        <v>305.2485</v>
      </c>
      <c r="E259" s="44">
        <v>230.23</v>
      </c>
      <c r="F259" s="44" t="s">
        <v>217</v>
      </c>
      <c r="G259" s="81">
        <v>2.0E-4</v>
      </c>
      <c r="H259" s="81">
        <v>0.0027</v>
      </c>
      <c r="I259" s="44">
        <v>1.23</v>
      </c>
    </row>
    <row r="260">
      <c r="B260" s="80" t="s">
        <v>238</v>
      </c>
      <c r="D260" s="44">
        <v>303.2329</v>
      </c>
      <c r="E260" s="44">
        <v>220.05</v>
      </c>
      <c r="F260" s="44" t="s">
        <v>217</v>
      </c>
      <c r="G260" s="81">
        <v>0.0017</v>
      </c>
      <c r="H260" s="81">
        <v>0.0152</v>
      </c>
      <c r="I260" s="44">
        <v>1.18</v>
      </c>
    </row>
    <row r="261">
      <c r="B261" s="82" t="s">
        <v>261</v>
      </c>
      <c r="D261" s="44">
        <v>243.0619</v>
      </c>
      <c r="E261" s="44">
        <v>33.44</v>
      </c>
      <c r="F261" s="44" t="s">
        <v>217</v>
      </c>
      <c r="G261" s="81">
        <v>0.003</v>
      </c>
      <c r="H261" s="81">
        <v>0.0211</v>
      </c>
      <c r="I261" s="44">
        <v>1.18</v>
      </c>
    </row>
    <row r="262">
      <c r="B262" s="82" t="s">
        <v>212</v>
      </c>
      <c r="D262" s="44">
        <v>265.1181</v>
      </c>
      <c r="E262" s="44">
        <v>44.7</v>
      </c>
      <c r="F262" s="44" t="s">
        <v>213</v>
      </c>
      <c r="G262" s="81">
        <v>0.0084</v>
      </c>
      <c r="H262" s="81">
        <v>0.0481</v>
      </c>
      <c r="I262" s="44">
        <v>1.27</v>
      </c>
    </row>
    <row r="263">
      <c r="B263" s="82" t="s">
        <v>231</v>
      </c>
      <c r="D263" s="44">
        <v>279.2328</v>
      </c>
      <c r="E263" s="44">
        <v>224.8</v>
      </c>
      <c r="F263" s="44" t="s">
        <v>217</v>
      </c>
      <c r="G263" s="81">
        <v>0.0096</v>
      </c>
      <c r="H263" s="81">
        <v>0.0481</v>
      </c>
      <c r="I263" s="44">
        <v>1.17</v>
      </c>
    </row>
    <row r="264">
      <c r="B264" s="82" t="s">
        <v>257</v>
      </c>
      <c r="D264" s="44">
        <v>138.055</v>
      </c>
      <c r="E264" s="44">
        <v>77.1</v>
      </c>
      <c r="F264" s="44" t="s">
        <v>213</v>
      </c>
      <c r="G264" s="81">
        <v>0.0304</v>
      </c>
      <c r="H264" s="81">
        <v>0.1203</v>
      </c>
      <c r="I264" s="44">
        <v>0.73</v>
      </c>
    </row>
    <row r="265">
      <c r="B265" s="82" t="s">
        <v>258</v>
      </c>
      <c r="D265" s="44">
        <v>251.2016</v>
      </c>
      <c r="E265" s="44">
        <v>200.48</v>
      </c>
      <c r="F265" s="44" t="s">
        <v>217</v>
      </c>
      <c r="G265" s="81">
        <v>0.0309</v>
      </c>
      <c r="H265" s="81">
        <v>0.1203</v>
      </c>
      <c r="I265" s="44">
        <v>1.16</v>
      </c>
    </row>
    <row r="266">
      <c r="B266" s="82" t="s">
        <v>224</v>
      </c>
      <c r="D266" s="44">
        <v>225.1859</v>
      </c>
      <c r="E266" s="44">
        <v>183.41</v>
      </c>
      <c r="F266" s="44" t="s">
        <v>217</v>
      </c>
      <c r="G266" s="81">
        <v>0.0376</v>
      </c>
      <c r="H266" s="81">
        <v>0.1318</v>
      </c>
      <c r="I266" s="44">
        <v>1.25</v>
      </c>
    </row>
    <row r="267">
      <c r="B267" s="82" t="s">
        <v>215</v>
      </c>
      <c r="D267" s="44">
        <v>209.092</v>
      </c>
      <c r="E267" s="44">
        <v>60.61</v>
      </c>
      <c r="F267" s="44" t="s">
        <v>213</v>
      </c>
      <c r="G267" s="81">
        <v>0.0537</v>
      </c>
      <c r="H267" s="83">
        <v>0.1708</v>
      </c>
      <c r="I267" s="44">
        <v>0.93</v>
      </c>
    </row>
    <row r="268">
      <c r="B268" s="82" t="s">
        <v>262</v>
      </c>
      <c r="D268" s="44">
        <v>581.2403</v>
      </c>
      <c r="E268" s="44">
        <v>42.9</v>
      </c>
      <c r="F268" s="44" t="s">
        <v>217</v>
      </c>
      <c r="G268" s="81">
        <v>0.0806</v>
      </c>
      <c r="H268" s="83">
        <v>0.2158</v>
      </c>
      <c r="I268" s="44">
        <v>0.74</v>
      </c>
    </row>
    <row r="269">
      <c r="B269" s="82" t="s">
        <v>259</v>
      </c>
      <c r="D269" s="44">
        <v>220.1179</v>
      </c>
      <c r="E269" s="44">
        <v>41.48</v>
      </c>
      <c r="F269" s="44" t="s">
        <v>213</v>
      </c>
      <c r="G269" s="81">
        <v>0.0874</v>
      </c>
      <c r="H269" s="83">
        <v>0.2158</v>
      </c>
      <c r="I269" s="44">
        <v>0.79</v>
      </c>
    </row>
    <row r="270">
      <c r="B270" s="82" t="s">
        <v>234</v>
      </c>
      <c r="D270" s="44">
        <v>307.2642</v>
      </c>
      <c r="E270" s="44">
        <v>246.26</v>
      </c>
      <c r="F270" s="44" t="s">
        <v>217</v>
      </c>
      <c r="G270" s="81">
        <v>0.0919</v>
      </c>
      <c r="H270" s="83">
        <v>0.2158</v>
      </c>
      <c r="I270" s="44">
        <v>1.12</v>
      </c>
    </row>
    <row r="271">
      <c r="B271" s="82" t="s">
        <v>216</v>
      </c>
      <c r="D271" s="44">
        <v>204.0663</v>
      </c>
      <c r="E271" s="44">
        <v>40.92</v>
      </c>
      <c r="F271" s="44" t="s">
        <v>217</v>
      </c>
      <c r="G271" s="81">
        <v>0.0925</v>
      </c>
      <c r="H271" s="83">
        <v>0.2158</v>
      </c>
      <c r="I271" s="44">
        <v>0.91</v>
      </c>
    </row>
    <row r="272">
      <c r="B272" s="82" t="s">
        <v>229</v>
      </c>
      <c r="D272" s="44">
        <v>329.2486</v>
      </c>
      <c r="E272" s="44">
        <v>224.59</v>
      </c>
      <c r="F272" s="44" t="s">
        <v>217</v>
      </c>
      <c r="G272" s="83">
        <v>0.1663</v>
      </c>
      <c r="H272" s="83">
        <v>0.3407</v>
      </c>
      <c r="I272" s="44">
        <v>1.09</v>
      </c>
    </row>
    <row r="273">
      <c r="B273" s="82" t="s">
        <v>223</v>
      </c>
      <c r="D273" s="44">
        <v>295.2641</v>
      </c>
      <c r="E273" s="44">
        <v>253.48</v>
      </c>
      <c r="F273" s="44" t="s">
        <v>217</v>
      </c>
      <c r="G273" s="83">
        <v>0.1785</v>
      </c>
      <c r="H273" s="83">
        <v>0.3407</v>
      </c>
      <c r="I273" s="44">
        <v>1.15</v>
      </c>
    </row>
    <row r="274">
      <c r="B274" s="80" t="s">
        <v>254</v>
      </c>
      <c r="D274" s="44">
        <v>363.216</v>
      </c>
      <c r="E274" s="44">
        <v>41.09</v>
      </c>
      <c r="F274" s="44" t="s">
        <v>213</v>
      </c>
      <c r="G274" s="83">
        <v>0.1916</v>
      </c>
      <c r="H274" s="83">
        <v>0.3407</v>
      </c>
      <c r="I274" s="44">
        <v>1.12</v>
      </c>
    </row>
    <row r="275">
      <c r="B275" s="80" t="s">
        <v>236</v>
      </c>
      <c r="D275" s="44">
        <v>311.2953</v>
      </c>
      <c r="E275" s="44">
        <v>284.88</v>
      </c>
      <c r="F275" s="44" t="s">
        <v>217</v>
      </c>
      <c r="G275" s="83">
        <v>0.1947</v>
      </c>
      <c r="H275" s="83">
        <v>0.3407</v>
      </c>
      <c r="I275" s="44">
        <v>0.88</v>
      </c>
    </row>
    <row r="276">
      <c r="B276" s="82" t="s">
        <v>260</v>
      </c>
      <c r="D276" s="44">
        <v>173.0089</v>
      </c>
      <c r="E276" s="44">
        <v>29.37</v>
      </c>
      <c r="F276" s="44" t="s">
        <v>217</v>
      </c>
      <c r="G276" s="83">
        <v>0.2523</v>
      </c>
      <c r="H276" s="83">
        <v>0.4204</v>
      </c>
      <c r="I276" s="44">
        <v>0.9</v>
      </c>
    </row>
    <row r="277">
      <c r="B277" s="80" t="s">
        <v>241</v>
      </c>
      <c r="D277" s="44">
        <v>342.2638</v>
      </c>
      <c r="E277" s="44">
        <v>39.99</v>
      </c>
      <c r="F277" s="44" t="s">
        <v>213</v>
      </c>
      <c r="G277" s="83">
        <v>0.3024</v>
      </c>
      <c r="H277" s="83">
        <v>0.4811</v>
      </c>
      <c r="I277" s="44">
        <v>1.07</v>
      </c>
    </row>
    <row r="278">
      <c r="B278" s="82" t="s">
        <v>232</v>
      </c>
      <c r="D278" s="44">
        <v>277.2172</v>
      </c>
      <c r="E278" s="44">
        <v>210.25</v>
      </c>
      <c r="F278" s="44" t="s">
        <v>217</v>
      </c>
      <c r="G278" s="83">
        <v>0.3945</v>
      </c>
      <c r="H278" s="83">
        <v>0.6003</v>
      </c>
      <c r="I278" s="44">
        <v>1.06</v>
      </c>
    </row>
    <row r="279">
      <c r="B279" s="82" t="s">
        <v>227</v>
      </c>
      <c r="D279" s="44">
        <v>283.2642</v>
      </c>
      <c r="E279" s="44">
        <v>264.64</v>
      </c>
      <c r="F279" s="44" t="s">
        <v>217</v>
      </c>
      <c r="G279" s="83">
        <v>0.5152</v>
      </c>
      <c r="H279" s="83">
        <v>0.7514</v>
      </c>
      <c r="I279" s="44">
        <v>1.05</v>
      </c>
    </row>
    <row r="280">
      <c r="B280" s="80" t="s">
        <v>239</v>
      </c>
      <c r="D280" s="44">
        <v>314.2323</v>
      </c>
      <c r="E280" s="44">
        <v>42.17</v>
      </c>
      <c r="F280" s="44" t="s">
        <v>213</v>
      </c>
      <c r="G280" s="83">
        <v>0.6412</v>
      </c>
      <c r="H280" s="83">
        <v>0.8386</v>
      </c>
      <c r="I280" s="44">
        <v>1.03</v>
      </c>
    </row>
    <row r="281">
      <c r="B281" s="80" t="s">
        <v>242</v>
      </c>
      <c r="D281" s="44">
        <v>368.279</v>
      </c>
      <c r="E281" s="44">
        <v>39.25</v>
      </c>
      <c r="F281" s="44" t="s">
        <v>213</v>
      </c>
      <c r="G281" s="83">
        <v>0.6419</v>
      </c>
      <c r="H281" s="83">
        <v>0.8386</v>
      </c>
      <c r="I281" s="44">
        <v>1.03</v>
      </c>
    </row>
    <row r="282">
      <c r="B282" s="82" t="s">
        <v>264</v>
      </c>
      <c r="D282" s="44">
        <v>179.0562</v>
      </c>
      <c r="E282" s="44">
        <v>36.8</v>
      </c>
      <c r="F282" s="44" t="s">
        <v>217</v>
      </c>
      <c r="G282" s="83">
        <v>0.6549</v>
      </c>
      <c r="H282" s="83">
        <v>0.8386</v>
      </c>
      <c r="I282" s="44">
        <v>1.02</v>
      </c>
    </row>
    <row r="283">
      <c r="B283" s="82" t="s">
        <v>218</v>
      </c>
      <c r="D283" s="44">
        <v>192.0618</v>
      </c>
      <c r="E283" s="44">
        <v>138.07</v>
      </c>
      <c r="F283" s="44" t="s">
        <v>213</v>
      </c>
      <c r="G283" s="83">
        <v>0.6848</v>
      </c>
      <c r="H283" s="83">
        <v>0.8386</v>
      </c>
      <c r="I283" s="44">
        <v>0.97</v>
      </c>
    </row>
    <row r="284">
      <c r="B284" s="80" t="s">
        <v>240</v>
      </c>
      <c r="D284" s="44">
        <v>344.2792</v>
      </c>
      <c r="E284" s="44">
        <v>39.97</v>
      </c>
      <c r="F284" s="44" t="s">
        <v>213</v>
      </c>
      <c r="G284" s="83">
        <v>0.7096</v>
      </c>
      <c r="H284" s="83">
        <v>0.8386</v>
      </c>
      <c r="I284" s="44">
        <v>0.97</v>
      </c>
    </row>
    <row r="285">
      <c r="B285" s="80" t="s">
        <v>247</v>
      </c>
      <c r="D285" s="44">
        <v>338.3412</v>
      </c>
      <c r="E285" s="44">
        <v>36.19</v>
      </c>
      <c r="F285" s="44" t="s">
        <v>213</v>
      </c>
      <c r="G285" s="83">
        <v>0.7188</v>
      </c>
      <c r="H285" s="83">
        <v>0.8386</v>
      </c>
      <c r="I285" s="44">
        <v>1.05</v>
      </c>
    </row>
    <row r="286">
      <c r="B286" s="82" t="s">
        <v>219</v>
      </c>
      <c r="D286" s="44">
        <v>116.0706</v>
      </c>
      <c r="E286" s="44">
        <v>104.99</v>
      </c>
      <c r="F286" s="44" t="s">
        <v>213</v>
      </c>
      <c r="G286" s="83">
        <v>0.8975</v>
      </c>
      <c r="H286" s="83">
        <v>0.9676</v>
      </c>
      <c r="I286" s="44">
        <v>0.99</v>
      </c>
    </row>
    <row r="287">
      <c r="B287" s="80" t="s">
        <v>245</v>
      </c>
      <c r="D287" s="44">
        <v>310.3101</v>
      </c>
      <c r="E287" s="44">
        <v>31.12</v>
      </c>
      <c r="F287" s="44" t="s">
        <v>213</v>
      </c>
      <c r="G287" s="83">
        <v>0.9189</v>
      </c>
      <c r="H287" s="83">
        <v>0.9676</v>
      </c>
      <c r="I287" s="44">
        <v>0.98</v>
      </c>
    </row>
    <row r="288">
      <c r="B288" s="82" t="s">
        <v>235</v>
      </c>
      <c r="D288" s="44">
        <v>327.2329</v>
      </c>
      <c r="E288" s="44">
        <v>214.04</v>
      </c>
      <c r="F288" s="44" t="s">
        <v>217</v>
      </c>
      <c r="G288" s="83">
        <v>0.9438</v>
      </c>
      <c r="H288" s="83">
        <v>0.9676</v>
      </c>
      <c r="I288" s="44">
        <v>1.0</v>
      </c>
    </row>
    <row r="289">
      <c r="B289" s="80" t="s">
        <v>248</v>
      </c>
      <c r="D289" s="44">
        <v>730.5929</v>
      </c>
      <c r="E289" s="44">
        <v>45.71</v>
      </c>
      <c r="F289" s="44" t="s">
        <v>213</v>
      </c>
      <c r="G289" s="83">
        <v>0.9496</v>
      </c>
      <c r="H289" s="83">
        <v>0.9676</v>
      </c>
      <c r="I289" s="44">
        <v>1.02</v>
      </c>
    </row>
    <row r="290">
      <c r="B290" s="84" t="s">
        <v>233</v>
      </c>
      <c r="D290" s="85">
        <v>301.2173</v>
      </c>
      <c r="E290" s="85">
        <v>206.35</v>
      </c>
      <c r="F290" s="85" t="s">
        <v>217</v>
      </c>
      <c r="G290" s="86">
        <v>0.9676</v>
      </c>
      <c r="H290" s="86">
        <v>0.9676</v>
      </c>
      <c r="I290" s="85">
        <v>1.0</v>
      </c>
    </row>
  </sheetData>
  <conditionalFormatting sqref="M189:M206">
    <cfRule type="expression" dxfId="5" priority="1">
      <formula>COUNTIF(N:N,L49 &gt; 0)</formula>
    </cfRule>
  </conditionalFormatting>
  <conditionalFormatting sqref="K141:K187">
    <cfRule type="expression" dxfId="5" priority="2">
      <formula>COUNTIF(N:N,L1 &gt; 0)</formula>
    </cfRule>
  </conditionalFormatting>
  <conditionalFormatting sqref="L188">
    <cfRule type="expression" dxfId="5" priority="3">
      <formula>COUNTIF(N:N,L48 &gt; 0)</formula>
    </cfRule>
  </conditionalFormatting>
  <dataValidations>
    <dataValidation type="custom" allowBlank="1" showDropDown="1" sqref="A142:A187 C142:C187 F142:G187 D190:J256">
      <formula1>AND(ISNUMBER(A142),(NOT(OR(NOT(ISERROR(DATEVALUE(A142))), AND(ISNUMBER(A142), LEFT(CELL("format", A142))="D")))))</formula1>
    </dataValidation>
  </dataValidations>
  <hyperlinks>
    <hyperlink r:id="rId1" location="nt104" ref="B124"/>
    <hyperlink r:id="rId2" ref="B140"/>
  </hyperlinks>
  <drawing r:id="rId3"/>
  <tableParts count="4"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7" t="s">
        <v>478</v>
      </c>
      <c r="B1" s="87" t="s">
        <v>279</v>
      </c>
      <c r="C1" s="88" t="s">
        <v>479</v>
      </c>
      <c r="D1" s="87" t="s">
        <v>480</v>
      </c>
      <c r="E1" s="87" t="s">
        <v>481</v>
      </c>
      <c r="F1" s="88" t="s">
        <v>376</v>
      </c>
      <c r="G1" s="87" t="s">
        <v>482</v>
      </c>
      <c r="H1" s="87" t="s">
        <v>483</v>
      </c>
      <c r="I1" s="87" t="s">
        <v>282</v>
      </c>
      <c r="K1" s="88" t="s">
        <v>376</v>
      </c>
      <c r="L1" s="87" t="s">
        <v>282</v>
      </c>
      <c r="M1" s="87" t="s">
        <v>480</v>
      </c>
      <c r="N1" s="88" t="s">
        <v>479</v>
      </c>
    </row>
    <row r="2">
      <c r="A2" s="89" t="s">
        <v>484</v>
      </c>
      <c r="B2" s="90"/>
      <c r="C2" s="90"/>
      <c r="D2" s="90"/>
      <c r="E2" s="90"/>
      <c r="F2" s="90"/>
      <c r="G2" s="90"/>
      <c r="H2" s="90"/>
      <c r="I2" s="90"/>
      <c r="K2" s="90"/>
      <c r="L2" s="90"/>
      <c r="M2" s="90"/>
      <c r="N2" s="90"/>
    </row>
    <row r="3">
      <c r="A3" s="90"/>
      <c r="B3" s="55" t="s">
        <v>212</v>
      </c>
      <c r="C3" s="55">
        <v>265.1172</v>
      </c>
      <c r="D3" s="55">
        <v>3.56</v>
      </c>
      <c r="E3" s="55" t="s">
        <v>213</v>
      </c>
      <c r="F3" s="56">
        <v>0.0023</v>
      </c>
      <c r="G3" s="56">
        <v>0.0209</v>
      </c>
      <c r="H3" s="56">
        <v>1.65</v>
      </c>
      <c r="I3" s="55">
        <v>1.57</v>
      </c>
      <c r="K3" s="56">
        <v>0.0023</v>
      </c>
      <c r="L3" s="55">
        <v>1.57</v>
      </c>
      <c r="M3" s="55">
        <v>3.56</v>
      </c>
      <c r="N3" s="55">
        <v>265.1172</v>
      </c>
    </row>
    <row r="4">
      <c r="A4" s="55" t="s">
        <v>485</v>
      </c>
      <c r="B4" s="55" t="s">
        <v>215</v>
      </c>
      <c r="C4" s="55">
        <v>209.0914</v>
      </c>
      <c r="D4" s="55">
        <v>1.36</v>
      </c>
      <c r="E4" s="55" t="s">
        <v>213</v>
      </c>
      <c r="F4" s="56">
        <v>0.0113</v>
      </c>
      <c r="G4" s="56">
        <v>0.062</v>
      </c>
      <c r="H4" s="56">
        <v>1.71</v>
      </c>
      <c r="I4" s="55">
        <v>0.86</v>
      </c>
      <c r="K4" s="56">
        <v>0.0113</v>
      </c>
      <c r="L4" s="55">
        <v>0.86</v>
      </c>
      <c r="M4" s="55">
        <v>1.36</v>
      </c>
      <c r="N4" s="55">
        <v>209.0914</v>
      </c>
    </row>
    <row r="5">
      <c r="A5" s="90"/>
      <c r="B5" s="55" t="s">
        <v>216</v>
      </c>
      <c r="C5" s="55">
        <v>204.0671</v>
      </c>
      <c r="D5" s="55">
        <v>3.97</v>
      </c>
      <c r="E5" s="55" t="s">
        <v>217</v>
      </c>
      <c r="F5" s="56">
        <v>0.0109</v>
      </c>
      <c r="G5" s="56">
        <v>0.0618</v>
      </c>
      <c r="H5" s="56">
        <v>1.64</v>
      </c>
      <c r="I5" s="55">
        <v>0.81</v>
      </c>
      <c r="K5" s="56">
        <v>0.0109</v>
      </c>
      <c r="L5" s="55">
        <v>0.81</v>
      </c>
      <c r="M5" s="55">
        <v>3.97</v>
      </c>
      <c r="N5" s="55">
        <v>204.0671</v>
      </c>
    </row>
    <row r="6">
      <c r="A6" s="55" t="s">
        <v>486</v>
      </c>
      <c r="B6" s="55" t="s">
        <v>218</v>
      </c>
      <c r="C6" s="55">
        <v>192.0639</v>
      </c>
      <c r="D6" s="55">
        <v>1.36</v>
      </c>
      <c r="E6" s="55" t="s">
        <v>213</v>
      </c>
      <c r="F6" s="56">
        <v>0.0035</v>
      </c>
      <c r="G6" s="56">
        <v>0.0284</v>
      </c>
      <c r="H6" s="56">
        <v>1.95</v>
      </c>
      <c r="I6" s="56">
        <v>0.85</v>
      </c>
      <c r="K6" s="56">
        <v>0.0035</v>
      </c>
      <c r="L6" s="56">
        <v>0.85</v>
      </c>
      <c r="M6" s="55">
        <v>1.36</v>
      </c>
      <c r="N6" s="55">
        <v>192.0639</v>
      </c>
    </row>
    <row r="7">
      <c r="A7" s="55" t="s">
        <v>487</v>
      </c>
      <c r="B7" s="55" t="s">
        <v>219</v>
      </c>
      <c r="C7" s="55">
        <v>116.0708</v>
      </c>
      <c r="D7" s="55">
        <v>0.73</v>
      </c>
      <c r="E7" s="55" t="s">
        <v>213</v>
      </c>
      <c r="F7" s="56">
        <v>0.0401</v>
      </c>
      <c r="G7" s="56">
        <v>0.1395</v>
      </c>
      <c r="H7" s="56">
        <v>1.26</v>
      </c>
      <c r="I7" s="56">
        <v>1.14</v>
      </c>
      <c r="K7" s="56">
        <v>0.0401</v>
      </c>
      <c r="L7" s="56">
        <v>1.14</v>
      </c>
      <c r="M7" s="55">
        <v>0.73</v>
      </c>
      <c r="N7" s="55">
        <v>116.0708</v>
      </c>
    </row>
    <row r="8">
      <c r="A8" s="55" t="s">
        <v>488</v>
      </c>
      <c r="B8" s="58" t="s">
        <v>220</v>
      </c>
      <c r="C8" s="55">
        <v>283.0838</v>
      </c>
      <c r="D8" s="55">
        <v>4.29</v>
      </c>
      <c r="E8" s="55" t="s">
        <v>217</v>
      </c>
      <c r="F8" s="56">
        <v>0.0021</v>
      </c>
      <c r="G8" s="56">
        <v>0.0204</v>
      </c>
      <c r="H8" s="56">
        <v>1.78</v>
      </c>
      <c r="I8" s="56">
        <v>2.15</v>
      </c>
      <c r="K8" s="56">
        <v>0.0021</v>
      </c>
      <c r="L8" s="56">
        <v>2.15</v>
      </c>
      <c r="M8" s="55">
        <v>4.29</v>
      </c>
      <c r="N8" s="55">
        <v>283.0838</v>
      </c>
    </row>
    <row r="9">
      <c r="A9" s="90"/>
      <c r="B9" s="59" t="s">
        <v>221</v>
      </c>
      <c r="C9" s="56">
        <v>187.0079</v>
      </c>
      <c r="D9" s="56">
        <v>5.28</v>
      </c>
      <c r="E9" s="56" t="s">
        <v>213</v>
      </c>
      <c r="F9" s="56">
        <v>0.0278</v>
      </c>
      <c r="G9" s="56">
        <v>0.1065</v>
      </c>
      <c r="H9" s="56">
        <v>1.12</v>
      </c>
      <c r="I9" s="55">
        <v>1.08</v>
      </c>
      <c r="K9" s="56">
        <v>0.0278</v>
      </c>
      <c r="L9" s="55">
        <v>1.08</v>
      </c>
      <c r="M9" s="56">
        <v>5.28</v>
      </c>
      <c r="N9" s="56">
        <v>187.0079</v>
      </c>
    </row>
    <row r="10">
      <c r="A10" s="91" t="s">
        <v>489</v>
      </c>
      <c r="B10" s="92"/>
      <c r="C10" s="92"/>
      <c r="D10" s="92"/>
      <c r="E10" s="92"/>
      <c r="F10" s="90"/>
      <c r="G10" s="92"/>
      <c r="H10" s="90"/>
      <c r="I10" s="92"/>
      <c r="K10" s="90"/>
      <c r="L10" s="92"/>
      <c r="M10" s="92"/>
      <c r="N10" s="92"/>
    </row>
    <row r="11">
      <c r="A11" s="92"/>
      <c r="B11" s="56" t="s">
        <v>222</v>
      </c>
      <c r="C11" s="56">
        <v>183.1399</v>
      </c>
      <c r="D11" s="56">
        <v>12.41</v>
      </c>
      <c r="E11" s="56" t="s">
        <v>217</v>
      </c>
      <c r="F11" s="56">
        <v>0.0061</v>
      </c>
      <c r="G11" s="56">
        <v>0.0461</v>
      </c>
      <c r="H11" s="56">
        <v>1.37</v>
      </c>
      <c r="I11" s="56">
        <v>0.76</v>
      </c>
      <c r="K11" s="56">
        <v>0.0061</v>
      </c>
      <c r="L11" s="56">
        <v>0.76</v>
      </c>
      <c r="M11" s="56">
        <v>12.41</v>
      </c>
      <c r="N11" s="56">
        <v>183.1399</v>
      </c>
    </row>
    <row r="12">
      <c r="A12" s="92"/>
      <c r="B12" s="56" t="s">
        <v>223</v>
      </c>
      <c r="C12" s="56">
        <v>295.2638</v>
      </c>
      <c r="D12" s="56">
        <v>17.48</v>
      </c>
      <c r="E12" s="56" t="s">
        <v>217</v>
      </c>
      <c r="F12" s="56">
        <v>0.0179</v>
      </c>
      <c r="G12" s="56">
        <v>0.0861</v>
      </c>
      <c r="H12" s="56">
        <v>1.25</v>
      </c>
      <c r="I12" s="56">
        <v>0.78</v>
      </c>
      <c r="K12" s="56">
        <v>0.0179</v>
      </c>
      <c r="L12" s="56">
        <v>0.78</v>
      </c>
      <c r="M12" s="56">
        <v>17.48</v>
      </c>
      <c r="N12" s="56">
        <v>295.2638</v>
      </c>
    </row>
    <row r="13">
      <c r="A13" s="92"/>
      <c r="B13" s="56" t="s">
        <v>224</v>
      </c>
      <c r="C13" s="56">
        <v>225.1846</v>
      </c>
      <c r="D13" s="56">
        <v>15.11</v>
      </c>
      <c r="E13" s="56" t="s">
        <v>217</v>
      </c>
      <c r="F13" s="56">
        <v>0.01</v>
      </c>
      <c r="G13" s="56">
        <v>0.0614</v>
      </c>
      <c r="H13" s="56">
        <v>1.21</v>
      </c>
      <c r="I13" s="56">
        <v>0.77</v>
      </c>
      <c r="K13" s="56">
        <v>0.01</v>
      </c>
      <c r="L13" s="56">
        <v>0.77</v>
      </c>
      <c r="M13" s="56">
        <v>15.11</v>
      </c>
      <c r="N13" s="56">
        <v>225.1846</v>
      </c>
    </row>
    <row r="14">
      <c r="A14" s="60" t="s">
        <v>490</v>
      </c>
      <c r="B14" s="56" t="s">
        <v>225</v>
      </c>
      <c r="C14" s="56">
        <v>171.1402</v>
      </c>
      <c r="D14" s="56">
        <v>12.37</v>
      </c>
      <c r="E14" s="56" t="s">
        <v>217</v>
      </c>
      <c r="F14" s="56">
        <v>0.0021</v>
      </c>
      <c r="G14" s="56">
        <v>0.0204</v>
      </c>
      <c r="H14" s="56">
        <v>1.38</v>
      </c>
      <c r="I14" s="56">
        <v>0.81</v>
      </c>
      <c r="K14" s="56">
        <v>0.0021</v>
      </c>
      <c r="L14" s="56">
        <v>0.81</v>
      </c>
      <c r="M14" s="56">
        <v>12.37</v>
      </c>
      <c r="N14" s="56">
        <v>171.1402</v>
      </c>
    </row>
    <row r="15">
      <c r="A15" s="92"/>
      <c r="B15" s="56" t="s">
        <v>226</v>
      </c>
      <c r="C15" s="56">
        <v>199.1709</v>
      </c>
      <c r="D15" s="56">
        <v>14.26</v>
      </c>
      <c r="E15" s="56" t="s">
        <v>217</v>
      </c>
      <c r="F15" s="56">
        <v>0.0184</v>
      </c>
      <c r="G15" s="56">
        <v>0.0866</v>
      </c>
      <c r="H15" s="56">
        <v>1.52</v>
      </c>
      <c r="I15" s="56">
        <v>0.91</v>
      </c>
      <c r="K15" s="56">
        <v>0.0184</v>
      </c>
      <c r="L15" s="56">
        <v>0.91</v>
      </c>
      <c r="M15" s="56">
        <v>14.26</v>
      </c>
      <c r="N15" s="56">
        <v>199.1709</v>
      </c>
    </row>
    <row r="16">
      <c r="A16" s="92"/>
      <c r="B16" s="56" t="s">
        <v>227</v>
      </c>
      <c r="C16" s="56">
        <v>283.2625</v>
      </c>
      <c r="D16" s="56">
        <v>17.64</v>
      </c>
      <c r="E16" s="56" t="s">
        <v>217</v>
      </c>
      <c r="F16" s="56">
        <v>0.0012</v>
      </c>
      <c r="G16" s="56">
        <v>0.0164</v>
      </c>
      <c r="H16" s="56">
        <v>1.8</v>
      </c>
      <c r="I16" s="56">
        <v>0.87</v>
      </c>
      <c r="K16" s="56">
        <v>0.0012</v>
      </c>
      <c r="L16" s="56">
        <v>0.87</v>
      </c>
      <c r="M16" s="56">
        <v>17.64</v>
      </c>
      <c r="N16" s="56">
        <v>283.2625</v>
      </c>
    </row>
    <row r="17">
      <c r="A17" s="60" t="s">
        <v>491</v>
      </c>
      <c r="B17" s="56" t="s">
        <v>228</v>
      </c>
      <c r="C17" s="56">
        <v>251.2007</v>
      </c>
      <c r="D17" s="56">
        <v>15.48</v>
      </c>
      <c r="E17" s="56" t="s">
        <v>217</v>
      </c>
      <c r="F17" s="56">
        <v>0.0</v>
      </c>
      <c r="G17" s="56">
        <v>0.0044</v>
      </c>
      <c r="H17" s="56">
        <v>2.37</v>
      </c>
      <c r="I17" s="56">
        <v>0.59</v>
      </c>
      <c r="K17" s="56">
        <v>0.0</v>
      </c>
      <c r="L17" s="56">
        <v>0.59</v>
      </c>
      <c r="M17" s="56">
        <v>15.48</v>
      </c>
      <c r="N17" s="56">
        <v>251.2007</v>
      </c>
    </row>
    <row r="18">
      <c r="A18" s="92"/>
      <c r="B18" s="56" t="s">
        <v>229</v>
      </c>
      <c r="C18" s="56">
        <v>329.2469</v>
      </c>
      <c r="D18" s="56">
        <v>16.93</v>
      </c>
      <c r="E18" s="56" t="s">
        <v>217</v>
      </c>
      <c r="F18" s="56">
        <v>2.0E-4</v>
      </c>
      <c r="G18" s="56">
        <v>0.0058</v>
      </c>
      <c r="H18" s="56">
        <v>1.94</v>
      </c>
      <c r="I18" s="56">
        <v>0.63</v>
      </c>
      <c r="K18" s="56">
        <v>2.0E-4</v>
      </c>
      <c r="L18" s="56">
        <v>0.63</v>
      </c>
      <c r="M18" s="56">
        <v>16.93</v>
      </c>
      <c r="N18" s="56">
        <v>329.2469</v>
      </c>
    </row>
    <row r="19">
      <c r="A19" s="60" t="s">
        <v>492</v>
      </c>
      <c r="B19" s="56" t="s">
        <v>230</v>
      </c>
      <c r="C19" s="56">
        <v>281.2482</v>
      </c>
      <c r="D19" s="56">
        <v>17.05</v>
      </c>
      <c r="E19" s="56" t="s">
        <v>217</v>
      </c>
      <c r="F19" s="56">
        <v>0.0199</v>
      </c>
      <c r="G19" s="56">
        <v>0.0882</v>
      </c>
      <c r="H19" s="56">
        <v>1.24</v>
      </c>
      <c r="I19" s="56">
        <v>0.8</v>
      </c>
      <c r="K19" s="56">
        <v>0.0199</v>
      </c>
      <c r="L19" s="56">
        <v>0.8</v>
      </c>
      <c r="M19" s="56">
        <v>17.05</v>
      </c>
      <c r="N19" s="56">
        <v>281.2482</v>
      </c>
    </row>
    <row r="20">
      <c r="A20" s="92"/>
      <c r="B20" s="56" t="s">
        <v>231</v>
      </c>
      <c r="C20" s="56">
        <v>279.2333</v>
      </c>
      <c r="D20" s="56">
        <v>16.5</v>
      </c>
      <c r="E20" s="56" t="s">
        <v>217</v>
      </c>
      <c r="F20" s="56">
        <v>0.0106</v>
      </c>
      <c r="G20" s="56">
        <v>0.0616</v>
      </c>
      <c r="H20" s="56">
        <v>1.62</v>
      </c>
      <c r="I20" s="56">
        <v>0.73</v>
      </c>
      <c r="K20" s="56">
        <v>0.0106</v>
      </c>
      <c r="L20" s="56">
        <v>0.73</v>
      </c>
      <c r="M20" s="56">
        <v>16.5</v>
      </c>
      <c r="N20" s="56">
        <v>279.2333</v>
      </c>
    </row>
    <row r="21">
      <c r="A21" s="92"/>
      <c r="B21" s="56" t="s">
        <v>232</v>
      </c>
      <c r="C21" s="56">
        <v>277.2179</v>
      </c>
      <c r="D21" s="56">
        <v>16.0</v>
      </c>
      <c r="E21" s="56" t="s">
        <v>217</v>
      </c>
      <c r="F21" s="56">
        <v>0.0331</v>
      </c>
      <c r="G21" s="56">
        <v>0.1187</v>
      </c>
      <c r="H21" s="56">
        <v>1.06</v>
      </c>
      <c r="I21" s="56">
        <v>0.77</v>
      </c>
      <c r="K21" s="56">
        <v>0.0331</v>
      </c>
      <c r="L21" s="56">
        <v>0.77</v>
      </c>
      <c r="M21" s="56">
        <v>16.0</v>
      </c>
      <c r="N21" s="56">
        <v>277.2179</v>
      </c>
    </row>
    <row r="22">
      <c r="A22" s="92"/>
      <c r="B22" s="56" t="s">
        <v>233</v>
      </c>
      <c r="C22" s="56">
        <v>301.2165</v>
      </c>
      <c r="D22" s="56">
        <v>16.14</v>
      </c>
      <c r="E22" s="56" t="s">
        <v>217</v>
      </c>
      <c r="F22" s="56">
        <v>0.0014</v>
      </c>
      <c r="G22" s="56">
        <v>0.0164</v>
      </c>
      <c r="H22" s="56">
        <v>2.1</v>
      </c>
      <c r="I22" s="56">
        <v>0.61</v>
      </c>
      <c r="K22" s="56">
        <v>0.0014</v>
      </c>
      <c r="L22" s="56">
        <v>0.61</v>
      </c>
      <c r="M22" s="56">
        <v>16.14</v>
      </c>
      <c r="N22" s="56">
        <v>301.2165</v>
      </c>
    </row>
    <row r="23">
      <c r="A23" s="92"/>
      <c r="B23" s="56" t="s">
        <v>234</v>
      </c>
      <c r="C23" s="56">
        <v>307.2605</v>
      </c>
      <c r="D23" s="56">
        <v>17.44</v>
      </c>
      <c r="E23" s="56" t="s">
        <v>217</v>
      </c>
      <c r="F23" s="56">
        <v>0.009</v>
      </c>
      <c r="G23" s="56">
        <v>0.0579</v>
      </c>
      <c r="H23" s="56">
        <v>1.16</v>
      </c>
      <c r="I23" s="56">
        <v>0.76</v>
      </c>
      <c r="K23" s="56">
        <v>0.009</v>
      </c>
      <c r="L23" s="56">
        <v>0.76</v>
      </c>
      <c r="M23" s="56">
        <v>17.44</v>
      </c>
      <c r="N23" s="56">
        <v>307.2605</v>
      </c>
    </row>
    <row r="24">
      <c r="A24" s="92"/>
      <c r="B24" s="56" t="s">
        <v>235</v>
      </c>
      <c r="C24" s="56">
        <v>327.2326</v>
      </c>
      <c r="D24" s="56">
        <v>16.66</v>
      </c>
      <c r="E24" s="56" t="s">
        <v>217</v>
      </c>
      <c r="F24" s="56">
        <v>0.0</v>
      </c>
      <c r="G24" s="56">
        <v>0.004</v>
      </c>
      <c r="H24" s="56">
        <v>2.28</v>
      </c>
      <c r="I24" s="56">
        <v>0.6</v>
      </c>
      <c r="K24" s="56">
        <v>0.0</v>
      </c>
      <c r="L24" s="56">
        <v>0.6</v>
      </c>
      <c r="M24" s="56">
        <v>16.66</v>
      </c>
      <c r="N24" s="56">
        <v>327.2326</v>
      </c>
    </row>
    <row r="25">
      <c r="A25" s="92"/>
    </row>
    <row r="26">
      <c r="A26" s="93" t="s">
        <v>493</v>
      </c>
    </row>
    <row r="27">
      <c r="A27" s="94"/>
    </row>
    <row r="28">
      <c r="A28" s="60" t="s">
        <v>494</v>
      </c>
      <c r="B28" s="60" t="s">
        <v>236</v>
      </c>
      <c r="C28" s="56">
        <v>311.2958</v>
      </c>
      <c r="D28" s="56">
        <v>18.34</v>
      </c>
      <c r="E28" s="56" t="s">
        <v>217</v>
      </c>
      <c r="F28" s="56">
        <v>0.0307</v>
      </c>
      <c r="G28" s="56">
        <v>0.112</v>
      </c>
      <c r="H28" s="56">
        <v>1.23</v>
      </c>
      <c r="I28" s="56">
        <v>0.87</v>
      </c>
      <c r="K28" s="56">
        <v>0.0307</v>
      </c>
      <c r="L28" s="56">
        <v>0.87</v>
      </c>
      <c r="M28" s="56">
        <v>18.34</v>
      </c>
      <c r="N28" s="56">
        <v>311.2958</v>
      </c>
    </row>
    <row r="29">
      <c r="A29" s="94"/>
      <c r="B29" s="60" t="s">
        <v>237</v>
      </c>
      <c r="C29" s="56">
        <v>305.2485</v>
      </c>
      <c r="D29" s="56">
        <v>16.94</v>
      </c>
      <c r="E29" s="56" t="s">
        <v>217</v>
      </c>
      <c r="F29" s="56">
        <v>0.0</v>
      </c>
      <c r="G29" s="56">
        <v>0.0045</v>
      </c>
      <c r="H29" s="56">
        <v>2.05</v>
      </c>
      <c r="I29" s="56">
        <v>0.63</v>
      </c>
      <c r="K29" s="56">
        <v>0.0</v>
      </c>
      <c r="L29" s="56">
        <v>0.63</v>
      </c>
      <c r="M29" s="56">
        <v>16.94</v>
      </c>
      <c r="N29" s="56">
        <v>305.2485</v>
      </c>
    </row>
    <row r="30">
      <c r="A30" s="94"/>
      <c r="B30" s="60" t="s">
        <v>238</v>
      </c>
      <c r="C30" s="56">
        <v>303.2329</v>
      </c>
      <c r="D30" s="56">
        <v>16.54</v>
      </c>
      <c r="E30" s="56" t="s">
        <v>217</v>
      </c>
      <c r="F30" s="56">
        <v>4.0E-4</v>
      </c>
      <c r="G30" s="56">
        <v>0.0081</v>
      </c>
      <c r="H30" s="56">
        <v>1.91</v>
      </c>
      <c r="I30" s="56">
        <v>0.65</v>
      </c>
      <c r="K30" s="56">
        <v>4.0E-4</v>
      </c>
      <c r="L30" s="56">
        <v>0.65</v>
      </c>
      <c r="M30" s="56">
        <v>16.54</v>
      </c>
      <c r="N30" s="56">
        <v>303.2329</v>
      </c>
    </row>
    <row r="31">
      <c r="A31" s="60" t="s">
        <v>495</v>
      </c>
      <c r="B31" s="60" t="s">
        <v>239</v>
      </c>
      <c r="C31" s="56">
        <v>314.2321</v>
      </c>
      <c r="D31" s="56">
        <v>9.15</v>
      </c>
      <c r="E31" s="56" t="s">
        <v>213</v>
      </c>
      <c r="F31" s="56">
        <v>0.0078</v>
      </c>
      <c r="G31" s="56">
        <v>0.0515</v>
      </c>
      <c r="H31" s="56">
        <v>1.12</v>
      </c>
      <c r="I31" s="56">
        <v>0.71</v>
      </c>
      <c r="K31" s="56">
        <v>0.0078</v>
      </c>
      <c r="L31" s="56">
        <v>0.71</v>
      </c>
      <c r="M31" s="56">
        <v>9.15</v>
      </c>
      <c r="N31" s="56">
        <v>314.2321</v>
      </c>
    </row>
    <row r="32">
      <c r="A32" s="94"/>
      <c r="B32" s="60" t="s">
        <v>240</v>
      </c>
      <c r="C32" s="56">
        <v>344.2783</v>
      </c>
      <c r="D32" s="56">
        <v>11.68</v>
      </c>
      <c r="E32" s="56" t="s">
        <v>213</v>
      </c>
      <c r="F32" s="56">
        <v>0.0022</v>
      </c>
      <c r="G32" s="56">
        <v>0.0204</v>
      </c>
      <c r="H32" s="56">
        <v>1.03</v>
      </c>
      <c r="I32" s="56">
        <v>0.78</v>
      </c>
      <c r="K32" s="56">
        <v>0.0022</v>
      </c>
      <c r="L32" s="56">
        <v>0.78</v>
      </c>
      <c r="M32" s="56">
        <v>11.68</v>
      </c>
      <c r="N32" s="56">
        <v>344.2783</v>
      </c>
    </row>
    <row r="33">
      <c r="A33" s="94"/>
      <c r="B33" s="60" t="s">
        <v>241</v>
      </c>
      <c r="C33" s="56">
        <v>342.2637</v>
      </c>
      <c r="D33" s="56">
        <v>10.97</v>
      </c>
      <c r="E33" s="56" t="s">
        <v>213</v>
      </c>
      <c r="F33" s="56">
        <v>0.0014</v>
      </c>
      <c r="G33" s="56">
        <v>0.0164</v>
      </c>
      <c r="H33" s="56">
        <v>1.23</v>
      </c>
      <c r="I33" s="56">
        <v>0.75</v>
      </c>
      <c r="K33" s="56">
        <v>0.0014</v>
      </c>
      <c r="L33" s="56">
        <v>0.75</v>
      </c>
      <c r="M33" s="56">
        <v>10.97</v>
      </c>
      <c r="N33" s="56">
        <v>342.2637</v>
      </c>
    </row>
    <row r="34">
      <c r="A34" s="94"/>
      <c r="B34" s="60" t="s">
        <v>242</v>
      </c>
      <c r="C34" s="56">
        <v>368.2789</v>
      </c>
      <c r="D34" s="56">
        <v>11.8</v>
      </c>
      <c r="E34" s="56" t="s">
        <v>213</v>
      </c>
      <c r="F34" s="56">
        <v>0.0034</v>
      </c>
      <c r="G34" s="56">
        <v>0.0284</v>
      </c>
      <c r="H34" s="56">
        <v>1.18</v>
      </c>
      <c r="I34" s="56">
        <v>0.74</v>
      </c>
      <c r="K34" s="56">
        <v>0.0034</v>
      </c>
      <c r="L34" s="56">
        <v>0.74</v>
      </c>
      <c r="M34" s="56">
        <v>11.8</v>
      </c>
      <c r="N34" s="56">
        <v>368.2789</v>
      </c>
    </row>
    <row r="35">
      <c r="A35" s="94"/>
      <c r="B35" s="60" t="s">
        <v>243</v>
      </c>
      <c r="C35" s="56">
        <v>366.2625</v>
      </c>
      <c r="D35" s="56">
        <v>10.88</v>
      </c>
      <c r="E35" s="56" t="s">
        <v>213</v>
      </c>
      <c r="F35" s="56">
        <v>0.0095</v>
      </c>
      <c r="G35" s="56">
        <v>0.0596</v>
      </c>
      <c r="H35" s="56">
        <v>1.38</v>
      </c>
      <c r="I35" s="56">
        <v>0.74</v>
      </c>
      <c r="K35" s="56">
        <v>0.0095</v>
      </c>
      <c r="L35" s="56">
        <v>0.74</v>
      </c>
      <c r="M35" s="56">
        <v>10.88</v>
      </c>
      <c r="N35" s="56">
        <v>366.2625</v>
      </c>
    </row>
    <row r="36">
      <c r="A36" s="91" t="s">
        <v>496</v>
      </c>
      <c r="B36" s="94"/>
      <c r="C36" s="94"/>
      <c r="D36" s="94"/>
      <c r="E36" s="94"/>
      <c r="F36" s="95"/>
      <c r="G36" s="94"/>
      <c r="H36" s="95"/>
      <c r="I36" s="94"/>
      <c r="K36" s="95"/>
      <c r="L36" s="94"/>
      <c r="M36" s="94"/>
      <c r="N36" s="94"/>
    </row>
    <row r="37">
      <c r="A37" s="94"/>
      <c r="B37" s="60" t="s">
        <v>244</v>
      </c>
      <c r="C37" s="56">
        <v>312.3256</v>
      </c>
      <c r="D37" s="56">
        <v>19.64</v>
      </c>
      <c r="E37" s="56" t="s">
        <v>213</v>
      </c>
      <c r="F37" s="56">
        <v>8.0E-4</v>
      </c>
      <c r="G37" s="56">
        <v>0.0157</v>
      </c>
      <c r="H37" s="56">
        <v>1.96</v>
      </c>
      <c r="I37" s="56">
        <v>0.8</v>
      </c>
      <c r="K37" s="56">
        <v>8.0E-4</v>
      </c>
      <c r="L37" s="56">
        <v>0.8</v>
      </c>
      <c r="M37" s="56">
        <v>19.64</v>
      </c>
      <c r="N37" s="56">
        <v>312.3256</v>
      </c>
    </row>
    <row r="38">
      <c r="A38" s="94"/>
      <c r="B38" s="60" t="s">
        <v>245</v>
      </c>
      <c r="C38" s="56">
        <v>310.31</v>
      </c>
      <c r="D38" s="56">
        <v>18.64</v>
      </c>
      <c r="E38" s="56" t="s">
        <v>213</v>
      </c>
      <c r="F38" s="56">
        <v>0.0</v>
      </c>
      <c r="G38" s="56">
        <v>0.004</v>
      </c>
      <c r="H38" s="56">
        <v>2.09</v>
      </c>
      <c r="I38" s="56">
        <v>0.62</v>
      </c>
      <c r="K38" s="56">
        <v>0.0</v>
      </c>
      <c r="L38" s="56">
        <v>0.62</v>
      </c>
      <c r="M38" s="56">
        <v>18.64</v>
      </c>
      <c r="N38" s="56">
        <v>310.31</v>
      </c>
    </row>
    <row r="39">
      <c r="A39" s="94"/>
      <c r="B39" s="60" t="s">
        <v>246</v>
      </c>
      <c r="C39" s="56">
        <v>340.3574</v>
      </c>
      <c r="D39" s="56">
        <v>20.88</v>
      </c>
      <c r="E39" s="56" t="s">
        <v>213</v>
      </c>
      <c r="F39" s="56">
        <v>0.0037</v>
      </c>
      <c r="G39" s="56">
        <v>0.0292</v>
      </c>
      <c r="H39" s="56">
        <v>1.64</v>
      </c>
      <c r="I39" s="56">
        <v>0.84</v>
      </c>
      <c r="K39" s="56">
        <v>0.0037</v>
      </c>
      <c r="L39" s="56">
        <v>0.84</v>
      </c>
      <c r="M39" s="56">
        <v>20.88</v>
      </c>
      <c r="N39" s="56">
        <v>340.3574</v>
      </c>
    </row>
    <row r="40">
      <c r="A40" s="94"/>
      <c r="B40" s="60" t="s">
        <v>247</v>
      </c>
      <c r="C40" s="56">
        <v>338.3412</v>
      </c>
      <c r="D40" s="56">
        <v>19.92</v>
      </c>
      <c r="E40" s="56" t="s">
        <v>213</v>
      </c>
      <c r="F40" s="56">
        <v>0.0014</v>
      </c>
      <c r="G40" s="56">
        <v>0.0164</v>
      </c>
      <c r="H40" s="56">
        <v>2.07</v>
      </c>
      <c r="I40" s="56">
        <v>0.84</v>
      </c>
      <c r="K40" s="56">
        <v>0.0014</v>
      </c>
      <c r="L40" s="56">
        <v>0.84</v>
      </c>
      <c r="M40" s="56">
        <v>19.92</v>
      </c>
      <c r="N40" s="56">
        <v>338.3412</v>
      </c>
    </row>
    <row r="41">
      <c r="A41" s="91" t="s">
        <v>497</v>
      </c>
      <c r="B41" s="94"/>
      <c r="C41" s="94"/>
      <c r="D41" s="94"/>
      <c r="E41" s="94"/>
      <c r="F41" s="95"/>
      <c r="G41" s="94"/>
      <c r="H41" s="95"/>
      <c r="I41" s="94"/>
      <c r="K41" s="95"/>
      <c r="L41" s="94"/>
      <c r="M41" s="94"/>
      <c r="N41" s="94"/>
    </row>
    <row r="42">
      <c r="A42" s="56" t="s">
        <v>498</v>
      </c>
      <c r="B42" s="60" t="s">
        <v>248</v>
      </c>
      <c r="C42" s="56">
        <v>730.5384</v>
      </c>
      <c r="D42" s="56">
        <v>21.37</v>
      </c>
      <c r="E42" s="56" t="s">
        <v>213</v>
      </c>
      <c r="F42" s="56">
        <v>5.0E-4</v>
      </c>
      <c r="G42" s="56">
        <v>0.0111</v>
      </c>
      <c r="H42" s="56">
        <v>2.17</v>
      </c>
      <c r="I42" s="56">
        <v>0.82</v>
      </c>
      <c r="K42" s="56">
        <v>5.0E-4</v>
      </c>
      <c r="L42" s="56">
        <v>0.82</v>
      </c>
      <c r="M42" s="56">
        <v>21.37</v>
      </c>
      <c r="N42" s="56">
        <v>730.5384</v>
      </c>
    </row>
    <row r="43">
      <c r="A43" s="94"/>
      <c r="B43" s="60" t="s">
        <v>249</v>
      </c>
      <c r="C43" s="56">
        <v>728.5233</v>
      </c>
      <c r="D43" s="56">
        <v>20.26</v>
      </c>
      <c r="E43" s="56" t="s">
        <v>213</v>
      </c>
      <c r="F43" s="56">
        <v>0.0194</v>
      </c>
      <c r="G43" s="56">
        <v>0.0877</v>
      </c>
      <c r="H43" s="56">
        <v>1.53</v>
      </c>
      <c r="I43" s="56">
        <v>0.85</v>
      </c>
      <c r="K43" s="56">
        <v>0.0194</v>
      </c>
      <c r="L43" s="56">
        <v>0.85</v>
      </c>
      <c r="M43" s="56">
        <v>20.26</v>
      </c>
      <c r="N43" s="56">
        <v>728.5233</v>
      </c>
    </row>
    <row r="44">
      <c r="A44" s="94"/>
      <c r="B44" s="60" t="s">
        <v>250</v>
      </c>
      <c r="C44" s="56">
        <v>758.5706</v>
      </c>
      <c r="D44" s="56">
        <v>22.22</v>
      </c>
      <c r="E44" s="56" t="s">
        <v>213</v>
      </c>
      <c r="F44" s="56">
        <v>0.0069</v>
      </c>
      <c r="G44" s="56">
        <v>0.0502</v>
      </c>
      <c r="H44" s="56">
        <v>1.64</v>
      </c>
      <c r="I44" s="56">
        <v>0.94</v>
      </c>
      <c r="K44" s="56">
        <v>0.0069</v>
      </c>
      <c r="L44" s="56">
        <v>0.94</v>
      </c>
      <c r="M44" s="56">
        <v>22.22</v>
      </c>
      <c r="N44" s="56">
        <v>758.5706</v>
      </c>
    </row>
    <row r="45">
      <c r="A45" s="94"/>
      <c r="B45" s="60" t="s">
        <v>251</v>
      </c>
      <c r="C45" s="56">
        <v>756.5561</v>
      </c>
      <c r="D45" s="56">
        <v>21.6</v>
      </c>
      <c r="E45" s="56" t="s">
        <v>213</v>
      </c>
      <c r="F45" s="56">
        <v>0.0011</v>
      </c>
      <c r="G45" s="56">
        <v>0.0164</v>
      </c>
      <c r="H45" s="56">
        <v>2.0</v>
      </c>
      <c r="I45" s="56">
        <v>0.82</v>
      </c>
      <c r="K45" s="56">
        <v>0.0011</v>
      </c>
      <c r="L45" s="56">
        <v>0.82</v>
      </c>
      <c r="M45" s="56">
        <v>21.6</v>
      </c>
      <c r="N45" s="56">
        <v>756.5561</v>
      </c>
    </row>
    <row r="46">
      <c r="A46" s="94"/>
      <c r="B46" s="60" t="s">
        <v>252</v>
      </c>
      <c r="C46" s="56">
        <v>754.535</v>
      </c>
      <c r="D46" s="56">
        <v>21.35</v>
      </c>
      <c r="E46" s="56" t="s">
        <v>213</v>
      </c>
      <c r="F46" s="56">
        <v>0.0221</v>
      </c>
      <c r="G46" s="56">
        <v>0.0942</v>
      </c>
      <c r="H46" s="56">
        <v>1.6</v>
      </c>
      <c r="I46" s="56">
        <v>0.81</v>
      </c>
      <c r="K46" s="56">
        <v>0.0221</v>
      </c>
      <c r="L46" s="56">
        <v>0.81</v>
      </c>
      <c r="M46" s="56">
        <v>21.35</v>
      </c>
      <c r="N46" s="56">
        <v>754.535</v>
      </c>
    </row>
    <row r="47">
      <c r="A47" s="60" t="s">
        <v>499</v>
      </c>
      <c r="B47" s="60" t="s">
        <v>253</v>
      </c>
      <c r="C47" s="56">
        <v>673.5267</v>
      </c>
      <c r="D47" s="56">
        <v>19.16</v>
      </c>
      <c r="E47" s="56" t="s">
        <v>213</v>
      </c>
      <c r="F47" s="56">
        <v>0.0122</v>
      </c>
      <c r="G47" s="56">
        <v>0.0629</v>
      </c>
      <c r="H47" s="56">
        <v>1.56</v>
      </c>
      <c r="I47" s="56">
        <v>0.83</v>
      </c>
      <c r="K47" s="56">
        <v>0.0122</v>
      </c>
      <c r="L47" s="56">
        <v>0.83</v>
      </c>
      <c r="M47" s="56">
        <v>19.16</v>
      </c>
      <c r="N47" s="56">
        <v>673.5267</v>
      </c>
    </row>
    <row r="48">
      <c r="A48" s="91" t="s">
        <v>500</v>
      </c>
      <c r="B48" s="94"/>
      <c r="C48" s="94"/>
      <c r="D48" s="94"/>
      <c r="E48" s="94"/>
      <c r="F48" s="95"/>
      <c r="G48" s="94"/>
      <c r="H48" s="95"/>
      <c r="I48" s="94"/>
      <c r="K48" s="95"/>
      <c r="L48" s="94"/>
      <c r="M48" s="94"/>
      <c r="N48" s="94"/>
    </row>
    <row r="49">
      <c r="A49" s="94"/>
      <c r="B49" s="60" t="s">
        <v>254</v>
      </c>
      <c r="C49" s="56">
        <v>363.2162</v>
      </c>
      <c r="D49" s="56">
        <v>7.64</v>
      </c>
      <c r="E49" s="56" t="s">
        <v>213</v>
      </c>
      <c r="F49" s="56">
        <v>0.0165</v>
      </c>
      <c r="G49" s="56">
        <v>0.083</v>
      </c>
      <c r="H49" s="56">
        <v>1.71</v>
      </c>
      <c r="I49" s="56">
        <v>1.21</v>
      </c>
      <c r="K49" s="56">
        <v>0.0165</v>
      </c>
      <c r="L49" s="56">
        <v>1.21</v>
      </c>
      <c r="M49" s="56">
        <v>7.64</v>
      </c>
      <c r="N49" s="56">
        <v>363.2162</v>
      </c>
    </row>
    <row r="50">
      <c r="A50" s="94"/>
      <c r="B50" s="60" t="s">
        <v>255</v>
      </c>
      <c r="C50" s="56">
        <v>361.2006</v>
      </c>
      <c r="D50" s="56">
        <v>7.67</v>
      </c>
      <c r="E50" s="56" t="s">
        <v>213</v>
      </c>
      <c r="F50" s="56">
        <v>0.0271</v>
      </c>
      <c r="G50" s="56">
        <v>0.1065</v>
      </c>
      <c r="H50" s="56">
        <v>1.37</v>
      </c>
      <c r="I50" s="56">
        <v>0.92</v>
      </c>
      <c r="K50" s="56">
        <v>0.0271</v>
      </c>
      <c r="L50" s="56">
        <v>0.92</v>
      </c>
      <c r="M50" s="56">
        <v>7.67</v>
      </c>
      <c r="N50" s="56">
        <v>361.2006</v>
      </c>
    </row>
    <row r="51">
      <c r="A51" s="94"/>
      <c r="B51" s="60" t="s">
        <v>256</v>
      </c>
      <c r="C51" s="56">
        <v>347.2208</v>
      </c>
      <c r="D51" s="56">
        <v>8.82</v>
      </c>
      <c r="E51" s="56" t="s">
        <v>213</v>
      </c>
      <c r="F51" s="56">
        <v>2.0E-4</v>
      </c>
      <c r="G51" s="56">
        <v>0.0058</v>
      </c>
      <c r="H51" s="56">
        <v>2.02</v>
      </c>
      <c r="I51" s="56">
        <v>1.83</v>
      </c>
      <c r="K51" s="56">
        <v>2.0E-4</v>
      </c>
      <c r="L51" s="56">
        <v>1.83</v>
      </c>
      <c r="M51" s="56">
        <v>8.82</v>
      </c>
      <c r="N51" s="56">
        <v>347.2208</v>
      </c>
    </row>
    <row r="52">
      <c r="A52" s="94"/>
    </row>
    <row r="53">
      <c r="A53" s="93" t="s">
        <v>493</v>
      </c>
    </row>
    <row r="54">
      <c r="A54" s="94"/>
    </row>
    <row r="55">
      <c r="A55" s="91" t="s">
        <v>501</v>
      </c>
      <c r="B55" s="94"/>
      <c r="C55" s="94"/>
      <c r="D55" s="94"/>
      <c r="E55" s="94"/>
      <c r="F55" s="95"/>
      <c r="G55" s="94"/>
      <c r="H55" s="95"/>
      <c r="I55" s="94"/>
      <c r="K55" s="95"/>
      <c r="L55" s="94"/>
      <c r="M55" s="94"/>
      <c r="N55" s="94"/>
    </row>
    <row r="56">
      <c r="A56" s="60" t="s">
        <v>502</v>
      </c>
      <c r="B56" s="56" t="s">
        <v>257</v>
      </c>
      <c r="C56" s="56">
        <v>138.0548</v>
      </c>
      <c r="D56" s="56">
        <v>0.75</v>
      </c>
      <c r="E56" s="56" t="s">
        <v>213</v>
      </c>
      <c r="F56" s="56">
        <v>0.0119</v>
      </c>
      <c r="G56" s="56">
        <v>0.0625</v>
      </c>
      <c r="H56" s="56">
        <v>1.28</v>
      </c>
      <c r="I56" s="56">
        <v>0.53</v>
      </c>
      <c r="K56" s="56">
        <v>0.0119</v>
      </c>
      <c r="L56" s="56">
        <v>0.53</v>
      </c>
      <c r="M56" s="56">
        <v>0.75</v>
      </c>
      <c r="N56" s="56">
        <v>138.0548</v>
      </c>
    </row>
    <row r="57">
      <c r="A57" s="60" t="s">
        <v>503</v>
      </c>
      <c r="B57" s="56" t="s">
        <v>258</v>
      </c>
      <c r="C57" s="56">
        <v>251.1263</v>
      </c>
      <c r="D57" s="56">
        <v>11.34</v>
      </c>
      <c r="E57" s="56" t="s">
        <v>213</v>
      </c>
      <c r="F57" s="56">
        <v>0.003</v>
      </c>
      <c r="G57" s="56">
        <v>0.0261</v>
      </c>
      <c r="H57" s="56">
        <v>1.97</v>
      </c>
      <c r="I57" s="56">
        <v>0.73</v>
      </c>
      <c r="K57" s="56">
        <v>0.003</v>
      </c>
      <c r="L57" s="56">
        <v>0.73</v>
      </c>
      <c r="M57" s="56">
        <v>11.34</v>
      </c>
      <c r="N57" s="56">
        <v>251.1263</v>
      </c>
    </row>
    <row r="58">
      <c r="A58" s="60" t="s">
        <v>504</v>
      </c>
      <c r="B58" s="56" t="s">
        <v>259</v>
      </c>
      <c r="C58" s="56">
        <v>220.116</v>
      </c>
      <c r="D58" s="56">
        <v>1.71</v>
      </c>
      <c r="E58" s="56" t="s">
        <v>213</v>
      </c>
      <c r="F58" s="56">
        <v>0.0174</v>
      </c>
      <c r="G58" s="56">
        <v>0.0857</v>
      </c>
      <c r="H58" s="56">
        <v>1.32</v>
      </c>
      <c r="I58" s="56">
        <v>0.85</v>
      </c>
      <c r="K58" s="56">
        <v>0.0174</v>
      </c>
      <c r="L58" s="56">
        <v>0.85</v>
      </c>
      <c r="M58" s="56">
        <v>1.71</v>
      </c>
      <c r="N58" s="56">
        <v>220.116</v>
      </c>
    </row>
    <row r="59">
      <c r="A59" s="60" t="s">
        <v>505</v>
      </c>
      <c r="B59" s="56" t="s">
        <v>260</v>
      </c>
      <c r="C59" s="56">
        <v>173.0096</v>
      </c>
      <c r="D59" s="56">
        <v>0.56</v>
      </c>
      <c r="E59" s="56" t="s">
        <v>217</v>
      </c>
      <c r="F59" s="56">
        <v>0.0078</v>
      </c>
      <c r="G59" s="56">
        <v>0.0515</v>
      </c>
      <c r="H59" s="56">
        <v>1.64</v>
      </c>
      <c r="I59" s="56">
        <v>0.83</v>
      </c>
      <c r="K59" s="56">
        <v>0.0078</v>
      </c>
      <c r="L59" s="56">
        <v>0.83</v>
      </c>
      <c r="M59" s="56">
        <v>0.56</v>
      </c>
      <c r="N59" s="56">
        <v>173.0096</v>
      </c>
    </row>
    <row r="60">
      <c r="A60" s="60" t="s">
        <v>506</v>
      </c>
      <c r="B60" s="56" t="s">
        <v>261</v>
      </c>
      <c r="C60" s="56">
        <v>243.0632</v>
      </c>
      <c r="D60" s="56">
        <v>1.04</v>
      </c>
      <c r="E60" s="56" t="s">
        <v>217</v>
      </c>
      <c r="F60" s="56">
        <v>0.03</v>
      </c>
      <c r="G60" s="56">
        <v>0.112</v>
      </c>
      <c r="H60" s="56">
        <v>1.23</v>
      </c>
      <c r="I60" s="56">
        <v>0.91</v>
      </c>
      <c r="K60" s="56">
        <v>0.03</v>
      </c>
      <c r="L60" s="56">
        <v>0.91</v>
      </c>
      <c r="M60" s="56">
        <v>1.04</v>
      </c>
      <c r="N60" s="56">
        <v>243.0632</v>
      </c>
    </row>
    <row r="61">
      <c r="A61" s="60" t="s">
        <v>507</v>
      </c>
      <c r="B61" s="56" t="s">
        <v>262</v>
      </c>
      <c r="C61" s="56">
        <v>583.2545</v>
      </c>
      <c r="D61" s="56">
        <v>10.49</v>
      </c>
      <c r="E61" s="56" t="s">
        <v>213</v>
      </c>
      <c r="F61" s="56">
        <v>3.0E-4</v>
      </c>
      <c r="G61" s="56">
        <v>0.0081</v>
      </c>
      <c r="H61" s="56">
        <v>1.99</v>
      </c>
      <c r="I61" s="56">
        <v>0.7</v>
      </c>
      <c r="K61" s="56">
        <v>3.0E-4</v>
      </c>
      <c r="L61" s="56">
        <v>0.7</v>
      </c>
      <c r="M61" s="56">
        <v>10.49</v>
      </c>
      <c r="N61" s="56">
        <v>583.2545</v>
      </c>
    </row>
    <row r="62">
      <c r="A62" s="60" t="s">
        <v>508</v>
      </c>
      <c r="B62" s="56" t="s">
        <v>263</v>
      </c>
      <c r="C62" s="56">
        <v>98.9834</v>
      </c>
      <c r="D62" s="56">
        <v>0.82</v>
      </c>
      <c r="E62" s="56" t="s">
        <v>213</v>
      </c>
      <c r="F62" s="56">
        <v>0.0012</v>
      </c>
      <c r="G62" s="56">
        <v>0.0164</v>
      </c>
      <c r="H62" s="56">
        <v>2.0</v>
      </c>
      <c r="I62" s="56">
        <v>1.1</v>
      </c>
      <c r="K62" s="56">
        <v>0.0012</v>
      </c>
      <c r="L62" s="56">
        <v>1.1</v>
      </c>
      <c r="M62" s="56">
        <v>0.82</v>
      </c>
      <c r="N62" s="56">
        <v>98.9834</v>
      </c>
    </row>
    <row r="63">
      <c r="A63" s="60" t="s">
        <v>509</v>
      </c>
      <c r="B63" s="56" t="s">
        <v>264</v>
      </c>
      <c r="C63" s="56">
        <v>179.0569</v>
      </c>
      <c r="D63" s="56">
        <v>0.74</v>
      </c>
      <c r="E63" s="56" t="s">
        <v>217</v>
      </c>
      <c r="F63" s="56">
        <v>0.0264</v>
      </c>
      <c r="G63" s="56">
        <v>0.1065</v>
      </c>
      <c r="H63" s="56">
        <v>1.16</v>
      </c>
      <c r="I63" s="56">
        <v>0.76</v>
      </c>
      <c r="K63" s="56">
        <v>0.0264</v>
      </c>
      <c r="L63" s="56">
        <v>0.76</v>
      </c>
      <c r="M63" s="56">
        <v>0.74</v>
      </c>
      <c r="N63" s="56">
        <v>179.0569</v>
      </c>
    </row>
    <row r="65">
      <c r="A65" s="96">
        <v>2.4058461E7</v>
      </c>
    </row>
    <row r="66">
      <c r="A66" s="63" t="s">
        <v>510</v>
      </c>
      <c r="B66" s="63" t="s">
        <v>511</v>
      </c>
      <c r="C66" s="63" t="s">
        <v>512</v>
      </c>
      <c r="D66" s="63" t="s">
        <v>513</v>
      </c>
      <c r="E66" s="63" t="s">
        <v>514</v>
      </c>
      <c r="F66" s="63" t="s">
        <v>515</v>
      </c>
      <c r="G66" s="63" t="s">
        <v>516</v>
      </c>
    </row>
    <row r="67">
      <c r="A67" s="61" t="s">
        <v>265</v>
      </c>
      <c r="B67" s="62"/>
      <c r="C67" s="62"/>
      <c r="D67" s="62"/>
      <c r="E67" s="62"/>
      <c r="F67" s="62"/>
      <c r="G67" s="62"/>
    </row>
    <row r="68">
      <c r="A68" s="63" t="s">
        <v>266</v>
      </c>
      <c r="B68" s="63" t="s">
        <v>517</v>
      </c>
      <c r="C68" s="63" t="s">
        <v>518</v>
      </c>
      <c r="D68" s="63" t="s">
        <v>519</v>
      </c>
      <c r="E68" s="63" t="s">
        <v>520</v>
      </c>
      <c r="F68" s="61">
        <v>6.0E-4</v>
      </c>
      <c r="G68" s="61">
        <v>0.035</v>
      </c>
    </row>
    <row r="69">
      <c r="A69" s="63" t="s">
        <v>267</v>
      </c>
      <c r="B69" s="63" t="s">
        <v>521</v>
      </c>
      <c r="C69" s="63" t="s">
        <v>522</v>
      </c>
      <c r="D69" s="63" t="s">
        <v>523</v>
      </c>
      <c r="E69" s="63" t="s">
        <v>524</v>
      </c>
      <c r="F69" s="63">
        <v>0.067</v>
      </c>
      <c r="G69" s="61">
        <v>0.016</v>
      </c>
    </row>
    <row r="70">
      <c r="A70" s="63" t="s">
        <v>268</v>
      </c>
      <c r="B70" s="63" t="s">
        <v>525</v>
      </c>
      <c r="C70" s="63" t="s">
        <v>526</v>
      </c>
      <c r="D70" s="63" t="s">
        <v>527</v>
      </c>
      <c r="E70" s="63" t="s">
        <v>528</v>
      </c>
      <c r="F70" s="61">
        <v>0.006</v>
      </c>
      <c r="G70" s="61">
        <v>0.037</v>
      </c>
    </row>
    <row r="71">
      <c r="A71" s="63" t="s">
        <v>269</v>
      </c>
      <c r="B71" s="63" t="s">
        <v>529</v>
      </c>
      <c r="C71" s="63" t="s">
        <v>530</v>
      </c>
      <c r="D71" s="63" t="s">
        <v>531</v>
      </c>
      <c r="E71" s="63" t="s">
        <v>532</v>
      </c>
      <c r="F71" s="61">
        <v>0.01</v>
      </c>
      <c r="G71" s="61">
        <v>0.037</v>
      </c>
    </row>
    <row r="72">
      <c r="A72" s="63" t="s">
        <v>270</v>
      </c>
      <c r="B72" s="63" t="s">
        <v>533</v>
      </c>
      <c r="C72" s="63" t="s">
        <v>534</v>
      </c>
      <c r="D72" s="63" t="s">
        <v>535</v>
      </c>
      <c r="E72" s="63" t="s">
        <v>536</v>
      </c>
      <c r="F72" s="63">
        <v>0.096</v>
      </c>
      <c r="G72" s="63">
        <v>0.621</v>
      </c>
    </row>
    <row r="73">
      <c r="A73" s="63" t="s">
        <v>271</v>
      </c>
      <c r="B73" s="63" t="s">
        <v>537</v>
      </c>
      <c r="C73" s="63" t="s">
        <v>538</v>
      </c>
      <c r="D73" s="63" t="s">
        <v>539</v>
      </c>
      <c r="E73" s="63" t="s">
        <v>540</v>
      </c>
      <c r="F73" s="63">
        <v>0.096</v>
      </c>
      <c r="G73" s="63">
        <v>0.51</v>
      </c>
    </row>
    <row r="74">
      <c r="A74" s="63" t="s">
        <v>272</v>
      </c>
      <c r="B74" s="63" t="s">
        <v>541</v>
      </c>
      <c r="C74" s="63" t="s">
        <v>542</v>
      </c>
      <c r="D74" s="63" t="s">
        <v>543</v>
      </c>
      <c r="E74" s="63" t="s">
        <v>544</v>
      </c>
      <c r="F74" s="63">
        <v>0.051</v>
      </c>
      <c r="G74" s="63">
        <v>0.442</v>
      </c>
    </row>
    <row r="75">
      <c r="A75" s="63" t="s">
        <v>273</v>
      </c>
      <c r="B75" s="63" t="s">
        <v>545</v>
      </c>
      <c r="C75" s="63" t="s">
        <v>546</v>
      </c>
      <c r="D75" s="63" t="s">
        <v>547</v>
      </c>
      <c r="E75" s="63" t="s">
        <v>548</v>
      </c>
      <c r="F75" s="61">
        <v>0.007</v>
      </c>
      <c r="G75" s="61">
        <v>0.048</v>
      </c>
    </row>
    <row r="76">
      <c r="A76" s="63" t="s">
        <v>274</v>
      </c>
      <c r="B76" s="63" t="s">
        <v>549</v>
      </c>
      <c r="C76" s="63" t="s">
        <v>550</v>
      </c>
      <c r="D76" s="63" t="s">
        <v>551</v>
      </c>
      <c r="E76" s="63" t="s">
        <v>552</v>
      </c>
      <c r="F76" s="61">
        <v>0.024</v>
      </c>
      <c r="G76" s="63">
        <v>0.38</v>
      </c>
    </row>
    <row r="77">
      <c r="A77" s="64" t="s">
        <v>553</v>
      </c>
      <c r="B77" s="97"/>
      <c r="C77" s="97"/>
      <c r="D77" s="97"/>
      <c r="E77" s="97"/>
      <c r="F77" s="62"/>
      <c r="G77" s="62"/>
    </row>
    <row r="78">
      <c r="A78" s="63" t="s">
        <v>266</v>
      </c>
      <c r="B78" s="63" t="s">
        <v>554</v>
      </c>
      <c r="C78" s="63" t="s">
        <v>555</v>
      </c>
      <c r="D78" s="63" t="s">
        <v>556</v>
      </c>
      <c r="E78" s="63" t="s">
        <v>557</v>
      </c>
      <c r="F78" s="61">
        <v>0.001</v>
      </c>
      <c r="G78" s="61">
        <v>0.046</v>
      </c>
    </row>
    <row r="79">
      <c r="A79" s="63" t="s">
        <v>267</v>
      </c>
      <c r="B79" s="63" t="s">
        <v>558</v>
      </c>
      <c r="C79" s="63" t="s">
        <v>559</v>
      </c>
      <c r="D79" s="63" t="s">
        <v>560</v>
      </c>
      <c r="E79" s="63" t="s">
        <v>561</v>
      </c>
      <c r="F79" s="61">
        <v>0.011</v>
      </c>
      <c r="G79" s="63">
        <v>0.242</v>
      </c>
    </row>
    <row r="80">
      <c r="A80" s="63" t="s">
        <v>268</v>
      </c>
      <c r="B80" s="63" t="s">
        <v>562</v>
      </c>
      <c r="C80" s="63" t="s">
        <v>563</v>
      </c>
      <c r="D80" s="63" t="s">
        <v>564</v>
      </c>
      <c r="E80" s="63" t="s">
        <v>565</v>
      </c>
      <c r="F80" s="61">
        <v>0.01</v>
      </c>
      <c r="G80" s="61">
        <v>0.039</v>
      </c>
    </row>
    <row r="81">
      <c r="A81" s="63" t="s">
        <v>269</v>
      </c>
      <c r="B81" s="63" t="s">
        <v>566</v>
      </c>
      <c r="C81" s="63" t="s">
        <v>567</v>
      </c>
      <c r="D81" s="63" t="s">
        <v>568</v>
      </c>
      <c r="E81" s="63" t="s">
        <v>569</v>
      </c>
      <c r="F81" s="61">
        <v>0.001</v>
      </c>
      <c r="G81" s="63">
        <v>0.148</v>
      </c>
    </row>
    <row r="82">
      <c r="A82" s="63" t="s">
        <v>270</v>
      </c>
      <c r="B82" s="63" t="s">
        <v>570</v>
      </c>
      <c r="C82" s="63" t="s">
        <v>571</v>
      </c>
      <c r="D82" s="63" t="s">
        <v>572</v>
      </c>
      <c r="E82" s="63" t="s">
        <v>573</v>
      </c>
      <c r="F82" s="61">
        <v>0.006</v>
      </c>
      <c r="G82" s="61">
        <v>0.04</v>
      </c>
    </row>
    <row r="83">
      <c r="A83" s="63" t="s">
        <v>271</v>
      </c>
      <c r="B83" s="63" t="s">
        <v>574</v>
      </c>
      <c r="C83" s="63" t="s">
        <v>575</v>
      </c>
      <c r="D83" s="63" t="s">
        <v>576</v>
      </c>
      <c r="E83" s="63" t="s">
        <v>577</v>
      </c>
      <c r="F83" s="63">
        <v>0.215</v>
      </c>
      <c r="G83" s="63">
        <v>0.84</v>
      </c>
    </row>
    <row r="84">
      <c r="A84" s="63" t="s">
        <v>276</v>
      </c>
      <c r="B84" s="63" t="s">
        <v>578</v>
      </c>
      <c r="C84" s="63" t="s">
        <v>579</v>
      </c>
      <c r="D84" s="63" t="s">
        <v>580</v>
      </c>
      <c r="E84" s="63" t="s">
        <v>581</v>
      </c>
      <c r="F84" s="61">
        <v>0.011</v>
      </c>
      <c r="G84" s="63">
        <v>0.089</v>
      </c>
    </row>
    <row r="85">
      <c r="A85" s="63" t="s">
        <v>272</v>
      </c>
      <c r="B85" s="63" t="s">
        <v>582</v>
      </c>
      <c r="C85" s="63" t="s">
        <v>583</v>
      </c>
      <c r="D85" s="63" t="s">
        <v>584</v>
      </c>
      <c r="E85" s="63" t="s">
        <v>585</v>
      </c>
      <c r="F85" s="63">
        <v>0.176</v>
      </c>
      <c r="G85" s="63">
        <v>0.37</v>
      </c>
    </row>
    <row r="86">
      <c r="A86" s="63" t="s">
        <v>273</v>
      </c>
      <c r="B86" s="63" t="s">
        <v>586</v>
      </c>
      <c r="C86" s="63" t="s">
        <v>587</v>
      </c>
      <c r="D86" s="63" t="s">
        <v>588</v>
      </c>
      <c r="E86" s="63" t="s">
        <v>589</v>
      </c>
      <c r="F86" s="63">
        <v>0.573</v>
      </c>
      <c r="G86" s="63">
        <v>0.272</v>
      </c>
    </row>
    <row r="87">
      <c r="A87" s="61" t="s">
        <v>277</v>
      </c>
      <c r="B87" s="97"/>
      <c r="C87" s="97"/>
      <c r="D87" s="62"/>
      <c r="E87" s="62"/>
      <c r="F87" s="62"/>
      <c r="G87" s="62"/>
    </row>
    <row r="88">
      <c r="A88" s="63" t="s">
        <v>266</v>
      </c>
      <c r="B88" s="63" t="s">
        <v>590</v>
      </c>
      <c r="C88" s="63" t="s">
        <v>591</v>
      </c>
      <c r="D88" s="63" t="s">
        <v>592</v>
      </c>
      <c r="E88" s="63" t="s">
        <v>593</v>
      </c>
      <c r="F88" s="61">
        <v>0.006</v>
      </c>
      <c r="G88" s="63">
        <v>0.164</v>
      </c>
    </row>
    <row r="89">
      <c r="A89" s="63" t="s">
        <v>267</v>
      </c>
      <c r="B89" s="63" t="s">
        <v>594</v>
      </c>
      <c r="C89" s="63" t="s">
        <v>595</v>
      </c>
      <c r="D89" s="63" t="s">
        <v>596</v>
      </c>
      <c r="E89" s="63" t="s">
        <v>597</v>
      </c>
      <c r="F89" s="61">
        <v>0.006</v>
      </c>
      <c r="G89" s="63">
        <v>0.142</v>
      </c>
    </row>
    <row r="90">
      <c r="A90" s="63" t="s">
        <v>269</v>
      </c>
      <c r="B90" s="63" t="s">
        <v>598</v>
      </c>
      <c r="C90" s="63" t="s">
        <v>599</v>
      </c>
      <c r="D90" s="63" t="s">
        <v>600</v>
      </c>
      <c r="E90" s="63" t="s">
        <v>601</v>
      </c>
      <c r="F90" s="61">
        <v>0.001</v>
      </c>
      <c r="G90" s="63">
        <v>0.22</v>
      </c>
    </row>
    <row r="91">
      <c r="A91" s="63" t="s">
        <v>270</v>
      </c>
      <c r="B91" s="63" t="s">
        <v>602</v>
      </c>
      <c r="C91" s="63" t="s">
        <v>603</v>
      </c>
      <c r="D91" s="63" t="s">
        <v>604</v>
      </c>
      <c r="E91" s="63" t="s">
        <v>605</v>
      </c>
      <c r="F91" s="61">
        <v>0.009</v>
      </c>
      <c r="G91" s="63">
        <v>0.621</v>
      </c>
    </row>
    <row r="92">
      <c r="A92" s="63" t="s">
        <v>273</v>
      </c>
      <c r="B92" s="63" t="s">
        <v>606</v>
      </c>
      <c r="C92" s="63" t="s">
        <v>607</v>
      </c>
      <c r="D92" s="63" t="s">
        <v>608</v>
      </c>
      <c r="E92" s="63" t="s">
        <v>609</v>
      </c>
      <c r="F92" s="61">
        <v>0.004</v>
      </c>
      <c r="G92" s="63">
        <v>0.342</v>
      </c>
    </row>
    <row r="93">
      <c r="A93" s="98" t="s">
        <v>610</v>
      </c>
    </row>
  </sheetData>
  <mergeCells count="2">
    <mergeCell ref="A77:E77"/>
    <mergeCell ref="A87:C87"/>
  </mergeCells>
  <hyperlinks>
    <hyperlink r:id="rId1" location="nt104" ref="A77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9.14"/>
    <col customWidth="1" min="3" max="3" width="18.14"/>
    <col customWidth="1" min="4" max="5" width="20.71"/>
    <col customWidth="1" min="6" max="7" width="8.71"/>
    <col customWidth="1" min="8" max="13" width="10.14"/>
    <col customWidth="1" min="14" max="14" width="16.86"/>
    <col customWidth="1" min="15" max="27" width="8.71"/>
  </cols>
  <sheetData>
    <row r="1">
      <c r="A1" s="99" t="s">
        <v>611</v>
      </c>
      <c r="B1" s="99" t="s">
        <v>612</v>
      </c>
      <c r="C1" s="99" t="s">
        <v>613</v>
      </c>
      <c r="D1" s="100" t="s">
        <v>614</v>
      </c>
      <c r="E1" s="99" t="s">
        <v>98</v>
      </c>
      <c r="F1" s="99" t="s">
        <v>615</v>
      </c>
      <c r="G1" s="99" t="s">
        <v>616</v>
      </c>
      <c r="H1" s="100" t="s">
        <v>617</v>
      </c>
      <c r="I1" s="100" t="s">
        <v>618</v>
      </c>
      <c r="J1" s="100" t="s">
        <v>619</v>
      </c>
      <c r="K1" s="100" t="s">
        <v>8</v>
      </c>
      <c r="L1" s="100" t="s">
        <v>620</v>
      </c>
      <c r="M1" s="99" t="s">
        <v>621</v>
      </c>
      <c r="N1" s="99" t="s">
        <v>101</v>
      </c>
      <c r="O1" s="99" t="s">
        <v>622</v>
      </c>
      <c r="P1" s="99" t="s">
        <v>623</v>
      </c>
      <c r="Q1" s="99"/>
      <c r="R1" s="99"/>
      <c r="S1" s="99"/>
      <c r="T1" s="99"/>
      <c r="U1" s="99"/>
      <c r="V1" s="99"/>
      <c r="W1" s="99"/>
      <c r="X1" s="99"/>
      <c r="Y1" s="99" t="s">
        <v>14</v>
      </c>
      <c r="Z1" s="99" t="s">
        <v>281</v>
      </c>
      <c r="AA1" s="101" t="s">
        <v>624</v>
      </c>
    </row>
    <row r="2">
      <c r="A2" s="1" t="s">
        <v>35</v>
      </c>
      <c r="B2" s="4" t="s">
        <v>26</v>
      </c>
      <c r="C2" s="102" t="s">
        <v>625</v>
      </c>
      <c r="D2" s="2" t="s">
        <v>626</v>
      </c>
      <c r="E2" s="1" t="s">
        <v>627</v>
      </c>
      <c r="F2" s="1">
        <v>208.1134</v>
      </c>
      <c r="G2" s="1">
        <v>458.0</v>
      </c>
      <c r="H2" s="2">
        <v>5.0</v>
      </c>
      <c r="I2" s="103">
        <v>2563438.0</v>
      </c>
      <c r="J2" s="103">
        <v>2753506.0</v>
      </c>
      <c r="K2" s="2">
        <v>18.0</v>
      </c>
      <c r="L2" s="103">
        <v>1193898.0</v>
      </c>
      <c r="M2" s="103">
        <v>1399526.0</v>
      </c>
      <c r="Y2" s="1" t="s">
        <v>23</v>
      </c>
      <c r="AA2" s="2" t="s">
        <v>628</v>
      </c>
    </row>
    <row r="3">
      <c r="A3" s="1" t="s">
        <v>35</v>
      </c>
      <c r="B3" s="4" t="s">
        <v>26</v>
      </c>
      <c r="C3" s="102" t="s">
        <v>625</v>
      </c>
      <c r="D3" s="2" t="s">
        <v>626</v>
      </c>
      <c r="E3" s="2" t="s">
        <v>629</v>
      </c>
      <c r="F3" s="1">
        <v>179.0561</v>
      </c>
      <c r="G3" s="1">
        <v>146.0</v>
      </c>
      <c r="H3" s="2">
        <v>5.0</v>
      </c>
      <c r="I3" s="103">
        <v>1082150.0</v>
      </c>
      <c r="J3" s="103">
        <v>777500.1</v>
      </c>
      <c r="K3" s="2">
        <v>18.0</v>
      </c>
      <c r="L3" s="103">
        <v>3056818.0</v>
      </c>
      <c r="M3" s="103">
        <v>2933737.0</v>
      </c>
      <c r="N3" s="1" t="s">
        <v>630</v>
      </c>
      <c r="Y3" s="1" t="s">
        <v>23</v>
      </c>
    </row>
    <row r="4">
      <c r="A4" s="1" t="s">
        <v>35</v>
      </c>
      <c r="B4" s="4" t="s">
        <v>26</v>
      </c>
      <c r="C4" s="102" t="s">
        <v>625</v>
      </c>
      <c r="D4" s="2" t="s">
        <v>626</v>
      </c>
      <c r="E4" s="1" t="s">
        <v>631</v>
      </c>
      <c r="F4" s="1">
        <v>255.2329</v>
      </c>
      <c r="G4" s="1">
        <v>86.0</v>
      </c>
      <c r="H4" s="2">
        <v>5.0</v>
      </c>
      <c r="I4" s="103">
        <v>919535.8</v>
      </c>
      <c r="J4" s="103">
        <v>206838.5</v>
      </c>
      <c r="K4" s="2">
        <v>18.0</v>
      </c>
      <c r="L4" s="103">
        <v>2732022.0</v>
      </c>
      <c r="M4" s="103">
        <v>3241802.0</v>
      </c>
      <c r="N4" s="1" t="s">
        <v>632</v>
      </c>
      <c r="O4" s="1" t="s">
        <v>633</v>
      </c>
      <c r="P4" s="1" t="s">
        <v>634</v>
      </c>
      <c r="Y4" s="1" t="s">
        <v>23</v>
      </c>
    </row>
    <row r="5">
      <c r="A5" s="1" t="s">
        <v>35</v>
      </c>
      <c r="B5" s="4" t="s">
        <v>26</v>
      </c>
      <c r="C5" s="102" t="s">
        <v>635</v>
      </c>
      <c r="D5" s="2" t="s">
        <v>626</v>
      </c>
      <c r="E5" s="1" t="s">
        <v>627</v>
      </c>
      <c r="F5" s="1">
        <v>208.1134</v>
      </c>
      <c r="G5" s="1">
        <v>146.0</v>
      </c>
      <c r="H5" s="2">
        <v>5.0</v>
      </c>
      <c r="I5" s="103">
        <v>2563438.0</v>
      </c>
      <c r="J5" s="103">
        <v>2753506.0</v>
      </c>
      <c r="K5" s="2">
        <v>18.0</v>
      </c>
      <c r="L5" s="103">
        <v>4207681.0</v>
      </c>
      <c r="M5" s="103">
        <v>3540419.0</v>
      </c>
      <c r="Y5" s="1" t="s">
        <v>23</v>
      </c>
    </row>
    <row r="6">
      <c r="A6" s="1" t="s">
        <v>35</v>
      </c>
      <c r="B6" s="4" t="s">
        <v>26</v>
      </c>
      <c r="C6" s="102" t="s">
        <v>635</v>
      </c>
      <c r="D6" s="2" t="s">
        <v>626</v>
      </c>
      <c r="E6" s="1" t="s">
        <v>629</v>
      </c>
      <c r="F6" s="1">
        <v>179.0561</v>
      </c>
      <c r="G6" s="1">
        <v>29.0</v>
      </c>
      <c r="H6" s="2">
        <v>5.0</v>
      </c>
      <c r="I6" s="103">
        <v>1082150.0</v>
      </c>
      <c r="J6" s="103">
        <v>777500.1</v>
      </c>
      <c r="K6" s="2">
        <v>18.0</v>
      </c>
      <c r="L6" s="103">
        <v>6.1771169E7</v>
      </c>
      <c r="M6" s="103">
        <v>6.4810338E7</v>
      </c>
      <c r="N6" s="1" t="s">
        <v>630</v>
      </c>
      <c r="Y6" s="1" t="s">
        <v>23</v>
      </c>
    </row>
    <row r="7">
      <c r="A7" s="1" t="s">
        <v>35</v>
      </c>
      <c r="B7" s="4" t="s">
        <v>26</v>
      </c>
      <c r="C7" s="102" t="s">
        <v>635</v>
      </c>
      <c r="D7" s="2" t="s">
        <v>626</v>
      </c>
      <c r="E7" s="1" t="s">
        <v>631</v>
      </c>
      <c r="F7" s="1">
        <v>255.2329</v>
      </c>
      <c r="G7" s="1">
        <v>530.0</v>
      </c>
      <c r="H7" s="2">
        <v>5.0</v>
      </c>
      <c r="I7" s="103">
        <v>919535.8</v>
      </c>
      <c r="J7" s="103">
        <v>206838.5</v>
      </c>
      <c r="K7" s="2">
        <v>18.0</v>
      </c>
      <c r="L7" s="103">
        <v>1697858.0</v>
      </c>
      <c r="M7" s="103">
        <v>2347335.0</v>
      </c>
      <c r="N7" s="1" t="s">
        <v>632</v>
      </c>
      <c r="O7" s="1" t="s">
        <v>633</v>
      </c>
      <c r="P7" s="1" t="s">
        <v>634</v>
      </c>
      <c r="Y7" s="1" t="s">
        <v>23</v>
      </c>
    </row>
    <row r="8">
      <c r="A8" s="1" t="s">
        <v>35</v>
      </c>
      <c r="B8" s="4" t="s">
        <v>26</v>
      </c>
      <c r="C8" s="102" t="s">
        <v>625</v>
      </c>
      <c r="D8" s="2" t="s">
        <v>636</v>
      </c>
      <c r="E8" s="1" t="s">
        <v>627</v>
      </c>
      <c r="F8" s="1">
        <v>210.1291</v>
      </c>
      <c r="G8" s="1">
        <v>458.0</v>
      </c>
      <c r="H8" s="2">
        <v>5.0</v>
      </c>
      <c r="I8" s="103">
        <v>8.77959208E7</v>
      </c>
      <c r="J8" s="103">
        <v>9.07042628E7</v>
      </c>
      <c r="K8" s="2">
        <v>18.0</v>
      </c>
      <c r="L8" s="103">
        <v>4.405409505E7</v>
      </c>
      <c r="M8" s="103">
        <v>3.97617682E7</v>
      </c>
      <c r="Y8" s="1" t="s">
        <v>23</v>
      </c>
    </row>
    <row r="9">
      <c r="A9" s="1" t="s">
        <v>35</v>
      </c>
      <c r="B9" s="4" t="s">
        <v>26</v>
      </c>
      <c r="C9" s="102" t="s">
        <v>625</v>
      </c>
      <c r="D9" s="2" t="s">
        <v>636</v>
      </c>
      <c r="E9" s="1" t="s">
        <v>637</v>
      </c>
      <c r="F9" s="1">
        <v>114.0662</v>
      </c>
      <c r="G9" s="1">
        <v>366.0</v>
      </c>
      <c r="H9" s="2">
        <v>5.0</v>
      </c>
      <c r="I9" s="103">
        <v>5.58446944E9</v>
      </c>
      <c r="J9" s="103">
        <v>5.570537061E9</v>
      </c>
      <c r="K9" s="2">
        <v>18.0</v>
      </c>
      <c r="L9" s="103">
        <v>2.837249155E9</v>
      </c>
      <c r="M9" s="103">
        <v>3.011162248E9</v>
      </c>
      <c r="N9" s="1" t="s">
        <v>638</v>
      </c>
      <c r="O9" s="1" t="s">
        <v>639</v>
      </c>
      <c r="Y9" s="1" t="s">
        <v>23</v>
      </c>
    </row>
    <row r="10">
      <c r="A10" s="1" t="s">
        <v>35</v>
      </c>
      <c r="B10" s="4" t="s">
        <v>26</v>
      </c>
      <c r="C10" s="102" t="s">
        <v>625</v>
      </c>
      <c r="D10" s="104" t="s">
        <v>636</v>
      </c>
      <c r="E10" s="4" t="s">
        <v>640</v>
      </c>
      <c r="F10" s="1">
        <v>734.5694</v>
      </c>
      <c r="G10" s="1">
        <v>346.0</v>
      </c>
      <c r="H10" s="2">
        <v>5.0</v>
      </c>
      <c r="I10" s="103">
        <v>255442.166</v>
      </c>
      <c r="J10" s="103">
        <v>211052.835</v>
      </c>
      <c r="K10" s="2">
        <v>18.0</v>
      </c>
      <c r="L10" s="103">
        <v>2.194525102E7</v>
      </c>
      <c r="M10" s="103">
        <v>2.51019915E7</v>
      </c>
      <c r="N10" s="1" t="s">
        <v>641</v>
      </c>
      <c r="O10" s="1" t="s">
        <v>642</v>
      </c>
      <c r="Y10" s="1" t="s">
        <v>23</v>
      </c>
    </row>
    <row r="11">
      <c r="A11" s="1" t="s">
        <v>35</v>
      </c>
      <c r="B11" s="4" t="s">
        <v>26</v>
      </c>
      <c r="C11" s="102" t="s">
        <v>635</v>
      </c>
      <c r="D11" s="2" t="s">
        <v>636</v>
      </c>
      <c r="E11" s="1" t="s">
        <v>627</v>
      </c>
      <c r="F11" s="1">
        <v>210.1291</v>
      </c>
      <c r="G11" s="1">
        <v>146.0</v>
      </c>
      <c r="H11" s="2">
        <v>5.0</v>
      </c>
      <c r="I11" s="103">
        <v>1.259423449E8</v>
      </c>
      <c r="J11" s="103">
        <v>1.254655057E8</v>
      </c>
      <c r="K11" s="2">
        <v>18.0</v>
      </c>
      <c r="L11" s="103">
        <v>1.882712382E9</v>
      </c>
      <c r="M11" s="103">
        <v>2.62686232E7</v>
      </c>
      <c r="Y11" s="1" t="s">
        <v>23</v>
      </c>
    </row>
    <row r="12">
      <c r="A12" s="1" t="s">
        <v>35</v>
      </c>
      <c r="B12" s="4" t="s">
        <v>26</v>
      </c>
      <c r="C12" s="102" t="s">
        <v>635</v>
      </c>
      <c r="D12" s="2" t="s">
        <v>636</v>
      </c>
      <c r="E12" s="1" t="s">
        <v>637</v>
      </c>
      <c r="F12" s="1">
        <v>114.0662</v>
      </c>
      <c r="G12" s="1">
        <v>36.0</v>
      </c>
      <c r="H12" s="2">
        <v>5.0</v>
      </c>
      <c r="I12" s="103">
        <v>2.919023763E8</v>
      </c>
      <c r="J12" s="103">
        <v>2.920884977E8</v>
      </c>
      <c r="K12" s="2">
        <v>18.0</v>
      </c>
      <c r="L12" s="103">
        <v>5.39378984E8</v>
      </c>
      <c r="M12" s="103">
        <v>5.54487694E8</v>
      </c>
      <c r="N12" s="1" t="s">
        <v>638</v>
      </c>
      <c r="O12" s="1" t="s">
        <v>639</v>
      </c>
      <c r="Y12" s="1" t="s">
        <v>23</v>
      </c>
    </row>
    <row r="13">
      <c r="A13" s="1" t="s">
        <v>35</v>
      </c>
      <c r="B13" s="4" t="s">
        <v>26</v>
      </c>
      <c r="C13" s="102" t="s">
        <v>635</v>
      </c>
      <c r="D13" s="104" t="s">
        <v>636</v>
      </c>
      <c r="E13" s="4" t="s">
        <v>640</v>
      </c>
      <c r="F13" s="1">
        <v>734.5694</v>
      </c>
      <c r="G13" s="1">
        <v>616.0</v>
      </c>
      <c r="H13" s="2">
        <v>5.0</v>
      </c>
      <c r="I13" s="103">
        <v>317972.6829</v>
      </c>
      <c r="J13" s="103">
        <v>320255.9424</v>
      </c>
      <c r="K13" s="2">
        <v>18.0</v>
      </c>
      <c r="L13" s="103">
        <v>2.22065869E7</v>
      </c>
      <c r="M13" s="103">
        <v>2.61437597E7</v>
      </c>
      <c r="N13" s="1" t="s">
        <v>641</v>
      </c>
      <c r="O13" s="1" t="s">
        <v>642</v>
      </c>
      <c r="Y13" s="1" t="s">
        <v>23</v>
      </c>
    </row>
    <row r="14">
      <c r="A14" s="1" t="s">
        <v>35</v>
      </c>
      <c r="B14" s="4" t="s">
        <v>20</v>
      </c>
      <c r="C14" s="102" t="s">
        <v>643</v>
      </c>
      <c r="D14" s="2" t="s">
        <v>636</v>
      </c>
      <c r="E14" s="1" t="s">
        <v>644</v>
      </c>
      <c r="L14" s="1">
        <v>302275.399844</v>
      </c>
      <c r="M14" s="1">
        <v>143253.0</v>
      </c>
      <c r="Y14" s="1" t="s">
        <v>23</v>
      </c>
    </row>
    <row r="15">
      <c r="E15" s="1" t="s">
        <v>645</v>
      </c>
      <c r="L15" s="1">
        <v>406811.2276272727</v>
      </c>
      <c r="M15" s="1">
        <v>192112.0</v>
      </c>
      <c r="Y15" s="1" t="s">
        <v>23</v>
      </c>
    </row>
    <row r="16">
      <c r="E16" s="1" t="s">
        <v>646</v>
      </c>
      <c r="L16" s="1">
        <v>1.3810405508333333E7</v>
      </c>
      <c r="M16" s="1">
        <v>9215567.0</v>
      </c>
      <c r="Y16" s="1" t="s">
        <v>23</v>
      </c>
    </row>
    <row r="17">
      <c r="E17" s="1" t="s">
        <v>647</v>
      </c>
      <c r="L17" s="1">
        <v>649533.801564</v>
      </c>
      <c r="M17" s="1">
        <v>195978.0</v>
      </c>
      <c r="Y17" s="1" t="s">
        <v>23</v>
      </c>
    </row>
    <row r="18">
      <c r="E18" s="1" t="s">
        <v>648</v>
      </c>
      <c r="L18" s="1">
        <v>744593.6705666665</v>
      </c>
      <c r="M18" s="1">
        <v>199804.00780000002</v>
      </c>
      <c r="Y18" s="1" t="s">
        <v>23</v>
      </c>
    </row>
    <row r="19">
      <c r="E19" s="1" t="s">
        <v>649</v>
      </c>
      <c r="L19" s="1">
        <v>1007887.638908</v>
      </c>
      <c r="M19" s="1">
        <v>283269.0</v>
      </c>
      <c r="N19" s="1" t="s">
        <v>650</v>
      </c>
      <c r="O19" s="1" t="s">
        <v>651</v>
      </c>
      <c r="P19" s="1" t="s">
        <v>652</v>
      </c>
      <c r="Y19" s="1" t="s">
        <v>23</v>
      </c>
    </row>
    <row r="20" ht="15.75" customHeight="1">
      <c r="E20" s="1" t="s">
        <v>653</v>
      </c>
      <c r="L20" s="1">
        <v>1109858.5193652173</v>
      </c>
      <c r="M20" s="1">
        <v>322594.0</v>
      </c>
      <c r="Y20" s="1" t="s">
        <v>23</v>
      </c>
      <c r="Z20" s="1" t="s">
        <v>654</v>
      </c>
    </row>
    <row r="21" ht="15.75" customHeight="1">
      <c r="E21" s="1" t="s">
        <v>655</v>
      </c>
      <c r="L21" s="1">
        <v>834748.9230769231</v>
      </c>
      <c r="M21" s="1">
        <v>223904.0</v>
      </c>
      <c r="N21" s="1" t="s">
        <v>656</v>
      </c>
      <c r="O21" s="1" t="s">
        <v>657</v>
      </c>
      <c r="P21" s="1" t="s">
        <v>658</v>
      </c>
      <c r="Y21" s="1" t="s">
        <v>23</v>
      </c>
      <c r="Z21" s="1" t="s">
        <v>659</v>
      </c>
    </row>
    <row r="22" ht="15.75" customHeight="1">
      <c r="E22" s="1" t="s">
        <v>660</v>
      </c>
      <c r="L22" s="1">
        <v>2490087.8003264703</v>
      </c>
      <c r="M22" s="1">
        <v>404063.01564999996</v>
      </c>
      <c r="N22" s="1" t="s">
        <v>661</v>
      </c>
      <c r="O22" s="1" t="s">
        <v>662</v>
      </c>
      <c r="P22" s="1" t="s">
        <v>663</v>
      </c>
      <c r="Y22" s="1" t="s">
        <v>23</v>
      </c>
    </row>
    <row r="23" ht="15.75" customHeight="1">
      <c r="E23" s="1" t="s">
        <v>664</v>
      </c>
      <c r="L23" s="1">
        <v>987265.69395</v>
      </c>
      <c r="M23" s="1">
        <v>192977.5</v>
      </c>
      <c r="Y23" s="1" t="s">
        <v>23</v>
      </c>
    </row>
    <row r="24" ht="15.75" customHeight="1">
      <c r="E24" s="1" t="s">
        <v>665</v>
      </c>
      <c r="L24" s="1">
        <v>7629467.0052</v>
      </c>
      <c r="M24" s="1">
        <v>562409.0</v>
      </c>
      <c r="Y24" s="1" t="s">
        <v>23</v>
      </c>
    </row>
    <row r="25" ht="15.75" customHeight="1">
      <c r="E25" s="1" t="s">
        <v>666</v>
      </c>
      <c r="L25" s="1">
        <v>1130385.7907105265</v>
      </c>
      <c r="M25" s="1">
        <v>494036.0</v>
      </c>
      <c r="Y25" s="1" t="s">
        <v>23</v>
      </c>
    </row>
    <row r="26" ht="15.75" customHeight="1">
      <c r="E26" s="1" t="s">
        <v>667</v>
      </c>
      <c r="L26" s="1">
        <v>803935.7273466666</v>
      </c>
      <c r="M26" s="1">
        <v>535259.0</v>
      </c>
      <c r="Y26" s="1" t="s">
        <v>23</v>
      </c>
    </row>
    <row r="27" ht="15.75" customHeight="1">
      <c r="E27" s="1" t="s">
        <v>668</v>
      </c>
      <c r="L27" s="1">
        <v>1423541.8184764707</v>
      </c>
      <c r="M27" s="1">
        <v>653657.0</v>
      </c>
      <c r="Y27" s="1" t="s">
        <v>23</v>
      </c>
      <c r="Z27" s="1" t="s">
        <v>669</v>
      </c>
    </row>
    <row r="28" ht="15.75" customHeight="1">
      <c r="E28" s="1" t="s">
        <v>670</v>
      </c>
      <c r="L28" s="1">
        <v>1289094.484139394</v>
      </c>
      <c r="M28" s="1">
        <v>373079.0</v>
      </c>
      <c r="Y28" s="1" t="s">
        <v>23</v>
      </c>
      <c r="Z28" s="1" t="s">
        <v>671</v>
      </c>
    </row>
    <row r="29" ht="15.75" customHeight="1">
      <c r="E29" s="1" t="s">
        <v>672</v>
      </c>
      <c r="L29" s="1">
        <v>5.4916521291666664E7</v>
      </c>
      <c r="M29" s="1">
        <v>2.0848769E7</v>
      </c>
      <c r="Y29" s="1" t="s">
        <v>23</v>
      </c>
      <c r="Z29" s="1" t="s">
        <v>673</v>
      </c>
    </row>
    <row r="30" ht="15.75" customHeight="1">
      <c r="E30" s="1" t="s">
        <v>674</v>
      </c>
      <c r="L30" s="1">
        <v>130053.24791071432</v>
      </c>
      <c r="M30" s="1">
        <v>104700.5</v>
      </c>
      <c r="N30" s="1" t="s">
        <v>675</v>
      </c>
      <c r="O30" s="1" t="s">
        <v>676</v>
      </c>
      <c r="P30" s="1" t="s">
        <v>677</v>
      </c>
      <c r="Y30" s="1" t="s">
        <v>23</v>
      </c>
    </row>
    <row r="31" ht="15.75" customHeight="1">
      <c r="E31" s="1" t="s">
        <v>678</v>
      </c>
      <c r="L31" s="1">
        <v>2.8572068617777777E9</v>
      </c>
      <c r="M31" s="1">
        <v>1.325616832E9</v>
      </c>
      <c r="N31" s="1" t="s">
        <v>679</v>
      </c>
      <c r="O31" s="1" t="s">
        <v>680</v>
      </c>
      <c r="P31" s="1" t="s">
        <v>681</v>
      </c>
      <c r="Y31" s="1" t="s">
        <v>23</v>
      </c>
      <c r="Z31" s="1" t="s">
        <v>682</v>
      </c>
    </row>
    <row r="32" ht="15.75" customHeight="1">
      <c r="E32" s="1" t="s">
        <v>683</v>
      </c>
      <c r="L32" s="1">
        <v>1.9654504357638888E7</v>
      </c>
      <c r="M32" s="1">
        <v>2363584.0</v>
      </c>
      <c r="Y32" s="1" t="s">
        <v>23</v>
      </c>
      <c r="Z32" s="1" t="s">
        <v>684</v>
      </c>
    </row>
    <row r="33" ht="15.75" customHeight="1">
      <c r="E33" s="1" t="s">
        <v>685</v>
      </c>
      <c r="L33" s="1">
        <v>1054403.9995666668</v>
      </c>
      <c r="M33" s="1">
        <v>236203.5</v>
      </c>
      <c r="Y33" s="1" t="s">
        <v>23</v>
      </c>
    </row>
    <row r="34" ht="15.75" customHeight="1">
      <c r="E34" s="1" t="s">
        <v>686</v>
      </c>
      <c r="L34" s="1">
        <v>1.2925283555555556E7</v>
      </c>
      <c r="M34" s="1">
        <v>8468281.0</v>
      </c>
      <c r="N34" s="1" t="s">
        <v>687</v>
      </c>
      <c r="O34" s="1" t="s">
        <v>688</v>
      </c>
      <c r="P34" s="1" t="s">
        <v>689</v>
      </c>
      <c r="Y34" s="1" t="s">
        <v>23</v>
      </c>
      <c r="Z34" s="1" t="s">
        <v>690</v>
      </c>
    </row>
    <row r="35" ht="15.75" customHeight="1">
      <c r="E35" s="1" t="s">
        <v>691</v>
      </c>
      <c r="L35" s="1">
        <v>2.7630242314731427E7</v>
      </c>
      <c r="M35" s="1">
        <v>1175105.0</v>
      </c>
      <c r="N35" s="1" t="s">
        <v>692</v>
      </c>
      <c r="O35" s="1" t="s">
        <v>693</v>
      </c>
      <c r="P35" s="1" t="s">
        <v>694</v>
      </c>
      <c r="Y35" s="1" t="s">
        <v>23</v>
      </c>
      <c r="Z35" s="1" t="s">
        <v>695</v>
      </c>
    </row>
    <row r="36" ht="15.75" customHeight="1">
      <c r="E36" s="1" t="s">
        <v>696</v>
      </c>
      <c r="L36" s="1">
        <v>6959731.382352941</v>
      </c>
      <c r="M36" s="1">
        <v>6526255.0</v>
      </c>
      <c r="Y36" s="1" t="s">
        <v>23</v>
      </c>
    </row>
    <row r="37" ht="15.75" customHeight="1">
      <c r="E37" s="1" t="s">
        <v>697</v>
      </c>
      <c r="L37" s="1">
        <v>5.385993869444445E7</v>
      </c>
      <c r="M37" s="1">
        <v>4.9967766E7</v>
      </c>
      <c r="Y37" s="1" t="s">
        <v>23</v>
      </c>
    </row>
    <row r="38" ht="15.75" customHeight="1">
      <c r="E38" s="1" t="s">
        <v>698</v>
      </c>
      <c r="L38" s="1">
        <v>1.5139112355555555E8</v>
      </c>
      <c r="M38" s="1">
        <v>8.0752872E7</v>
      </c>
      <c r="Y38" s="1" t="s">
        <v>23</v>
      </c>
    </row>
    <row r="39" ht="15.75" customHeight="1">
      <c r="E39" s="1" t="s">
        <v>699</v>
      </c>
      <c r="L39" s="1">
        <v>3.534150117361111E7</v>
      </c>
      <c r="M39" s="1">
        <v>1.03122345E7</v>
      </c>
      <c r="Y39" s="1" t="s">
        <v>23</v>
      </c>
    </row>
    <row r="40" ht="15.75" customHeight="1">
      <c r="E40" s="1" t="s">
        <v>700</v>
      </c>
      <c r="L40" s="1">
        <v>3706212.0807305556</v>
      </c>
      <c r="M40" s="1">
        <v>783892.0</v>
      </c>
      <c r="Y40" s="1" t="s">
        <v>23</v>
      </c>
      <c r="Z40" s="1" t="s">
        <v>701</v>
      </c>
    </row>
    <row r="41" ht="15.75" customHeight="1">
      <c r="E41" s="1" t="s">
        <v>702</v>
      </c>
      <c r="L41" s="1">
        <v>774524.1258666667</v>
      </c>
      <c r="M41" s="1">
        <v>301696.0</v>
      </c>
      <c r="Y41" s="1" t="s">
        <v>23</v>
      </c>
      <c r="Z41" s="1" t="s">
        <v>703</v>
      </c>
    </row>
    <row r="42" ht="15.75" customHeight="1">
      <c r="E42" s="1" t="s">
        <v>704</v>
      </c>
      <c r="L42" s="1">
        <v>1188563.0</v>
      </c>
      <c r="M42" s="1">
        <v>368074.48439999996</v>
      </c>
      <c r="Y42" s="1" t="s">
        <v>23</v>
      </c>
      <c r="Z42" s="1" t="s">
        <v>705</v>
      </c>
    </row>
    <row r="43" ht="15.75" customHeight="1">
      <c r="E43" s="1" t="s">
        <v>706</v>
      </c>
      <c r="L43" s="1">
        <v>742098.2725454546</v>
      </c>
      <c r="M43" s="1">
        <v>112860.0</v>
      </c>
      <c r="Y43" s="1" t="s">
        <v>23</v>
      </c>
    </row>
    <row r="44" ht="15.75" customHeight="1">
      <c r="E44" s="1" t="s">
        <v>707</v>
      </c>
      <c r="L44" s="1">
        <v>567641.6429285714</v>
      </c>
      <c r="M44" s="1">
        <v>58868.0</v>
      </c>
      <c r="Y44" s="1" t="s">
        <v>23</v>
      </c>
    </row>
    <row r="45" ht="15.75" customHeight="1">
      <c r="E45" s="1" t="s">
        <v>708</v>
      </c>
      <c r="L45" s="1">
        <v>586973.1482925926</v>
      </c>
      <c r="M45" s="1">
        <v>60639.0</v>
      </c>
      <c r="Y45" s="1" t="s">
        <v>23</v>
      </c>
    </row>
    <row r="46" ht="15.75" customHeight="1">
      <c r="E46" s="1" t="s">
        <v>709</v>
      </c>
      <c r="L46" s="1">
        <v>1001699.5</v>
      </c>
      <c r="M46" s="1">
        <v>105571.5</v>
      </c>
      <c r="Y46" s="1" t="s">
        <v>23</v>
      </c>
    </row>
    <row r="47" ht="15.75" customHeight="1">
      <c r="E47" s="1" t="s">
        <v>710</v>
      </c>
      <c r="L47" s="1">
        <v>1471972.2701473683</v>
      </c>
      <c r="M47" s="1">
        <v>87001.0078</v>
      </c>
      <c r="Y47" s="1" t="s">
        <v>23</v>
      </c>
    </row>
    <row r="48" ht="15.75" customHeight="1">
      <c r="E48" s="1" t="s">
        <v>711</v>
      </c>
      <c r="L48" s="1">
        <v>1011385.4711538461</v>
      </c>
      <c r="M48" s="1">
        <v>665475.0</v>
      </c>
      <c r="Y48" s="1" t="s">
        <v>23</v>
      </c>
    </row>
    <row r="49" ht="15.75" customHeight="1">
      <c r="E49" s="1" t="s">
        <v>712</v>
      </c>
      <c r="L49" s="1">
        <v>683513.7947933334</v>
      </c>
      <c r="M49" s="1">
        <v>248881.0</v>
      </c>
      <c r="Y49" s="1" t="s">
        <v>23</v>
      </c>
    </row>
    <row r="50" ht="15.75" customHeight="1">
      <c r="E50" s="1" t="s">
        <v>713</v>
      </c>
      <c r="L50" s="1">
        <v>430405.3333333333</v>
      </c>
      <c r="M50" s="1">
        <v>198383.5</v>
      </c>
      <c r="Y50" s="1" t="s">
        <v>23</v>
      </c>
      <c r="Z50" s="1" t="s">
        <v>714</v>
      </c>
    </row>
    <row r="51" ht="15.75" customHeight="1">
      <c r="E51" s="1" t="s">
        <v>715</v>
      </c>
      <c r="L51" s="1" t="e">
        <v>#DIV/0!</v>
      </c>
      <c r="M51" s="1" t="e">
        <v>#NUM!</v>
      </c>
      <c r="N51" s="1" t="s">
        <v>716</v>
      </c>
      <c r="O51" s="1" t="s">
        <v>717</v>
      </c>
      <c r="P51" s="1" t="s">
        <v>718</v>
      </c>
      <c r="Y51" s="1" t="s">
        <v>23</v>
      </c>
    </row>
    <row r="52" ht="15.75" customHeight="1">
      <c r="E52" s="1" t="s">
        <v>719</v>
      </c>
      <c r="L52" s="1">
        <v>2374099.943866667</v>
      </c>
      <c r="M52" s="1">
        <v>946974.0625</v>
      </c>
      <c r="Y52" s="1" t="s">
        <v>23</v>
      </c>
      <c r="Z52" s="1" t="s">
        <v>720</v>
      </c>
    </row>
    <row r="53" ht="15.75" customHeight="1">
      <c r="E53" s="1" t="s">
        <v>721</v>
      </c>
      <c r="L53" s="1">
        <v>715422.2142857143</v>
      </c>
      <c r="M53" s="1">
        <v>371149.5</v>
      </c>
      <c r="N53" s="1" t="s">
        <v>722</v>
      </c>
      <c r="O53" s="1" t="s">
        <v>723</v>
      </c>
      <c r="P53" s="1" t="s">
        <v>724</v>
      </c>
      <c r="Y53" s="1" t="s">
        <v>23</v>
      </c>
      <c r="Z53" s="1" t="s">
        <v>725</v>
      </c>
    </row>
    <row r="54" ht="15.75" customHeight="1">
      <c r="E54" s="1" t="s">
        <v>726</v>
      </c>
      <c r="L54" s="1">
        <v>3.268073375E7</v>
      </c>
      <c r="M54" s="1">
        <v>1.00187075E7</v>
      </c>
      <c r="Y54" s="1" t="s">
        <v>23</v>
      </c>
    </row>
    <row r="55" ht="15.75" customHeight="1">
      <c r="E55" s="1" t="s">
        <v>727</v>
      </c>
      <c r="L55" s="1">
        <v>1407592.65625</v>
      </c>
      <c r="M55" s="1">
        <v>530431.5</v>
      </c>
      <c r="N55" s="1" t="s">
        <v>728</v>
      </c>
      <c r="O55" s="1" t="s">
        <v>729</v>
      </c>
      <c r="P55" s="1" t="s">
        <v>730</v>
      </c>
      <c r="Y55" s="1" t="s">
        <v>23</v>
      </c>
      <c r="Z55" s="1" t="s">
        <v>731</v>
      </c>
    </row>
    <row r="56" ht="15.75" customHeight="1">
      <c r="E56" s="1" t="s">
        <v>732</v>
      </c>
      <c r="L56" s="1">
        <v>537624.7622761904</v>
      </c>
      <c r="M56" s="1">
        <v>339794.0</v>
      </c>
      <c r="N56" s="1" t="s">
        <v>733</v>
      </c>
      <c r="O56" s="1" t="s">
        <v>734</v>
      </c>
      <c r="P56" s="1" t="s">
        <v>735</v>
      </c>
      <c r="Y56" s="1" t="s">
        <v>23</v>
      </c>
      <c r="Z56" s="1" t="s">
        <v>736</v>
      </c>
    </row>
    <row r="57" ht="15.75" customHeight="1">
      <c r="E57" s="1" t="s">
        <v>737</v>
      </c>
      <c r="L57" s="1">
        <v>894361.5245523809</v>
      </c>
      <c r="M57" s="1">
        <v>310667.0</v>
      </c>
      <c r="Y57" s="1" t="s">
        <v>23</v>
      </c>
    </row>
    <row r="58" ht="15.75" customHeight="1">
      <c r="E58" s="1" t="s">
        <v>738</v>
      </c>
      <c r="L58" s="1">
        <v>944340.0769230769</v>
      </c>
      <c r="M58" s="1">
        <v>692103.0</v>
      </c>
      <c r="Y58" s="1" t="s">
        <v>23</v>
      </c>
    </row>
    <row r="59" ht="15.75" customHeight="1">
      <c r="E59" s="1" t="s">
        <v>739</v>
      </c>
      <c r="L59" s="1">
        <v>3809079.0625</v>
      </c>
      <c r="M59" s="1">
        <v>2238000.875</v>
      </c>
      <c r="N59" s="1" t="s">
        <v>740</v>
      </c>
      <c r="O59" s="1" t="s">
        <v>741</v>
      </c>
      <c r="P59" s="1" t="s">
        <v>742</v>
      </c>
      <c r="Y59" s="1" t="s">
        <v>23</v>
      </c>
      <c r="Z59" s="1" t="s">
        <v>743</v>
      </c>
    </row>
    <row r="60" ht="15.75" customHeight="1">
      <c r="E60" s="1" t="s">
        <v>744</v>
      </c>
      <c r="L60" s="1">
        <v>1150809.216618182</v>
      </c>
      <c r="M60" s="1">
        <v>648847.0</v>
      </c>
      <c r="N60" s="1" t="s">
        <v>745</v>
      </c>
      <c r="O60" s="1" t="s">
        <v>746</v>
      </c>
      <c r="P60" s="1" t="s">
        <v>747</v>
      </c>
      <c r="Y60" s="1" t="s">
        <v>23</v>
      </c>
      <c r="Z60" s="1" t="s">
        <v>748</v>
      </c>
    </row>
    <row r="61" ht="15.75" customHeight="1">
      <c r="E61" s="1" t="s">
        <v>749</v>
      </c>
      <c r="L61" s="1">
        <v>164370.74590322582</v>
      </c>
      <c r="M61" s="1">
        <v>87523.0</v>
      </c>
      <c r="Y61" s="1" t="s">
        <v>23</v>
      </c>
    </row>
    <row r="62" ht="15.75" customHeight="1">
      <c r="E62" s="1" t="s">
        <v>750</v>
      </c>
      <c r="L62" s="1">
        <v>1380643.8663194445</v>
      </c>
      <c r="M62" s="1">
        <v>1089724.96875</v>
      </c>
      <c r="N62" s="1" t="s">
        <v>751</v>
      </c>
      <c r="O62" s="1" t="s">
        <v>752</v>
      </c>
      <c r="P62" s="1" t="s">
        <v>753</v>
      </c>
      <c r="Y62" s="1" t="s">
        <v>23</v>
      </c>
      <c r="Z62" s="1" t="s">
        <v>754</v>
      </c>
    </row>
    <row r="63" ht="15.75" customHeight="1">
      <c r="E63" s="1" t="s">
        <v>755</v>
      </c>
      <c r="L63" s="1">
        <v>1.1556638713709677E7</v>
      </c>
      <c r="M63" s="1">
        <v>5209494.0</v>
      </c>
      <c r="N63" s="1" t="s">
        <v>756</v>
      </c>
      <c r="O63" s="1" t="s">
        <v>757</v>
      </c>
      <c r="P63" s="1" t="s">
        <v>758</v>
      </c>
      <c r="Y63" s="1" t="s">
        <v>23</v>
      </c>
      <c r="Z63" s="1" t="s">
        <v>759</v>
      </c>
    </row>
    <row r="64" ht="15.75" customHeight="1">
      <c r="E64" s="1" t="s">
        <v>760</v>
      </c>
      <c r="L64" s="1">
        <v>4162965.542618182</v>
      </c>
      <c r="M64" s="1">
        <v>2257570.0</v>
      </c>
      <c r="N64" s="1" t="s">
        <v>761</v>
      </c>
      <c r="O64" s="1" t="s">
        <v>762</v>
      </c>
      <c r="P64" s="1" t="s">
        <v>763</v>
      </c>
      <c r="Y64" s="1" t="s">
        <v>23</v>
      </c>
      <c r="Z64" s="1" t="s">
        <v>379</v>
      </c>
    </row>
    <row r="65" ht="15.75" customHeight="1">
      <c r="E65" s="1" t="s">
        <v>764</v>
      </c>
      <c r="L65" s="1">
        <v>6652713.084376667</v>
      </c>
      <c r="M65" s="1">
        <v>2585432.0</v>
      </c>
      <c r="N65" s="1" t="s">
        <v>765</v>
      </c>
      <c r="O65" s="1" t="s">
        <v>766</v>
      </c>
      <c r="P65" s="1" t="s">
        <v>767</v>
      </c>
      <c r="Y65" s="1" t="s">
        <v>23</v>
      </c>
      <c r="Z65" s="1" t="s">
        <v>768</v>
      </c>
    </row>
    <row r="66" ht="15.75" customHeight="1">
      <c r="E66" s="1" t="s">
        <v>769</v>
      </c>
      <c r="L66" s="1">
        <v>460020.765624</v>
      </c>
      <c r="M66" s="1">
        <v>310311.0</v>
      </c>
      <c r="N66" s="1" t="s">
        <v>770</v>
      </c>
      <c r="O66" s="1" t="s">
        <v>771</v>
      </c>
      <c r="P66" s="1" t="s">
        <v>772</v>
      </c>
      <c r="Y66" s="1" t="s">
        <v>23</v>
      </c>
      <c r="Z66" s="1" t="s">
        <v>773</v>
      </c>
    </row>
    <row r="67" ht="15.75" customHeight="1">
      <c r="E67" s="1" t="s">
        <v>774</v>
      </c>
      <c r="L67" s="1">
        <v>2312231.5404411764</v>
      </c>
      <c r="M67" s="1">
        <v>2044141.0</v>
      </c>
      <c r="N67" s="1" t="s">
        <v>775</v>
      </c>
      <c r="Y67" s="1" t="s">
        <v>23</v>
      </c>
      <c r="Z67" s="1" t="s">
        <v>314</v>
      </c>
    </row>
    <row r="68" ht="15.75" customHeight="1">
      <c r="E68" s="1" t="s">
        <v>776</v>
      </c>
      <c r="L68" s="1">
        <v>1870406.3666700001</v>
      </c>
      <c r="M68" s="1">
        <v>1097292.5</v>
      </c>
      <c r="Y68" s="1" t="s">
        <v>23</v>
      </c>
      <c r="Z68" s="1" t="s">
        <v>777</v>
      </c>
    </row>
    <row r="69" ht="15.75" customHeight="1">
      <c r="E69" s="1" t="s">
        <v>778</v>
      </c>
      <c r="L69" s="1">
        <v>3412680.1093777777</v>
      </c>
      <c r="M69" s="1">
        <v>1228221.0</v>
      </c>
      <c r="N69" s="1" t="s">
        <v>779</v>
      </c>
      <c r="O69" s="1" t="s">
        <v>780</v>
      </c>
      <c r="P69" s="1" t="s">
        <v>781</v>
      </c>
      <c r="Y69" s="1" t="s">
        <v>23</v>
      </c>
    </row>
    <row r="70" ht="15.75" customHeight="1">
      <c r="E70" s="1" t="s">
        <v>782</v>
      </c>
      <c r="L70" s="1">
        <v>6.2010796270833336E7</v>
      </c>
      <c r="M70" s="1">
        <v>1.8435364E7</v>
      </c>
      <c r="Y70" s="1" t="s">
        <v>23</v>
      </c>
      <c r="Z70" s="1" t="s">
        <v>783</v>
      </c>
    </row>
    <row r="71" ht="15.75" customHeight="1">
      <c r="E71" s="1" t="s">
        <v>784</v>
      </c>
      <c r="L71" s="1">
        <v>3947616.0585941183</v>
      </c>
      <c r="M71" s="1">
        <v>723213.0</v>
      </c>
      <c r="Y71" s="1" t="s">
        <v>23</v>
      </c>
      <c r="Z71" s="1" t="s">
        <v>785</v>
      </c>
    </row>
    <row r="72" ht="15.75" customHeight="1">
      <c r="E72" s="1" t="s">
        <v>786</v>
      </c>
      <c r="L72" s="1">
        <v>1011062.1428571428</v>
      </c>
      <c r="M72" s="1">
        <v>380691.5</v>
      </c>
      <c r="Y72" s="1" t="s">
        <v>23</v>
      </c>
      <c r="Z72" s="1" t="s">
        <v>787</v>
      </c>
    </row>
    <row r="73" ht="15.75" customHeight="1">
      <c r="E73" s="1" t="s">
        <v>788</v>
      </c>
      <c r="L73" s="1">
        <v>714498.12793125</v>
      </c>
      <c r="M73" s="1">
        <v>308239.0</v>
      </c>
      <c r="Y73" s="1" t="s">
        <v>23</v>
      </c>
    </row>
    <row r="74" ht="15.75" customHeight="1">
      <c r="E74" s="1" t="s">
        <v>789</v>
      </c>
      <c r="L74" s="1">
        <v>518033.53786153847</v>
      </c>
      <c r="M74" s="1">
        <v>249634.0</v>
      </c>
      <c r="N74" s="1" t="s">
        <v>790</v>
      </c>
      <c r="O74" s="1" t="s">
        <v>791</v>
      </c>
      <c r="P74" s="1" t="s">
        <v>792</v>
      </c>
      <c r="Y74" s="1" t="s">
        <v>23</v>
      </c>
    </row>
    <row r="75" ht="15.75" customHeight="1">
      <c r="E75" s="1" t="s">
        <v>793</v>
      </c>
      <c r="L75" s="1">
        <v>1110333.3652375</v>
      </c>
      <c r="M75" s="1">
        <v>427489.0</v>
      </c>
      <c r="Y75" s="1" t="s">
        <v>23</v>
      </c>
    </row>
    <row r="76" ht="15.75" customHeight="1">
      <c r="E76" s="1" t="s">
        <v>794</v>
      </c>
      <c r="L76" s="1">
        <v>3415567.8620689656</v>
      </c>
      <c r="M76" s="1">
        <v>1055299.0</v>
      </c>
      <c r="Y76" s="1" t="s">
        <v>23</v>
      </c>
      <c r="Z76" s="1" t="s">
        <v>795</v>
      </c>
    </row>
    <row r="77" ht="15.75" customHeight="1">
      <c r="E77" s="1" t="s">
        <v>796</v>
      </c>
      <c r="L77" s="1">
        <v>3390095.352234286</v>
      </c>
      <c r="M77" s="1">
        <v>579721.0</v>
      </c>
      <c r="Y77" s="1" t="s">
        <v>23</v>
      </c>
      <c r="Z77" s="1" t="s">
        <v>797</v>
      </c>
    </row>
    <row r="78" ht="15.75" customHeight="1">
      <c r="E78" s="1" t="s">
        <v>798</v>
      </c>
      <c r="L78" s="1">
        <v>397724.09635714284</v>
      </c>
      <c r="M78" s="1">
        <v>190541.0</v>
      </c>
      <c r="N78" s="1" t="s">
        <v>722</v>
      </c>
      <c r="O78" s="1" t="s">
        <v>799</v>
      </c>
      <c r="P78" s="1" t="s">
        <v>800</v>
      </c>
      <c r="Y78" s="1" t="s">
        <v>23</v>
      </c>
      <c r="Z78" s="1" t="s">
        <v>801</v>
      </c>
    </row>
    <row r="79" ht="15.75" customHeight="1">
      <c r="E79" s="1" t="s">
        <v>802</v>
      </c>
      <c r="L79" s="1">
        <v>1061727.3157894737</v>
      </c>
      <c r="M79" s="1">
        <v>464208.0</v>
      </c>
      <c r="Y79" s="1" t="s">
        <v>23</v>
      </c>
    </row>
    <row r="80" ht="15.75" customHeight="1">
      <c r="E80" s="1" t="s">
        <v>803</v>
      </c>
      <c r="L80" s="1">
        <v>528402.8</v>
      </c>
      <c r="M80" s="1">
        <v>442001.0</v>
      </c>
      <c r="Y80" s="1" t="s">
        <v>23</v>
      </c>
    </row>
    <row r="81" ht="15.75" customHeight="1">
      <c r="E81" s="1" t="s">
        <v>804</v>
      </c>
      <c r="L81" s="1">
        <v>5425224.75</v>
      </c>
      <c r="M81" s="1">
        <v>2045498.0</v>
      </c>
      <c r="N81" s="1" t="s">
        <v>805</v>
      </c>
      <c r="O81" s="1" t="s">
        <v>806</v>
      </c>
      <c r="P81" s="1" t="s">
        <v>807</v>
      </c>
      <c r="Y81" s="1" t="s">
        <v>23</v>
      </c>
      <c r="Z81" s="1" t="s">
        <v>808</v>
      </c>
    </row>
    <row r="82" ht="15.75" customHeight="1">
      <c r="E82" s="1" t="s">
        <v>809</v>
      </c>
      <c r="L82" s="1">
        <v>1107582.0650193547</v>
      </c>
      <c r="M82" s="1">
        <v>899876.0</v>
      </c>
      <c r="N82" s="1" t="s">
        <v>810</v>
      </c>
      <c r="O82" s="1" t="s">
        <v>811</v>
      </c>
      <c r="P82" s="1" t="s">
        <v>812</v>
      </c>
      <c r="Y82" s="1" t="s">
        <v>23</v>
      </c>
      <c r="Z82" s="1" t="s">
        <v>813</v>
      </c>
    </row>
    <row r="83" ht="15.75" customHeight="1">
      <c r="E83" s="1" t="s">
        <v>814</v>
      </c>
      <c r="L83" s="1">
        <v>8367051.381077778</v>
      </c>
      <c r="M83" s="1">
        <v>2887787.0</v>
      </c>
      <c r="N83" s="1" t="s">
        <v>815</v>
      </c>
      <c r="O83" s="1" t="s">
        <v>816</v>
      </c>
      <c r="P83" s="1" t="s">
        <v>817</v>
      </c>
      <c r="Y83" s="1" t="s">
        <v>23</v>
      </c>
      <c r="Z83" s="1" t="s">
        <v>818</v>
      </c>
    </row>
    <row r="84" ht="15.75" customHeight="1">
      <c r="E84" s="1" t="s">
        <v>819</v>
      </c>
      <c r="L84" s="1">
        <v>1325367.825723077</v>
      </c>
      <c r="M84" s="1">
        <v>994747.5</v>
      </c>
      <c r="Y84" s="1" t="s">
        <v>23</v>
      </c>
      <c r="Z84" s="1" t="s">
        <v>820</v>
      </c>
    </row>
    <row r="85" ht="15.75" customHeight="1">
      <c r="E85" s="1" t="s">
        <v>821</v>
      </c>
      <c r="L85" s="1">
        <v>631111.9244814814</v>
      </c>
      <c r="M85" s="1">
        <v>212429.0</v>
      </c>
      <c r="N85" s="1" t="s">
        <v>822</v>
      </c>
      <c r="O85" s="1" t="s">
        <v>823</v>
      </c>
      <c r="P85" s="1" t="s">
        <v>824</v>
      </c>
      <c r="Y85" s="1" t="s">
        <v>23</v>
      </c>
      <c r="Z85" s="1" t="s">
        <v>825</v>
      </c>
    </row>
    <row r="86" ht="15.75" customHeight="1">
      <c r="E86" s="1" t="s">
        <v>826</v>
      </c>
      <c r="L86" s="1">
        <v>475814.49574090913</v>
      </c>
      <c r="M86" s="1">
        <v>169042.49219999998</v>
      </c>
      <c r="N86" s="1" t="s">
        <v>827</v>
      </c>
      <c r="O86" s="1" t="s">
        <v>828</v>
      </c>
      <c r="P86" s="1" t="s">
        <v>829</v>
      </c>
      <c r="Y86" s="1" t="s">
        <v>23</v>
      </c>
      <c r="Z86" s="1" t="s">
        <v>830</v>
      </c>
    </row>
    <row r="87" ht="15.75" customHeight="1">
      <c r="E87" s="1" t="s">
        <v>831</v>
      </c>
      <c r="L87" s="1">
        <v>3.9498868527777776E7</v>
      </c>
      <c r="M87" s="1">
        <v>2.7040267E7</v>
      </c>
      <c r="Y87" s="1" t="s">
        <v>23</v>
      </c>
      <c r="Z87" s="1" t="s">
        <v>832</v>
      </c>
    </row>
    <row r="88" ht="15.75" customHeight="1">
      <c r="E88" s="1" t="s">
        <v>833</v>
      </c>
      <c r="L88" s="1">
        <v>1.6144375411458334E7</v>
      </c>
      <c r="M88" s="1">
        <v>1850302.5</v>
      </c>
      <c r="N88" s="1" t="s">
        <v>834</v>
      </c>
      <c r="O88" s="1" t="s">
        <v>835</v>
      </c>
      <c r="P88" s="1" t="s">
        <v>836</v>
      </c>
      <c r="Y88" s="1" t="s">
        <v>23</v>
      </c>
      <c r="Z88" s="1" t="s">
        <v>837</v>
      </c>
    </row>
    <row r="89" ht="15.75" customHeight="1">
      <c r="E89" s="1" t="s">
        <v>838</v>
      </c>
      <c r="L89" s="1">
        <v>2520040.267361111</v>
      </c>
      <c r="M89" s="1">
        <v>1134963.0</v>
      </c>
      <c r="N89" s="1" t="s">
        <v>839</v>
      </c>
      <c r="O89" s="1" t="s">
        <v>840</v>
      </c>
      <c r="P89" s="1" t="s">
        <v>841</v>
      </c>
      <c r="Y89" s="1" t="s">
        <v>23</v>
      </c>
      <c r="Z89" s="1" t="s">
        <v>842</v>
      </c>
    </row>
    <row r="90" ht="15.75" customHeight="1">
      <c r="E90" s="1" t="s">
        <v>843</v>
      </c>
      <c r="L90" s="1">
        <v>1493005.0559916666</v>
      </c>
      <c r="M90" s="1">
        <v>563232.0</v>
      </c>
      <c r="Y90" s="1" t="s">
        <v>23</v>
      </c>
    </row>
    <row r="91" ht="15.75" customHeight="1">
      <c r="E91" s="1" t="s">
        <v>844</v>
      </c>
      <c r="L91" s="1">
        <v>1146903.2152777778</v>
      </c>
      <c r="M91" s="1">
        <v>795087.5</v>
      </c>
      <c r="N91" s="1" t="s">
        <v>845</v>
      </c>
      <c r="O91" s="1" t="s">
        <v>846</v>
      </c>
      <c r="P91" s="1" t="s">
        <v>847</v>
      </c>
      <c r="Y91" s="1" t="s">
        <v>23</v>
      </c>
      <c r="Z91" s="1" t="s">
        <v>848</v>
      </c>
    </row>
    <row r="92" ht="15.75" customHeight="1">
      <c r="E92" s="1" t="s">
        <v>849</v>
      </c>
      <c r="L92" s="1">
        <v>604120.14922</v>
      </c>
      <c r="M92" s="1">
        <v>449391.5</v>
      </c>
      <c r="Y92" s="1" t="s">
        <v>23</v>
      </c>
    </row>
    <row r="93" ht="15.75" customHeight="1">
      <c r="E93" s="1" t="s">
        <v>850</v>
      </c>
      <c r="L93" s="1">
        <v>685185.9057624999</v>
      </c>
      <c r="M93" s="1">
        <v>163023.99219999998</v>
      </c>
      <c r="Y93" s="1" t="s">
        <v>23</v>
      </c>
      <c r="Z93" s="1" t="s">
        <v>851</v>
      </c>
    </row>
    <row r="94" ht="15.75" customHeight="1">
      <c r="E94" s="1" t="s">
        <v>852</v>
      </c>
      <c r="L94" s="1">
        <v>5803035.4057941185</v>
      </c>
      <c r="M94" s="1">
        <v>889145.5</v>
      </c>
      <c r="N94" s="1" t="s">
        <v>853</v>
      </c>
      <c r="O94" s="1" t="s">
        <v>854</v>
      </c>
      <c r="P94" s="1" t="s">
        <v>855</v>
      </c>
      <c r="Y94" s="1" t="s">
        <v>23</v>
      </c>
      <c r="Z94" s="1" t="s">
        <v>856</v>
      </c>
    </row>
    <row r="95" ht="15.75" customHeight="1">
      <c r="E95" s="1" t="s">
        <v>857</v>
      </c>
      <c r="L95" s="1">
        <v>795240.8</v>
      </c>
      <c r="M95" s="1">
        <v>326737.0</v>
      </c>
      <c r="N95" s="1" t="s">
        <v>858</v>
      </c>
      <c r="O95" s="1" t="s">
        <v>859</v>
      </c>
      <c r="P95" s="1" t="s">
        <v>860</v>
      </c>
      <c r="Y95" s="1" t="s">
        <v>23</v>
      </c>
      <c r="Z95" s="1" t="s">
        <v>861</v>
      </c>
    </row>
    <row r="96" ht="15.75" customHeight="1">
      <c r="E96" s="1" t="s">
        <v>862</v>
      </c>
      <c r="L96" s="1">
        <v>1147863.8666666667</v>
      </c>
      <c r="M96" s="1">
        <v>350163.0</v>
      </c>
      <c r="Y96" s="1" t="s">
        <v>23</v>
      </c>
      <c r="Z96" s="1" t="s">
        <v>863</v>
      </c>
    </row>
    <row r="97" ht="15.75" customHeight="1">
      <c r="E97" s="1" t="s">
        <v>864</v>
      </c>
      <c r="L97" s="1">
        <v>478336.07942499995</v>
      </c>
      <c r="M97" s="1">
        <v>280179.5</v>
      </c>
      <c r="N97" s="1" t="s">
        <v>865</v>
      </c>
      <c r="O97" s="1" t="s">
        <v>866</v>
      </c>
      <c r="P97" s="1" t="s">
        <v>867</v>
      </c>
      <c r="Y97" s="1" t="s">
        <v>23</v>
      </c>
      <c r="Z97" s="1" t="s">
        <v>868</v>
      </c>
    </row>
    <row r="98" ht="15.75" customHeight="1">
      <c r="E98" s="1" t="s">
        <v>869</v>
      </c>
      <c r="L98" s="1">
        <v>4713114.944444444</v>
      </c>
      <c r="M98" s="1">
        <v>1855710.5</v>
      </c>
      <c r="N98" s="1" t="s">
        <v>870</v>
      </c>
      <c r="O98" s="1" t="s">
        <v>871</v>
      </c>
      <c r="P98" s="1" t="s">
        <v>872</v>
      </c>
      <c r="Y98" s="1" t="s">
        <v>23</v>
      </c>
      <c r="Z98" s="1" t="s">
        <v>873</v>
      </c>
    </row>
    <row r="99" ht="15.75" customHeight="1">
      <c r="E99" s="1" t="s">
        <v>874</v>
      </c>
      <c r="L99" s="1">
        <v>1.8313190277777776E7</v>
      </c>
      <c r="M99" s="1">
        <v>1882467.0</v>
      </c>
      <c r="Y99" s="1" t="s">
        <v>23</v>
      </c>
      <c r="Z99" s="1" t="s">
        <v>875</v>
      </c>
    </row>
    <row r="100" ht="15.75" customHeight="1">
      <c r="E100" s="1" t="s">
        <v>876</v>
      </c>
      <c r="L100" s="1">
        <v>2837709.9466166664</v>
      </c>
      <c r="M100" s="1">
        <v>312105.0</v>
      </c>
      <c r="Y100" s="1" t="s">
        <v>23</v>
      </c>
      <c r="Z100" s="1" t="s">
        <v>877</v>
      </c>
    </row>
    <row r="101" ht="15.75" customHeight="1">
      <c r="E101" s="1" t="s">
        <v>878</v>
      </c>
      <c r="L101" s="1">
        <v>594154.3846153846</v>
      </c>
      <c r="M101" s="1">
        <v>207954.0</v>
      </c>
      <c r="Y101" s="1" t="s">
        <v>23</v>
      </c>
    </row>
    <row r="102" ht="15.75" customHeight="1">
      <c r="E102" s="1" t="s">
        <v>879</v>
      </c>
      <c r="L102" s="1">
        <v>2525095.28125</v>
      </c>
      <c r="M102" s="1">
        <v>313751.5</v>
      </c>
      <c r="Y102" s="1" t="s">
        <v>23</v>
      </c>
      <c r="Z102" s="1" t="s">
        <v>880</v>
      </c>
    </row>
    <row r="103" ht="15.75" customHeight="1">
      <c r="E103" s="1" t="s">
        <v>881</v>
      </c>
      <c r="L103" s="1">
        <v>1996276.9291666667</v>
      </c>
      <c r="M103" s="1">
        <v>534092.0</v>
      </c>
      <c r="Y103" s="1" t="s">
        <v>23</v>
      </c>
    </row>
    <row r="104" ht="15.75" customHeight="1">
      <c r="E104" s="1" t="s">
        <v>882</v>
      </c>
      <c r="L104" s="1">
        <v>2266851.590909091</v>
      </c>
      <c r="M104" s="1">
        <v>875680.0</v>
      </c>
      <c r="N104" s="1" t="s">
        <v>883</v>
      </c>
      <c r="O104" s="1" t="s">
        <v>884</v>
      </c>
      <c r="P104" s="1" t="s">
        <v>885</v>
      </c>
      <c r="Y104" s="1" t="s">
        <v>23</v>
      </c>
      <c r="Z104" s="1" t="s">
        <v>886</v>
      </c>
    </row>
    <row r="105" ht="15.75" customHeight="1">
      <c r="E105" s="1" t="s">
        <v>887</v>
      </c>
      <c r="L105" s="1">
        <v>1.3906326436419332E8</v>
      </c>
      <c r="M105" s="1">
        <v>3757267.0</v>
      </c>
      <c r="Y105" s="1" t="s">
        <v>23</v>
      </c>
      <c r="Z105" s="1" t="s">
        <v>888</v>
      </c>
    </row>
    <row r="106" ht="15.75" customHeight="1">
      <c r="E106" s="1" t="s">
        <v>889</v>
      </c>
      <c r="L106" s="1">
        <v>2182167.617647059</v>
      </c>
      <c r="M106" s="1">
        <v>1133476.0</v>
      </c>
      <c r="N106" s="1" t="s">
        <v>890</v>
      </c>
      <c r="O106" s="1" t="s">
        <v>891</v>
      </c>
      <c r="P106" s="1" t="s">
        <v>892</v>
      </c>
      <c r="Y106" s="1" t="s">
        <v>23</v>
      </c>
      <c r="Z106" s="1" t="s">
        <v>893</v>
      </c>
    </row>
    <row r="107" ht="15.75" customHeight="1">
      <c r="E107" s="1" t="s">
        <v>894</v>
      </c>
      <c r="L107" s="1">
        <v>314479.18695</v>
      </c>
      <c r="M107" s="1">
        <v>142309.5</v>
      </c>
      <c r="Y107" s="1" t="s">
        <v>23</v>
      </c>
      <c r="Z107" s="1" t="s">
        <v>895</v>
      </c>
    </row>
    <row r="108" ht="15.75" customHeight="1">
      <c r="E108" s="1" t="s">
        <v>896</v>
      </c>
      <c r="L108" s="1">
        <v>1536940.6666666667</v>
      </c>
      <c r="M108" s="1">
        <v>1021449.0</v>
      </c>
      <c r="Y108" s="1" t="s">
        <v>23</v>
      </c>
    </row>
    <row r="109" ht="15.75" customHeight="1">
      <c r="E109" s="1" t="s">
        <v>897</v>
      </c>
      <c r="L109" s="1">
        <v>3023549.0588235296</v>
      </c>
      <c r="M109" s="1">
        <v>1185476.0</v>
      </c>
      <c r="Y109" s="1" t="s">
        <v>23</v>
      </c>
    </row>
    <row r="110" ht="15.75" customHeight="1">
      <c r="E110" s="1" t="s">
        <v>898</v>
      </c>
      <c r="L110" s="1">
        <v>558884.2058206897</v>
      </c>
      <c r="M110" s="1">
        <v>224782.0</v>
      </c>
      <c r="Y110" s="1" t="s">
        <v>23</v>
      </c>
    </row>
    <row r="111" ht="15.75" customHeight="1">
      <c r="E111" s="1" t="s">
        <v>899</v>
      </c>
      <c r="L111" s="1">
        <v>2024104.0</v>
      </c>
      <c r="M111" s="1">
        <v>1021107.5</v>
      </c>
      <c r="Y111" s="1" t="s">
        <v>23</v>
      </c>
    </row>
    <row r="112" ht="15.75" customHeight="1">
      <c r="E112" s="1" t="s">
        <v>900</v>
      </c>
      <c r="L112" s="1">
        <v>1042028.2517857143</v>
      </c>
      <c r="M112" s="1">
        <v>870142.0</v>
      </c>
      <c r="N112" s="1" t="s">
        <v>901</v>
      </c>
      <c r="O112" s="1" t="s">
        <v>902</v>
      </c>
      <c r="P112" s="1" t="s">
        <v>903</v>
      </c>
      <c r="Y112" s="1" t="s">
        <v>23</v>
      </c>
      <c r="Z112" s="1" t="s">
        <v>403</v>
      </c>
    </row>
    <row r="113" ht="15.75" customHeight="1">
      <c r="E113" s="1" t="s">
        <v>904</v>
      </c>
      <c r="L113" s="1">
        <v>510008.0606060606</v>
      </c>
      <c r="M113" s="1">
        <v>279433.0</v>
      </c>
      <c r="N113" s="1" t="s">
        <v>905</v>
      </c>
      <c r="O113" s="1" t="s">
        <v>906</v>
      </c>
      <c r="P113" s="1" t="s">
        <v>907</v>
      </c>
      <c r="Y113" s="1" t="s">
        <v>23</v>
      </c>
    </row>
    <row r="114" ht="15.75" customHeight="1">
      <c r="E114" s="1" t="s">
        <v>908</v>
      </c>
      <c r="L114" s="1">
        <v>673149.1171882353</v>
      </c>
      <c r="M114" s="1">
        <v>508398.5</v>
      </c>
      <c r="N114" s="1" t="s">
        <v>909</v>
      </c>
      <c r="O114" s="1" t="s">
        <v>910</v>
      </c>
      <c r="P114" s="1" t="s">
        <v>911</v>
      </c>
      <c r="Y114" s="1" t="s">
        <v>23</v>
      </c>
    </row>
    <row r="115" ht="15.75" customHeight="1">
      <c r="E115" s="1" t="s">
        <v>912</v>
      </c>
      <c r="L115" s="1">
        <v>759302.9270833334</v>
      </c>
      <c r="M115" s="1">
        <v>649002.0</v>
      </c>
      <c r="N115" s="1" t="s">
        <v>913</v>
      </c>
      <c r="O115" s="1" t="s">
        <v>914</v>
      </c>
      <c r="P115" s="1" t="s">
        <v>915</v>
      </c>
      <c r="Y115" s="1" t="s">
        <v>23</v>
      </c>
      <c r="Z115" s="1" t="s">
        <v>916</v>
      </c>
    </row>
    <row r="116" ht="15.75" customHeight="1">
      <c r="E116" s="1" t="s">
        <v>917</v>
      </c>
      <c r="L116" s="1">
        <v>4010110.2428600006</v>
      </c>
      <c r="M116" s="1">
        <v>1488501.0</v>
      </c>
      <c r="N116" s="1" t="s">
        <v>918</v>
      </c>
      <c r="O116" s="1" t="s">
        <v>919</v>
      </c>
      <c r="P116" s="1" t="s">
        <v>920</v>
      </c>
      <c r="Y116" s="1" t="s">
        <v>23</v>
      </c>
      <c r="Z116" s="1" t="s">
        <v>921</v>
      </c>
    </row>
    <row r="117" ht="15.75" customHeight="1">
      <c r="E117" s="1" t="s">
        <v>922</v>
      </c>
      <c r="L117" s="1">
        <v>603057.8095238095</v>
      </c>
      <c r="M117" s="1">
        <v>274285.0</v>
      </c>
      <c r="N117" s="1" t="s">
        <v>923</v>
      </c>
      <c r="O117" s="1" t="s">
        <v>924</v>
      </c>
      <c r="P117" s="1" t="s">
        <v>925</v>
      </c>
      <c r="Y117" s="1" t="s">
        <v>23</v>
      </c>
      <c r="Z117" s="1" t="s">
        <v>926</v>
      </c>
    </row>
    <row r="118" ht="15.75" customHeight="1">
      <c r="E118" s="1" t="s">
        <v>927</v>
      </c>
      <c r="L118" s="1">
        <v>1869421.1848972226</v>
      </c>
      <c r="M118" s="1">
        <v>1289277.0</v>
      </c>
      <c r="N118" s="1" t="s">
        <v>928</v>
      </c>
      <c r="O118" s="1" t="s">
        <v>929</v>
      </c>
      <c r="P118" s="1" t="s">
        <v>930</v>
      </c>
      <c r="Y118" s="1" t="s">
        <v>23</v>
      </c>
      <c r="Z118" s="1" t="s">
        <v>931</v>
      </c>
    </row>
    <row r="119" ht="15.75" customHeight="1">
      <c r="E119" s="1" t="s">
        <v>932</v>
      </c>
      <c r="L119" s="1">
        <v>1123157.2509777779</v>
      </c>
      <c r="M119" s="1">
        <v>884223.5</v>
      </c>
      <c r="N119" s="1" t="s">
        <v>933</v>
      </c>
      <c r="O119" s="1" t="s">
        <v>934</v>
      </c>
      <c r="P119" s="1" t="s">
        <v>935</v>
      </c>
      <c r="Y119" s="1" t="s">
        <v>23</v>
      </c>
      <c r="Z119" s="1" t="s">
        <v>936</v>
      </c>
    </row>
    <row r="120" ht="15.75" customHeight="1">
      <c r="E120" s="1" t="s">
        <v>937</v>
      </c>
      <c r="L120" s="1">
        <v>4183855.375</v>
      </c>
      <c r="M120" s="1">
        <v>3311346.5</v>
      </c>
      <c r="N120" s="1" t="s">
        <v>938</v>
      </c>
      <c r="O120" s="1" t="s">
        <v>939</v>
      </c>
      <c r="P120" s="1" t="s">
        <v>940</v>
      </c>
      <c r="Y120" s="1" t="s">
        <v>23</v>
      </c>
      <c r="Z120" s="1" t="s">
        <v>941</v>
      </c>
    </row>
    <row r="121" ht="15.75" customHeight="1">
      <c r="E121" s="1" t="s">
        <v>942</v>
      </c>
      <c r="L121" s="1">
        <v>2185299.222222222</v>
      </c>
      <c r="M121" s="1">
        <v>1715917.0</v>
      </c>
      <c r="N121" s="1" t="s">
        <v>943</v>
      </c>
      <c r="O121" s="1" t="s">
        <v>944</v>
      </c>
      <c r="P121" s="1" t="s">
        <v>945</v>
      </c>
      <c r="Y121" s="1" t="s">
        <v>23</v>
      </c>
      <c r="Z121" s="1" t="s">
        <v>946</v>
      </c>
    </row>
    <row r="122" ht="15.75" customHeight="1">
      <c r="E122" s="1" t="s">
        <v>947</v>
      </c>
      <c r="L122" s="1">
        <v>5356949.794117647</v>
      </c>
      <c r="M122" s="1">
        <v>1536404.5</v>
      </c>
      <c r="N122" s="1" t="s">
        <v>948</v>
      </c>
      <c r="O122" s="1" t="s">
        <v>949</v>
      </c>
      <c r="P122" s="1" t="s">
        <v>950</v>
      </c>
      <c r="Y122" s="1" t="s">
        <v>23</v>
      </c>
      <c r="Z122" s="1" t="s">
        <v>951</v>
      </c>
    </row>
    <row r="123" ht="15.75" customHeight="1">
      <c r="E123" s="1" t="s">
        <v>952</v>
      </c>
      <c r="L123" s="1">
        <v>1919728.9488636365</v>
      </c>
      <c r="M123" s="1">
        <v>1543593.125</v>
      </c>
      <c r="N123" s="1" t="s">
        <v>953</v>
      </c>
      <c r="O123" s="1" t="s">
        <v>954</v>
      </c>
      <c r="P123" s="1" t="s">
        <v>955</v>
      </c>
      <c r="Y123" s="1" t="s">
        <v>23</v>
      </c>
      <c r="Z123" s="1" t="s">
        <v>956</v>
      </c>
    </row>
    <row r="124" ht="15.75" customHeight="1">
      <c r="E124" s="1" t="s">
        <v>957</v>
      </c>
      <c r="L124" s="1">
        <v>4993911.001736111</v>
      </c>
      <c r="M124" s="1">
        <v>1124545.0</v>
      </c>
      <c r="N124" s="1" t="s">
        <v>958</v>
      </c>
      <c r="O124" s="1" t="s">
        <v>959</v>
      </c>
      <c r="P124" s="1" t="s">
        <v>960</v>
      </c>
      <c r="Y124" s="1" t="s">
        <v>23</v>
      </c>
    </row>
    <row r="125" ht="15.75" customHeight="1">
      <c r="E125" s="1" t="s">
        <v>961</v>
      </c>
      <c r="L125" s="1">
        <v>3403267.917536111</v>
      </c>
      <c r="M125" s="1">
        <v>1257908.0</v>
      </c>
      <c r="N125" s="1" t="s">
        <v>962</v>
      </c>
      <c r="O125" s="1" t="s">
        <v>963</v>
      </c>
      <c r="P125" s="1" t="s">
        <v>964</v>
      </c>
      <c r="Y125" s="1" t="s">
        <v>23</v>
      </c>
    </row>
    <row r="126" ht="15.75" customHeight="1">
      <c r="E126" s="1" t="s">
        <v>965</v>
      </c>
      <c r="L126" s="1">
        <v>3.6291720909722224E7</v>
      </c>
      <c r="M126" s="1">
        <v>1.0231465E7</v>
      </c>
      <c r="N126" s="1" t="s">
        <v>966</v>
      </c>
      <c r="O126" s="1" t="s">
        <v>967</v>
      </c>
      <c r="P126" s="1" t="s">
        <v>968</v>
      </c>
      <c r="Y126" s="1" t="s">
        <v>23</v>
      </c>
    </row>
    <row r="127" ht="15.75" customHeight="1">
      <c r="E127" s="1" t="s">
        <v>969</v>
      </c>
      <c r="L127" s="1">
        <v>889791.1219666668</v>
      </c>
      <c r="M127" s="1">
        <v>673491.5</v>
      </c>
      <c r="N127" s="1" t="s">
        <v>675</v>
      </c>
      <c r="O127" s="1" t="s">
        <v>970</v>
      </c>
      <c r="P127" s="1" t="s">
        <v>971</v>
      </c>
      <c r="Y127" s="1" t="s">
        <v>23</v>
      </c>
    </row>
    <row r="128" ht="15.75" customHeight="1">
      <c r="E128" s="1" t="s">
        <v>972</v>
      </c>
      <c r="L128" s="1">
        <v>6.361212669444445E7</v>
      </c>
      <c r="M128" s="1">
        <v>4.6365602E7</v>
      </c>
      <c r="N128" s="1" t="s">
        <v>973</v>
      </c>
      <c r="O128" s="1" t="s">
        <v>974</v>
      </c>
      <c r="P128" s="1" t="s">
        <v>975</v>
      </c>
      <c r="Y128" s="1" t="s">
        <v>23</v>
      </c>
      <c r="Z128" s="1" t="s">
        <v>976</v>
      </c>
    </row>
    <row r="129" ht="15.75" customHeight="1">
      <c r="E129" s="1" t="s">
        <v>977</v>
      </c>
      <c r="L129" s="1">
        <v>856857.37695625</v>
      </c>
      <c r="M129" s="1">
        <v>713222.0</v>
      </c>
      <c r="Y129" s="1" t="s">
        <v>23</v>
      </c>
    </row>
    <row r="130" ht="15.75" customHeight="1">
      <c r="E130" s="1" t="s">
        <v>978</v>
      </c>
      <c r="L130" s="1">
        <v>1529914.2</v>
      </c>
      <c r="M130" s="1">
        <v>1271062.0</v>
      </c>
      <c r="Y130" s="1" t="s">
        <v>23</v>
      </c>
      <c r="Z130" s="1" t="s">
        <v>979</v>
      </c>
    </row>
    <row r="131" ht="15.75" customHeight="1">
      <c r="E131" s="1" t="s">
        <v>980</v>
      </c>
      <c r="L131" s="1">
        <v>2.2152359242857143E7</v>
      </c>
      <c r="M131" s="1">
        <v>8381958.0</v>
      </c>
      <c r="N131" s="1" t="s">
        <v>981</v>
      </c>
      <c r="O131" s="1" t="s">
        <v>982</v>
      </c>
      <c r="P131" s="1" t="s">
        <v>983</v>
      </c>
      <c r="Y131" s="1" t="s">
        <v>23</v>
      </c>
      <c r="Z131" s="1" t="s">
        <v>984</v>
      </c>
    </row>
    <row r="132" ht="15.75" customHeight="1">
      <c r="E132" s="1" t="s">
        <v>985</v>
      </c>
      <c r="L132" s="1">
        <v>5031659.711372223</v>
      </c>
      <c r="M132" s="1">
        <v>1574606.5</v>
      </c>
      <c r="N132" s="1" t="s">
        <v>986</v>
      </c>
      <c r="O132" s="1" t="s">
        <v>987</v>
      </c>
      <c r="P132" s="1" t="s">
        <v>988</v>
      </c>
      <c r="Y132" s="1" t="s">
        <v>23</v>
      </c>
    </row>
    <row r="133" ht="15.75" customHeight="1">
      <c r="E133" s="1" t="s">
        <v>989</v>
      </c>
      <c r="L133" s="1">
        <v>5097816.715913637</v>
      </c>
      <c r="M133" s="1">
        <v>1037316.40625</v>
      </c>
      <c r="N133" s="1" t="s">
        <v>990</v>
      </c>
      <c r="O133" s="1" t="s">
        <v>991</v>
      </c>
      <c r="P133" s="1" t="s">
        <v>992</v>
      </c>
      <c r="Y133" s="1" t="s">
        <v>23</v>
      </c>
    </row>
    <row r="134" ht="15.75" customHeight="1">
      <c r="E134" s="1" t="s">
        <v>993</v>
      </c>
      <c r="L134" s="1">
        <v>5.9910706340277776E7</v>
      </c>
      <c r="M134" s="1">
        <v>2.0369204E7</v>
      </c>
      <c r="N134" s="1" t="s">
        <v>994</v>
      </c>
      <c r="O134" s="1" t="s">
        <v>995</v>
      </c>
      <c r="P134" s="1" t="s">
        <v>996</v>
      </c>
      <c r="Y134" s="1" t="s">
        <v>23</v>
      </c>
      <c r="Z134" s="1" t="s">
        <v>997</v>
      </c>
    </row>
    <row r="135" ht="15.75" customHeight="1">
      <c r="E135" s="1" t="s">
        <v>998</v>
      </c>
      <c r="L135" s="1">
        <v>2607929.59375</v>
      </c>
      <c r="M135" s="1">
        <v>2158222.0</v>
      </c>
      <c r="N135" s="1" t="s">
        <v>999</v>
      </c>
      <c r="O135" s="1" t="s">
        <v>1000</v>
      </c>
      <c r="P135" s="1" t="s">
        <v>1001</v>
      </c>
      <c r="Y135" s="1" t="s">
        <v>23</v>
      </c>
      <c r="Z135" s="1" t="s">
        <v>1002</v>
      </c>
    </row>
    <row r="136" ht="15.75" customHeight="1">
      <c r="E136" s="1" t="s">
        <v>1003</v>
      </c>
      <c r="L136" s="1">
        <v>4652962.519302942</v>
      </c>
      <c r="M136" s="1">
        <v>2094140.0</v>
      </c>
      <c r="N136" s="1" t="s">
        <v>679</v>
      </c>
      <c r="O136" s="1" t="s">
        <v>1004</v>
      </c>
      <c r="P136" s="1" t="s">
        <v>1005</v>
      </c>
      <c r="Y136" s="1" t="s">
        <v>23</v>
      </c>
    </row>
    <row r="137" ht="15.75" customHeight="1">
      <c r="E137" s="1" t="s">
        <v>1006</v>
      </c>
      <c r="L137" s="1">
        <v>4338618.247767857</v>
      </c>
      <c r="M137" s="1">
        <v>1584960.5</v>
      </c>
      <c r="N137" s="1" t="s">
        <v>1007</v>
      </c>
      <c r="O137" s="1" t="s">
        <v>1008</v>
      </c>
      <c r="P137" s="1" t="s">
        <v>1009</v>
      </c>
      <c r="Y137" s="1" t="s">
        <v>23</v>
      </c>
      <c r="Z137" s="1" t="s">
        <v>1010</v>
      </c>
    </row>
    <row r="138" ht="15.75" customHeight="1">
      <c r="E138" s="1" t="s">
        <v>1011</v>
      </c>
      <c r="L138" s="1">
        <v>7206053.083333333</v>
      </c>
      <c r="M138" s="1">
        <v>1616322.5</v>
      </c>
      <c r="Y138" s="1" t="s">
        <v>23</v>
      </c>
      <c r="Z138" s="1" t="s">
        <v>1012</v>
      </c>
    </row>
    <row r="139" ht="15.75" customHeight="1">
      <c r="E139" s="1" t="s">
        <v>1013</v>
      </c>
      <c r="L139" s="1">
        <v>1009682.70078</v>
      </c>
      <c r="M139" s="1">
        <v>322355.0</v>
      </c>
      <c r="Y139" s="1" t="s">
        <v>23</v>
      </c>
      <c r="Z139" s="1" t="s">
        <v>1014</v>
      </c>
    </row>
    <row r="140" ht="15.75" customHeight="1">
      <c r="E140" s="1" t="s">
        <v>1015</v>
      </c>
      <c r="L140" s="1">
        <v>161209.3426342857</v>
      </c>
      <c r="M140" s="1">
        <v>126019.0078</v>
      </c>
      <c r="Y140" s="1" t="s">
        <v>23</v>
      </c>
    </row>
    <row r="141" ht="15.75" customHeight="1">
      <c r="E141" s="1" t="s">
        <v>1016</v>
      </c>
      <c r="L141" s="1">
        <v>3292944.053030303</v>
      </c>
      <c r="M141" s="1">
        <v>2153501.0</v>
      </c>
      <c r="N141" s="1" t="s">
        <v>1017</v>
      </c>
      <c r="O141" s="1" t="s">
        <v>1018</v>
      </c>
      <c r="P141" s="1" t="s">
        <v>1019</v>
      </c>
      <c r="Y141" s="1" t="s">
        <v>23</v>
      </c>
    </row>
    <row r="142" ht="15.75" customHeight="1">
      <c r="E142" s="1" t="s">
        <v>1020</v>
      </c>
      <c r="L142" s="1">
        <v>789047.6335272728</v>
      </c>
      <c r="M142" s="1">
        <v>764509.0</v>
      </c>
      <c r="Y142" s="1" t="s">
        <v>23</v>
      </c>
      <c r="Z142" s="1" t="s">
        <v>1021</v>
      </c>
    </row>
    <row r="143" ht="15.75" customHeight="1">
      <c r="E143" s="1" t="s">
        <v>1022</v>
      </c>
      <c r="L143" s="1">
        <v>1.2367572830882354E7</v>
      </c>
      <c r="M143" s="1">
        <v>5205548.0</v>
      </c>
      <c r="Y143" s="1" t="s">
        <v>23</v>
      </c>
      <c r="Z143" s="1" t="s">
        <v>1023</v>
      </c>
    </row>
    <row r="144" ht="15.75" customHeight="1">
      <c r="E144" s="1" t="s">
        <v>1024</v>
      </c>
      <c r="L144" s="1">
        <v>194305.60714285713</v>
      </c>
      <c r="M144" s="1">
        <v>126317.5</v>
      </c>
      <c r="N144" s="1" t="s">
        <v>1025</v>
      </c>
      <c r="O144" s="1" t="s">
        <v>1026</v>
      </c>
      <c r="P144" s="1" t="s">
        <v>1027</v>
      </c>
      <c r="Y144" s="1" t="s">
        <v>23</v>
      </c>
    </row>
    <row r="145" ht="15.75" customHeight="1">
      <c r="E145" s="1" t="s">
        <v>1028</v>
      </c>
      <c r="L145" s="1">
        <v>8.032556880208333E7</v>
      </c>
      <c r="M145" s="1">
        <v>3.4281899E7</v>
      </c>
      <c r="N145" s="1" t="s">
        <v>1029</v>
      </c>
      <c r="O145" s="1" t="s">
        <v>1030</v>
      </c>
      <c r="P145" s="1" t="s">
        <v>1031</v>
      </c>
      <c r="Y145" s="1" t="s">
        <v>23</v>
      </c>
      <c r="Z145" s="1" t="s">
        <v>1032</v>
      </c>
    </row>
    <row r="146" ht="15.75" customHeight="1">
      <c r="E146" s="1" t="s">
        <v>1033</v>
      </c>
      <c r="L146" s="1">
        <v>1284729.455357143</v>
      </c>
      <c r="M146" s="1">
        <v>1057161.0</v>
      </c>
      <c r="N146" s="1" t="s">
        <v>1034</v>
      </c>
      <c r="O146" s="1" t="s">
        <v>1035</v>
      </c>
      <c r="P146" s="1" t="s">
        <v>1036</v>
      </c>
      <c r="Y146" s="1" t="s">
        <v>23</v>
      </c>
      <c r="Z146" s="1" t="s">
        <v>1037</v>
      </c>
    </row>
    <row r="147" ht="15.75" customHeight="1">
      <c r="E147" s="1" t="s">
        <v>1038</v>
      </c>
      <c r="L147" s="1">
        <v>1040060.61914375</v>
      </c>
      <c r="M147" s="1">
        <v>705121.0</v>
      </c>
      <c r="Y147" s="1" t="s">
        <v>23</v>
      </c>
      <c r="Z147" s="1" t="s">
        <v>795</v>
      </c>
    </row>
    <row r="148" ht="15.75" customHeight="1">
      <c r="E148" s="1" t="s">
        <v>1039</v>
      </c>
      <c r="L148" s="1">
        <v>6259057.172413793</v>
      </c>
      <c r="M148" s="1">
        <v>4212803.0</v>
      </c>
      <c r="Y148" s="1" t="s">
        <v>23</v>
      </c>
      <c r="Z148" s="1" t="s">
        <v>1040</v>
      </c>
    </row>
    <row r="149" ht="15.75" customHeight="1">
      <c r="E149" s="1" t="s">
        <v>1041</v>
      </c>
      <c r="L149" s="1">
        <v>2.762361516944444E8</v>
      </c>
      <c r="M149" s="1">
        <v>1.90552816E8</v>
      </c>
      <c r="N149" s="1" t="s">
        <v>1042</v>
      </c>
      <c r="O149" s="1" t="s">
        <v>1043</v>
      </c>
      <c r="P149" s="1" t="s">
        <v>1044</v>
      </c>
      <c r="Y149" s="1" t="s">
        <v>23</v>
      </c>
      <c r="Z149" s="1" t="s">
        <v>1045</v>
      </c>
    </row>
    <row r="150" ht="15.75" customHeight="1">
      <c r="E150" s="1" t="s">
        <v>1046</v>
      </c>
      <c r="L150" s="1">
        <v>1747395.277342857</v>
      </c>
      <c r="M150" s="1">
        <v>205849.0</v>
      </c>
      <c r="N150" s="1" t="s">
        <v>1047</v>
      </c>
      <c r="O150" s="1" t="s">
        <v>1048</v>
      </c>
      <c r="P150" s="1" t="s">
        <v>1049</v>
      </c>
      <c r="Y150" s="1" t="s">
        <v>23</v>
      </c>
      <c r="Z150" s="1" t="s">
        <v>1050</v>
      </c>
    </row>
    <row r="151" ht="15.75" customHeight="1">
      <c r="E151" s="1" t="s">
        <v>1051</v>
      </c>
      <c r="L151" s="1">
        <v>569005.2</v>
      </c>
      <c r="M151" s="1">
        <v>517561.0</v>
      </c>
      <c r="N151" s="1" t="s">
        <v>883</v>
      </c>
      <c r="O151" s="1" t="s">
        <v>1052</v>
      </c>
      <c r="P151" s="1" t="s">
        <v>1053</v>
      </c>
      <c r="Y151" s="1" t="s">
        <v>23</v>
      </c>
      <c r="Z151" s="1" t="s">
        <v>1054</v>
      </c>
    </row>
    <row r="152" ht="15.75" customHeight="1">
      <c r="E152" s="1" t="s">
        <v>1055</v>
      </c>
      <c r="L152" s="1">
        <v>3.537264711071429E7</v>
      </c>
      <c r="M152" s="1">
        <v>1.3438593E7</v>
      </c>
      <c r="N152" s="1" t="s">
        <v>883</v>
      </c>
      <c r="O152" s="1" t="s">
        <v>1056</v>
      </c>
      <c r="P152" s="1" t="s">
        <v>1057</v>
      </c>
      <c r="Y152" s="1" t="s">
        <v>23</v>
      </c>
      <c r="Z152" s="1" t="s">
        <v>1058</v>
      </c>
    </row>
    <row r="153" ht="15.75" customHeight="1">
      <c r="E153" s="1" t="s">
        <v>1059</v>
      </c>
      <c r="L153" s="1">
        <v>868144.875</v>
      </c>
      <c r="M153" s="1">
        <v>370526.0</v>
      </c>
      <c r="Y153" s="1" t="s">
        <v>23</v>
      </c>
    </row>
    <row r="154" ht="15.75" customHeight="1">
      <c r="E154" s="1" t="s">
        <v>1060</v>
      </c>
      <c r="L154" s="1">
        <v>1.1460459887155555E7</v>
      </c>
      <c r="M154" s="1">
        <v>1785586.9375</v>
      </c>
      <c r="N154" s="1" t="s">
        <v>1061</v>
      </c>
      <c r="O154" s="1" t="s">
        <v>1062</v>
      </c>
      <c r="P154" s="1" t="s">
        <v>1063</v>
      </c>
      <c r="Y154" s="1" t="s">
        <v>23</v>
      </c>
      <c r="Z154" s="1" t="s">
        <v>1064</v>
      </c>
    </row>
    <row r="155" ht="15.75" customHeight="1">
      <c r="E155" s="1" t="s">
        <v>1065</v>
      </c>
      <c r="L155" s="1">
        <v>1.4704198204861112E7</v>
      </c>
      <c r="M155" s="1">
        <v>5428311.5</v>
      </c>
      <c r="N155" s="1" t="s">
        <v>883</v>
      </c>
      <c r="O155" s="1" t="s">
        <v>1066</v>
      </c>
      <c r="P155" s="1" t="s">
        <v>1067</v>
      </c>
      <c r="Y155" s="1" t="s">
        <v>23</v>
      </c>
      <c r="Z155" s="1" t="s">
        <v>464</v>
      </c>
    </row>
    <row r="156" ht="15.75" customHeight="1">
      <c r="E156" s="1" t="s">
        <v>1068</v>
      </c>
      <c r="L156" s="1">
        <v>294984.3</v>
      </c>
      <c r="M156" s="1">
        <v>263083.0</v>
      </c>
      <c r="N156" s="1" t="s">
        <v>1069</v>
      </c>
      <c r="O156" s="1" t="s">
        <v>1070</v>
      </c>
      <c r="P156" s="1" t="s">
        <v>1071</v>
      </c>
      <c r="Y156" s="1" t="s">
        <v>23</v>
      </c>
      <c r="Z156" s="1" t="s">
        <v>1072</v>
      </c>
    </row>
    <row r="157" ht="15.75" customHeight="1">
      <c r="E157" s="1" t="s">
        <v>1073</v>
      </c>
      <c r="L157" s="1">
        <v>846062.6791321428</v>
      </c>
      <c r="M157" s="1">
        <v>402037.5</v>
      </c>
      <c r="N157" s="1" t="s">
        <v>1074</v>
      </c>
      <c r="O157" s="1" t="s">
        <v>1075</v>
      </c>
      <c r="P157" s="1" t="s">
        <v>1076</v>
      </c>
      <c r="Y157" s="1" t="s">
        <v>23</v>
      </c>
    </row>
    <row r="158" ht="15.75" customHeight="1">
      <c r="E158" s="1" t="s">
        <v>1077</v>
      </c>
      <c r="L158" s="1">
        <v>1.0798015128571428E7</v>
      </c>
      <c r="M158" s="1">
        <v>7585756.5</v>
      </c>
      <c r="N158" s="1" t="s">
        <v>1078</v>
      </c>
      <c r="O158" s="1" t="s">
        <v>1079</v>
      </c>
      <c r="P158" s="1" t="s">
        <v>1080</v>
      </c>
      <c r="Y158" s="1" t="s">
        <v>23</v>
      </c>
      <c r="Z158" s="1" t="s">
        <v>455</v>
      </c>
    </row>
    <row r="159" ht="15.75" customHeight="1">
      <c r="E159" s="1" t="s">
        <v>1081</v>
      </c>
      <c r="L159" s="1">
        <v>1.0953761659722222E7</v>
      </c>
      <c r="M159" s="1">
        <v>7040067.75</v>
      </c>
      <c r="N159" s="1" t="s">
        <v>1082</v>
      </c>
      <c r="O159" s="1" t="s">
        <v>1083</v>
      </c>
      <c r="P159" s="1" t="s">
        <v>1084</v>
      </c>
      <c r="Y159" s="1" t="s">
        <v>23</v>
      </c>
    </row>
    <row r="160" ht="15.75" customHeight="1">
      <c r="E160" s="1" t="s">
        <v>1085</v>
      </c>
      <c r="L160" s="1">
        <v>1.6819676583333332E7</v>
      </c>
      <c r="M160" s="1">
        <v>1.0709533E7</v>
      </c>
      <c r="Y160" s="1" t="s">
        <v>23</v>
      </c>
    </row>
    <row r="161" ht="15.75" customHeight="1">
      <c r="E161" s="1" t="s">
        <v>1086</v>
      </c>
      <c r="L161" s="1">
        <v>954954.6412181818</v>
      </c>
      <c r="M161" s="1">
        <v>391846.0</v>
      </c>
      <c r="N161" s="1" t="s">
        <v>1087</v>
      </c>
      <c r="O161" s="1" t="s">
        <v>1088</v>
      </c>
      <c r="P161" s="1" t="s">
        <v>1089</v>
      </c>
      <c r="Y161" s="1" t="s">
        <v>23</v>
      </c>
    </row>
    <row r="162" ht="15.75" customHeight="1">
      <c r="E162" s="1" t="s">
        <v>1090</v>
      </c>
      <c r="L162" s="1">
        <v>3.549636188194445E7</v>
      </c>
      <c r="M162" s="1">
        <v>6281785.5</v>
      </c>
      <c r="Y162" s="1" t="s">
        <v>23</v>
      </c>
      <c r="Z162" s="1" t="s">
        <v>1091</v>
      </c>
    </row>
    <row r="163" ht="15.75" customHeight="1">
      <c r="E163" s="1" t="s">
        <v>1092</v>
      </c>
      <c r="L163" s="1">
        <v>390176.6328157895</v>
      </c>
      <c r="M163" s="1">
        <v>281754.0</v>
      </c>
      <c r="N163" s="1" t="s">
        <v>1093</v>
      </c>
      <c r="O163" s="1" t="s">
        <v>1094</v>
      </c>
      <c r="P163" s="1" t="s">
        <v>1095</v>
      </c>
      <c r="Y163" s="1" t="s">
        <v>23</v>
      </c>
      <c r="Z163" s="1" t="s">
        <v>1096</v>
      </c>
    </row>
    <row r="164" ht="15.75" customHeight="1">
      <c r="E164" s="1" t="s">
        <v>1097</v>
      </c>
      <c r="L164" s="1">
        <v>4.886695569444445E7</v>
      </c>
      <c r="M164" s="1">
        <v>1.5267363E7</v>
      </c>
      <c r="N164" s="1" t="s">
        <v>953</v>
      </c>
      <c r="O164" s="1" t="s">
        <v>1098</v>
      </c>
      <c r="P164" s="1" t="s">
        <v>1099</v>
      </c>
      <c r="Y164" s="1" t="s">
        <v>23</v>
      </c>
      <c r="Z164" s="1" t="s">
        <v>1100</v>
      </c>
    </row>
    <row r="165" ht="15.75" customHeight="1">
      <c r="E165" s="1" t="s">
        <v>1101</v>
      </c>
      <c r="L165" s="1">
        <v>1090555.3540911768</v>
      </c>
      <c r="M165" s="1">
        <v>846029.0</v>
      </c>
      <c r="N165" s="1" t="s">
        <v>953</v>
      </c>
      <c r="O165" s="1" t="s">
        <v>1102</v>
      </c>
      <c r="P165" s="1" t="s">
        <v>1103</v>
      </c>
      <c r="Y165" s="1" t="s">
        <v>23</v>
      </c>
      <c r="Z165" s="1" t="s">
        <v>1104</v>
      </c>
    </row>
    <row r="166" ht="15.75" customHeight="1">
      <c r="E166" s="1" t="s">
        <v>1105</v>
      </c>
      <c r="L166" s="1">
        <v>2.0814331427083332E7</v>
      </c>
      <c r="M166" s="1">
        <v>1.2888153E7</v>
      </c>
      <c r="Y166" s="1" t="s">
        <v>23</v>
      </c>
      <c r="Z166" s="1" t="s">
        <v>1106</v>
      </c>
    </row>
    <row r="167" ht="15.75" customHeight="1">
      <c r="E167" s="1" t="s">
        <v>1107</v>
      </c>
      <c r="L167" s="1">
        <v>409699.35294117645</v>
      </c>
      <c r="M167" s="1">
        <v>119474.0</v>
      </c>
      <c r="N167" s="1" t="s">
        <v>1108</v>
      </c>
      <c r="O167" s="1" t="s">
        <v>1109</v>
      </c>
      <c r="P167" s="1" t="s">
        <v>1110</v>
      </c>
      <c r="Y167" s="1" t="s">
        <v>23</v>
      </c>
      <c r="Z167" s="1" t="s">
        <v>1111</v>
      </c>
    </row>
    <row r="168" ht="15.75" customHeight="1">
      <c r="E168" s="1" t="s">
        <v>1112</v>
      </c>
      <c r="L168" s="1">
        <v>9546737.0</v>
      </c>
      <c r="M168" s="1">
        <v>9546737.0</v>
      </c>
      <c r="N168" s="1" t="s">
        <v>1113</v>
      </c>
      <c r="O168" s="1" t="s">
        <v>1114</v>
      </c>
      <c r="P168" s="1" t="s">
        <v>1115</v>
      </c>
      <c r="Y168" s="1" t="s">
        <v>23</v>
      </c>
    </row>
    <row r="169" ht="15.75" customHeight="1">
      <c r="E169" s="1" t="s">
        <v>1116</v>
      </c>
      <c r="L169" s="1">
        <v>345665.0416703704</v>
      </c>
      <c r="M169" s="1">
        <v>320151.0</v>
      </c>
      <c r="N169" s="1" t="s">
        <v>948</v>
      </c>
      <c r="O169" s="1" t="s">
        <v>1117</v>
      </c>
      <c r="P169" s="1" t="s">
        <v>1118</v>
      </c>
      <c r="Y169" s="1" t="s">
        <v>23</v>
      </c>
    </row>
    <row r="170" ht="15.75" customHeight="1">
      <c r="E170" s="1" t="s">
        <v>1119</v>
      </c>
      <c r="L170" s="1">
        <v>1563933.5625</v>
      </c>
      <c r="M170" s="1">
        <v>1017968.5</v>
      </c>
      <c r="N170" s="1" t="s">
        <v>966</v>
      </c>
      <c r="O170" s="1" t="s">
        <v>1120</v>
      </c>
      <c r="P170" s="1" t="s">
        <v>1121</v>
      </c>
      <c r="Y170" s="1" t="s">
        <v>23</v>
      </c>
      <c r="Z170" s="1" t="s">
        <v>1122</v>
      </c>
    </row>
    <row r="171" ht="15.75" customHeight="1">
      <c r="E171" s="1" t="s">
        <v>1123</v>
      </c>
      <c r="L171" s="1">
        <v>1323689.3038222222</v>
      </c>
      <c r="M171" s="1">
        <v>603650.0</v>
      </c>
      <c r="N171" s="1" t="s">
        <v>1124</v>
      </c>
      <c r="O171" s="1" t="s">
        <v>1125</v>
      </c>
      <c r="P171" s="1" t="s">
        <v>1126</v>
      </c>
      <c r="Y171" s="1" t="s">
        <v>23</v>
      </c>
      <c r="Z171" s="1" t="s">
        <v>1127</v>
      </c>
    </row>
    <row r="172" ht="15.75" customHeight="1">
      <c r="E172" s="1" t="s">
        <v>1128</v>
      </c>
      <c r="L172" s="1">
        <v>2213904.0110294116</v>
      </c>
      <c r="M172" s="1">
        <v>951706.5</v>
      </c>
      <c r="N172" s="1" t="s">
        <v>981</v>
      </c>
      <c r="O172" s="1" t="s">
        <v>1129</v>
      </c>
      <c r="P172" s="1" t="s">
        <v>1130</v>
      </c>
      <c r="Y172" s="1" t="s">
        <v>23</v>
      </c>
    </row>
    <row r="173" ht="15.75" customHeight="1">
      <c r="E173" s="1" t="s">
        <v>1131</v>
      </c>
      <c r="L173" s="1">
        <v>227068.10403157893</v>
      </c>
      <c r="M173" s="1">
        <v>177132.0</v>
      </c>
      <c r="N173" s="1" t="s">
        <v>1132</v>
      </c>
      <c r="O173" s="1" t="s">
        <v>1133</v>
      </c>
      <c r="P173" s="1" t="s">
        <v>1134</v>
      </c>
      <c r="Y173" s="1" t="s">
        <v>23</v>
      </c>
      <c r="Z173" s="1" t="s">
        <v>1135</v>
      </c>
    </row>
    <row r="174" ht="15.75" customHeight="1">
      <c r="E174" s="1" t="s">
        <v>1136</v>
      </c>
      <c r="L174" s="1">
        <v>2425233.6367194448</v>
      </c>
      <c r="M174" s="1">
        <v>938060.59375</v>
      </c>
      <c r="Y174" s="1" t="s">
        <v>23</v>
      </c>
    </row>
    <row r="175" ht="15.75" customHeight="1">
      <c r="E175" s="1" t="s">
        <v>1137</v>
      </c>
      <c r="L175" s="1">
        <v>1.5191281767578125E7</v>
      </c>
      <c r="M175" s="1">
        <v>3053710.625</v>
      </c>
      <c r="N175" s="1" t="s">
        <v>994</v>
      </c>
      <c r="O175" s="1" t="s">
        <v>1138</v>
      </c>
      <c r="P175" s="1" t="s">
        <v>1139</v>
      </c>
      <c r="Y175" s="1" t="s">
        <v>23</v>
      </c>
      <c r="Z175" s="1" t="s">
        <v>1140</v>
      </c>
    </row>
    <row r="176" ht="15.75" customHeight="1">
      <c r="E176" s="1" t="s">
        <v>1141</v>
      </c>
      <c r="L176" s="1">
        <v>1824110.8705357143</v>
      </c>
      <c r="M176" s="1">
        <v>1387451.0</v>
      </c>
      <c r="N176" s="1" t="s">
        <v>999</v>
      </c>
      <c r="O176" s="1" t="s">
        <v>1142</v>
      </c>
      <c r="P176" s="1" t="s">
        <v>1143</v>
      </c>
      <c r="Y176" s="1" t="s">
        <v>23</v>
      </c>
      <c r="Z176" s="1" t="s">
        <v>459</v>
      </c>
    </row>
    <row r="177" ht="15.75" customHeight="1">
      <c r="E177" s="1" t="s">
        <v>1144</v>
      </c>
      <c r="L177" s="1">
        <v>1.1855763548076924E7</v>
      </c>
      <c r="M177" s="1">
        <v>2356175.0</v>
      </c>
      <c r="N177" s="1" t="s">
        <v>1145</v>
      </c>
      <c r="O177" s="1" t="s">
        <v>1146</v>
      </c>
      <c r="P177" s="1" t="s">
        <v>1147</v>
      </c>
      <c r="Y177" s="1" t="s">
        <v>23</v>
      </c>
      <c r="Z177" s="1" t="s">
        <v>1148</v>
      </c>
    </row>
    <row r="178" ht="15.75" customHeight="1">
      <c r="E178" s="1" t="s">
        <v>1149</v>
      </c>
      <c r="L178" s="1">
        <v>700543.8</v>
      </c>
      <c r="M178" s="1">
        <v>94554.0</v>
      </c>
      <c r="N178" s="1" t="s">
        <v>1150</v>
      </c>
      <c r="O178" s="1" t="s">
        <v>1151</v>
      </c>
      <c r="P178" s="1" t="s">
        <v>1152</v>
      </c>
      <c r="Y178" s="1" t="s">
        <v>23</v>
      </c>
    </row>
    <row r="179" ht="15.75" customHeight="1">
      <c r="E179" s="1" t="s">
        <v>1153</v>
      </c>
      <c r="L179" s="1">
        <v>451433.83160000003</v>
      </c>
      <c r="M179" s="1">
        <v>412519.0</v>
      </c>
      <c r="N179" s="1" t="s">
        <v>1154</v>
      </c>
      <c r="O179" s="1" t="s">
        <v>1155</v>
      </c>
      <c r="P179" s="1" t="s">
        <v>1156</v>
      </c>
      <c r="Y179" s="1" t="s">
        <v>23</v>
      </c>
      <c r="Z179" s="1" t="s">
        <v>1157</v>
      </c>
    </row>
    <row r="180" ht="15.75" customHeight="1">
      <c r="E180" s="1" t="s">
        <v>1158</v>
      </c>
      <c r="L180" s="1">
        <v>2275590.50156</v>
      </c>
      <c r="M180" s="1">
        <v>130745.0</v>
      </c>
      <c r="N180" s="1" t="s">
        <v>1159</v>
      </c>
      <c r="O180" s="1" t="s">
        <v>1160</v>
      </c>
      <c r="P180" s="1" t="s">
        <v>1161</v>
      </c>
      <c r="Y180" s="1" t="s">
        <v>23</v>
      </c>
    </row>
    <row r="181" ht="15.75" customHeight="1">
      <c r="E181" s="1" t="s">
        <v>1162</v>
      </c>
      <c r="L181" s="1">
        <v>1077894.313448485</v>
      </c>
      <c r="M181" s="1">
        <v>401520.0</v>
      </c>
      <c r="N181" s="1" t="s">
        <v>679</v>
      </c>
      <c r="O181" s="1" t="s">
        <v>1163</v>
      </c>
      <c r="P181" s="1" t="s">
        <v>1164</v>
      </c>
      <c r="Y181" s="1" t="s">
        <v>23</v>
      </c>
    </row>
    <row r="182" ht="15.75" customHeight="1">
      <c r="E182" s="1" t="s">
        <v>1165</v>
      </c>
      <c r="L182" s="1">
        <v>645974.3042583334</v>
      </c>
      <c r="M182" s="1">
        <v>572456.0</v>
      </c>
      <c r="N182" s="1" t="s">
        <v>1166</v>
      </c>
      <c r="O182" s="1" t="s">
        <v>1167</v>
      </c>
      <c r="P182" s="1" t="s">
        <v>1168</v>
      </c>
      <c r="Y182" s="1" t="s">
        <v>23</v>
      </c>
      <c r="Z182" s="1" t="s">
        <v>1169</v>
      </c>
    </row>
    <row r="183" ht="15.75" customHeight="1">
      <c r="E183" s="1" t="s">
        <v>1170</v>
      </c>
      <c r="L183" s="1">
        <v>1.0525731506944444E7</v>
      </c>
      <c r="M183" s="1">
        <v>5780632.5</v>
      </c>
      <c r="Y183" s="1" t="s">
        <v>23</v>
      </c>
      <c r="Z183" s="1" t="s">
        <v>1171</v>
      </c>
    </row>
    <row r="184" ht="15.75" customHeight="1">
      <c r="E184" s="1" t="s">
        <v>1172</v>
      </c>
      <c r="L184" s="1">
        <v>3404817.13895</v>
      </c>
      <c r="M184" s="1">
        <v>233339.0</v>
      </c>
      <c r="N184" s="1" t="s">
        <v>1173</v>
      </c>
      <c r="O184" s="1" t="s">
        <v>1174</v>
      </c>
      <c r="P184" s="1" t="s">
        <v>1175</v>
      </c>
      <c r="Y184" s="1" t="s">
        <v>23</v>
      </c>
      <c r="Z184" s="1" t="s">
        <v>1176</v>
      </c>
    </row>
    <row r="185" ht="15.75" customHeight="1">
      <c r="E185" s="1" t="s">
        <v>1177</v>
      </c>
      <c r="L185" s="1">
        <v>9314438.318181818</v>
      </c>
      <c r="M185" s="1">
        <v>7699956.0</v>
      </c>
      <c r="N185" s="1" t="s">
        <v>1178</v>
      </c>
      <c r="O185" s="1" t="s">
        <v>1179</v>
      </c>
      <c r="P185" s="1" t="s">
        <v>1180</v>
      </c>
      <c r="Y185" s="1" t="s">
        <v>23</v>
      </c>
      <c r="Z185" s="1" t="s">
        <v>1181</v>
      </c>
    </row>
    <row r="186" ht="15.75" customHeight="1">
      <c r="E186" s="1" t="s">
        <v>1182</v>
      </c>
      <c r="L186" s="1">
        <v>8709161.390625</v>
      </c>
      <c r="M186" s="1">
        <v>3540945.0</v>
      </c>
      <c r="N186" s="1" t="s">
        <v>1183</v>
      </c>
      <c r="O186" s="1" t="s">
        <v>1184</v>
      </c>
      <c r="P186" s="1" t="s">
        <v>1185</v>
      </c>
      <c r="Y186" s="1" t="s">
        <v>23</v>
      </c>
      <c r="Z186" s="1" t="s">
        <v>1186</v>
      </c>
    </row>
    <row r="187" ht="15.75" customHeight="1">
      <c r="E187" s="1" t="s">
        <v>1187</v>
      </c>
      <c r="L187" s="1">
        <v>5067552.520833333</v>
      </c>
      <c r="M187" s="1">
        <v>2503229.5</v>
      </c>
      <c r="N187" s="1" t="s">
        <v>1188</v>
      </c>
      <c r="O187" s="1" t="s">
        <v>1189</v>
      </c>
      <c r="P187" s="1" t="s">
        <v>1190</v>
      </c>
      <c r="Y187" s="1" t="s">
        <v>23</v>
      </c>
      <c r="Z187" s="1" t="s">
        <v>1191</v>
      </c>
    </row>
    <row r="188" ht="15.75" customHeight="1">
      <c r="E188" s="1" t="s">
        <v>1192</v>
      </c>
      <c r="L188" s="1">
        <v>983068.0355121213</v>
      </c>
      <c r="M188" s="1">
        <v>592399.0</v>
      </c>
      <c r="Y188" s="1" t="s">
        <v>23</v>
      </c>
      <c r="Z188" s="1" t="s">
        <v>1193</v>
      </c>
    </row>
    <row r="189" ht="15.75" customHeight="1">
      <c r="E189" s="1" t="s">
        <v>1194</v>
      </c>
      <c r="L189" s="1">
        <v>1468790.392464706</v>
      </c>
      <c r="M189" s="1">
        <v>804452.0</v>
      </c>
      <c r="N189" s="1" t="s">
        <v>1195</v>
      </c>
      <c r="O189" s="1" t="s">
        <v>1196</v>
      </c>
      <c r="P189" s="1" t="s">
        <v>1197</v>
      </c>
      <c r="Y189" s="1" t="s">
        <v>23</v>
      </c>
      <c r="Z189" s="1" t="s">
        <v>1198</v>
      </c>
    </row>
    <row r="190" ht="15.75" customHeight="1">
      <c r="E190" s="1" t="s">
        <v>1199</v>
      </c>
      <c r="L190" s="1">
        <v>1279544.828682857</v>
      </c>
      <c r="M190" s="1">
        <v>796343.0</v>
      </c>
      <c r="N190" s="1" t="s">
        <v>761</v>
      </c>
      <c r="O190" s="1" t="s">
        <v>1200</v>
      </c>
      <c r="P190" s="1" t="s">
        <v>1201</v>
      </c>
      <c r="Y190" s="1" t="s">
        <v>23</v>
      </c>
      <c r="Z190" s="1" t="s">
        <v>1202</v>
      </c>
    </row>
    <row r="191" ht="15.75" customHeight="1">
      <c r="E191" s="1" t="s">
        <v>1203</v>
      </c>
      <c r="L191" s="1">
        <v>5.120294263214286E7</v>
      </c>
      <c r="M191" s="1">
        <v>1.3862319E7</v>
      </c>
      <c r="Y191" s="1" t="s">
        <v>23</v>
      </c>
      <c r="Z191" s="1" t="s">
        <v>1204</v>
      </c>
    </row>
    <row r="192" ht="15.75" customHeight="1">
      <c r="E192" s="1" t="s">
        <v>1205</v>
      </c>
      <c r="L192" s="1">
        <v>261488.42857142858</v>
      </c>
      <c r="M192" s="1">
        <v>232856.0</v>
      </c>
      <c r="N192" s="1" t="s">
        <v>1206</v>
      </c>
      <c r="O192" s="1" t="s">
        <v>1207</v>
      </c>
      <c r="P192" s="1" t="s">
        <v>1208</v>
      </c>
      <c r="Y192" s="1" t="s">
        <v>23</v>
      </c>
      <c r="Z192" s="1" t="s">
        <v>1209</v>
      </c>
    </row>
    <row r="193" ht="15.75" customHeight="1">
      <c r="E193" s="1" t="s">
        <v>1210</v>
      </c>
      <c r="L193" s="1">
        <v>2974367.8680555555</v>
      </c>
      <c r="M193" s="1">
        <v>1731510.5</v>
      </c>
      <c r="N193" s="1" t="s">
        <v>1211</v>
      </c>
      <c r="O193" s="1" t="s">
        <v>1212</v>
      </c>
      <c r="P193" s="1" t="s">
        <v>1213</v>
      </c>
      <c r="Y193" s="1" t="s">
        <v>23</v>
      </c>
      <c r="Z193" s="1" t="s">
        <v>1214</v>
      </c>
    </row>
    <row r="194" ht="15.75" customHeight="1">
      <c r="E194" s="1" t="s">
        <v>1215</v>
      </c>
      <c r="L194" s="1">
        <v>8585755.125</v>
      </c>
      <c r="M194" s="1">
        <v>6757861.0</v>
      </c>
      <c r="N194" s="1" t="s">
        <v>1216</v>
      </c>
      <c r="O194" s="1" t="s">
        <v>1217</v>
      </c>
      <c r="P194" s="1" t="s">
        <v>1218</v>
      </c>
      <c r="Y194" s="1" t="s">
        <v>23</v>
      </c>
      <c r="Z194" s="1" t="s">
        <v>1219</v>
      </c>
    </row>
    <row r="195" ht="15.75" customHeight="1">
      <c r="E195" s="1" t="s">
        <v>1220</v>
      </c>
      <c r="L195" s="1">
        <v>244333.0719037037</v>
      </c>
      <c r="M195" s="1">
        <v>164424.0</v>
      </c>
      <c r="N195" s="1" t="s">
        <v>1221</v>
      </c>
      <c r="O195" s="1" t="s">
        <v>1222</v>
      </c>
      <c r="P195" s="1" t="s">
        <v>1223</v>
      </c>
      <c r="Y195" s="1" t="s">
        <v>23</v>
      </c>
    </row>
    <row r="196" ht="15.75" customHeight="1">
      <c r="E196" s="1" t="s">
        <v>1224</v>
      </c>
      <c r="L196" s="1">
        <v>2610345.2712694444</v>
      </c>
      <c r="M196" s="1">
        <v>1195199.5</v>
      </c>
      <c r="N196" s="1" t="s">
        <v>1225</v>
      </c>
      <c r="O196" s="1" t="s">
        <v>1226</v>
      </c>
      <c r="P196" s="1" t="s">
        <v>1227</v>
      </c>
      <c r="Y196" s="1" t="s">
        <v>23</v>
      </c>
      <c r="Z196" s="1" t="s">
        <v>1228</v>
      </c>
    </row>
    <row r="197" ht="15.75" customHeight="1">
      <c r="E197" s="1" t="s">
        <v>1229</v>
      </c>
      <c r="L197" s="1">
        <v>8309327.418402778</v>
      </c>
      <c r="M197" s="1">
        <v>2939812.0</v>
      </c>
      <c r="N197" s="1" t="s">
        <v>1230</v>
      </c>
      <c r="O197" s="1" t="s">
        <v>1231</v>
      </c>
      <c r="P197" s="1" t="s">
        <v>1232</v>
      </c>
      <c r="Y197" s="1" t="s">
        <v>23</v>
      </c>
      <c r="Z197" s="1" t="s">
        <v>1233</v>
      </c>
    </row>
    <row r="198" ht="15.75" customHeight="1">
      <c r="E198" s="1" t="s">
        <v>1234</v>
      </c>
      <c r="L198" s="1">
        <v>2019917.4696194446</v>
      </c>
      <c r="M198" s="1">
        <v>1809241.0625</v>
      </c>
      <c r="N198" s="1" t="s">
        <v>1235</v>
      </c>
      <c r="O198" s="1" t="s">
        <v>1236</v>
      </c>
      <c r="P198" s="1" t="s">
        <v>1237</v>
      </c>
      <c r="Y198" s="1" t="s">
        <v>23</v>
      </c>
      <c r="Z198" s="1" t="s">
        <v>1238</v>
      </c>
    </row>
    <row r="199" ht="15.75" customHeight="1">
      <c r="E199" s="1" t="s">
        <v>1239</v>
      </c>
      <c r="L199" s="1">
        <v>5035402.55625</v>
      </c>
      <c r="M199" s="1">
        <v>2379442.5</v>
      </c>
      <c r="N199" s="1" t="s">
        <v>1240</v>
      </c>
      <c r="O199" s="1" t="s">
        <v>1241</v>
      </c>
      <c r="P199" s="1" t="s">
        <v>1242</v>
      </c>
      <c r="Y199" s="1" t="s">
        <v>23</v>
      </c>
      <c r="Z199" s="1" t="s">
        <v>332</v>
      </c>
    </row>
    <row r="200" ht="15.75" customHeight="1">
      <c r="E200" s="1" t="s">
        <v>1243</v>
      </c>
      <c r="L200" s="1">
        <v>8211804.571428572</v>
      </c>
      <c r="M200" s="1">
        <v>1080010.0</v>
      </c>
      <c r="Y200" s="1" t="s">
        <v>23</v>
      </c>
      <c r="Z200" s="1" t="s">
        <v>1244</v>
      </c>
    </row>
    <row r="201" ht="15.75" customHeight="1">
      <c r="E201" s="1" t="s">
        <v>1245</v>
      </c>
      <c r="L201" s="1">
        <v>520457.6068878788</v>
      </c>
      <c r="M201" s="1">
        <v>302389.0</v>
      </c>
      <c r="N201" s="1" t="s">
        <v>1108</v>
      </c>
      <c r="O201" s="1" t="s">
        <v>1246</v>
      </c>
      <c r="P201" s="1" t="s">
        <v>1247</v>
      </c>
      <c r="Y201" s="1" t="s">
        <v>23</v>
      </c>
      <c r="Z201" s="1" t="s">
        <v>1248</v>
      </c>
    </row>
    <row r="202" ht="15.75" customHeight="1">
      <c r="E202" s="1" t="s">
        <v>1249</v>
      </c>
      <c r="L202" s="1">
        <v>6684691.55</v>
      </c>
      <c r="M202" s="1">
        <v>2688909.0</v>
      </c>
      <c r="N202" s="1" t="s">
        <v>1113</v>
      </c>
      <c r="O202" s="1" t="s">
        <v>1250</v>
      </c>
      <c r="P202" s="1" t="s">
        <v>1251</v>
      </c>
      <c r="Y202" s="1" t="s">
        <v>23</v>
      </c>
    </row>
    <row r="203" ht="15.75" customHeight="1">
      <c r="E203" s="1" t="s">
        <v>1252</v>
      </c>
      <c r="L203" s="1">
        <v>751268.75</v>
      </c>
      <c r="M203" s="1">
        <v>322098.5</v>
      </c>
      <c r="N203" s="1" t="s">
        <v>1253</v>
      </c>
      <c r="O203" s="1" t="s">
        <v>1254</v>
      </c>
      <c r="P203" s="1" t="s">
        <v>1255</v>
      </c>
      <c r="Y203" s="1" t="s">
        <v>23</v>
      </c>
      <c r="Z203" s="1" t="s">
        <v>1256</v>
      </c>
    </row>
    <row r="204" ht="15.75" customHeight="1">
      <c r="E204" s="1" t="s">
        <v>1257</v>
      </c>
      <c r="L204" s="1">
        <v>1.0646619566405555E7</v>
      </c>
      <c r="M204" s="1">
        <v>3073358.5</v>
      </c>
      <c r="N204" s="1" t="s">
        <v>999</v>
      </c>
      <c r="O204" s="1" t="s">
        <v>1258</v>
      </c>
      <c r="P204" s="1" t="s">
        <v>1259</v>
      </c>
      <c r="Y204" s="1" t="s">
        <v>23</v>
      </c>
      <c r="Z204" s="1" t="s">
        <v>336</v>
      </c>
    </row>
    <row r="205" ht="15.75" customHeight="1">
      <c r="E205" s="1" t="s">
        <v>1260</v>
      </c>
      <c r="L205" s="1">
        <v>1110471.2607</v>
      </c>
      <c r="M205" s="1">
        <v>282538.0</v>
      </c>
      <c r="Y205" s="1" t="s">
        <v>23</v>
      </c>
    </row>
    <row r="206" ht="15.75" customHeight="1">
      <c r="E206" s="1" t="s">
        <v>1261</v>
      </c>
      <c r="L206" s="1">
        <v>237982.0631125</v>
      </c>
      <c r="M206" s="1">
        <v>127413.99609999999</v>
      </c>
      <c r="N206" s="1" t="s">
        <v>1262</v>
      </c>
      <c r="O206" s="1" t="s">
        <v>1263</v>
      </c>
      <c r="P206" s="1" t="s">
        <v>1264</v>
      </c>
      <c r="Y206" s="1" t="s">
        <v>23</v>
      </c>
    </row>
    <row r="207" ht="15.75" customHeight="1">
      <c r="E207" s="1" t="s">
        <v>1265</v>
      </c>
      <c r="L207" s="1">
        <v>514363.46714411763</v>
      </c>
      <c r="M207" s="1">
        <v>339619.5</v>
      </c>
      <c r="N207" s="1" t="s">
        <v>1266</v>
      </c>
      <c r="O207" s="1" t="s">
        <v>1267</v>
      </c>
      <c r="P207" s="1" t="s">
        <v>1268</v>
      </c>
      <c r="Y207" s="1" t="s">
        <v>23</v>
      </c>
      <c r="Z207" s="1" t="s">
        <v>1269</v>
      </c>
    </row>
    <row r="208" ht="15.75" customHeight="1">
      <c r="E208" s="1" t="s">
        <v>1270</v>
      </c>
      <c r="L208" s="1">
        <v>1807885.1714285715</v>
      </c>
      <c r="M208" s="1">
        <v>978940.0</v>
      </c>
      <c r="N208" s="1" t="s">
        <v>1271</v>
      </c>
      <c r="O208" s="1" t="s">
        <v>1272</v>
      </c>
      <c r="P208" s="1" t="s">
        <v>1273</v>
      </c>
      <c r="Y208" s="1" t="s">
        <v>23</v>
      </c>
      <c r="Z208" s="1" t="s">
        <v>1274</v>
      </c>
    </row>
    <row r="209" ht="15.75" customHeight="1">
      <c r="E209" s="1" t="s">
        <v>1275</v>
      </c>
      <c r="L209" s="1">
        <v>7377893.315972222</v>
      </c>
      <c r="M209" s="1">
        <v>4327495.0</v>
      </c>
      <c r="N209" s="1" t="s">
        <v>1188</v>
      </c>
      <c r="O209" s="1" t="s">
        <v>1276</v>
      </c>
      <c r="P209" s="1" t="s">
        <v>1277</v>
      </c>
      <c r="Y209" s="1" t="s">
        <v>23</v>
      </c>
      <c r="Z209" s="1" t="s">
        <v>1278</v>
      </c>
    </row>
    <row r="210" ht="15.75" customHeight="1">
      <c r="E210" s="1" t="s">
        <v>1279</v>
      </c>
      <c r="L210" s="1">
        <v>255108.33311666668</v>
      </c>
      <c r="M210" s="1">
        <v>67254.0</v>
      </c>
      <c r="Y210" s="1" t="s">
        <v>23</v>
      </c>
    </row>
    <row r="211" ht="15.75" customHeight="1">
      <c r="E211" s="1" t="s">
        <v>1280</v>
      </c>
      <c r="L211" s="1">
        <v>187768.59317037035</v>
      </c>
      <c r="M211" s="1">
        <v>91527.0</v>
      </c>
      <c r="N211" s="1" t="s">
        <v>1281</v>
      </c>
      <c r="O211" s="1" t="s">
        <v>1282</v>
      </c>
      <c r="P211" s="1" t="s">
        <v>1283</v>
      </c>
      <c r="Y211" s="1" t="s">
        <v>23</v>
      </c>
      <c r="Z211" s="1" t="s">
        <v>1284</v>
      </c>
    </row>
    <row r="212" ht="15.75" customHeight="1">
      <c r="E212" s="1" t="s">
        <v>1285</v>
      </c>
      <c r="L212" s="1">
        <v>2869088.2256944445</v>
      </c>
      <c r="M212" s="1">
        <v>1957573.125</v>
      </c>
      <c r="Y212" s="1" t="s">
        <v>23</v>
      </c>
    </row>
    <row r="213" ht="15.75" customHeight="1">
      <c r="E213" s="1" t="s">
        <v>1286</v>
      </c>
      <c r="L213" s="1">
        <v>989753.3333333334</v>
      </c>
      <c r="M213" s="1">
        <v>1359814.0</v>
      </c>
      <c r="N213" s="1" t="s">
        <v>1287</v>
      </c>
      <c r="O213" s="1" t="s">
        <v>1288</v>
      </c>
      <c r="P213" s="1" t="s">
        <v>1289</v>
      </c>
      <c r="Y213" s="1" t="s">
        <v>23</v>
      </c>
    </row>
    <row r="214" ht="15.75" customHeight="1">
      <c r="E214" s="1" t="s">
        <v>1290</v>
      </c>
      <c r="L214" s="1">
        <v>1668468.7241379311</v>
      </c>
      <c r="M214" s="1">
        <v>1053722.0</v>
      </c>
      <c r="N214" s="1" t="s">
        <v>1291</v>
      </c>
      <c r="O214" s="1" t="s">
        <v>1292</v>
      </c>
      <c r="P214" s="1" t="s">
        <v>1293</v>
      </c>
      <c r="Y214" s="1" t="s">
        <v>23</v>
      </c>
    </row>
    <row r="215" ht="15.75" customHeight="1">
      <c r="E215" s="1" t="s">
        <v>1294</v>
      </c>
      <c r="L215" s="1">
        <v>341583.64062857145</v>
      </c>
      <c r="M215" s="1">
        <v>296981.98439999996</v>
      </c>
      <c r="N215" s="1" t="s">
        <v>1295</v>
      </c>
      <c r="O215" s="1" t="s">
        <v>1296</v>
      </c>
      <c r="P215" s="1" t="s">
        <v>1297</v>
      </c>
      <c r="Y215" s="1" t="s">
        <v>23</v>
      </c>
    </row>
    <row r="216" ht="15.75" customHeight="1">
      <c r="E216" s="1" t="s">
        <v>1298</v>
      </c>
      <c r="L216" s="1">
        <v>823741.9990545455</v>
      </c>
      <c r="M216" s="1">
        <v>771456.0</v>
      </c>
      <c r="N216" s="1" t="s">
        <v>1299</v>
      </c>
      <c r="O216" s="1" t="s">
        <v>1300</v>
      </c>
      <c r="P216" s="1" t="s">
        <v>1301</v>
      </c>
      <c r="Y216" s="1" t="s">
        <v>23</v>
      </c>
      <c r="Z216" s="1" t="s">
        <v>1302</v>
      </c>
    </row>
    <row r="217" ht="15.75" customHeight="1">
      <c r="E217" s="1" t="s">
        <v>1303</v>
      </c>
      <c r="L217" s="1">
        <v>640152.8128</v>
      </c>
      <c r="M217" s="1">
        <v>437942.5</v>
      </c>
      <c r="N217" s="1" t="s">
        <v>1304</v>
      </c>
      <c r="O217" s="1" t="s">
        <v>1305</v>
      </c>
      <c r="P217" s="1" t="s">
        <v>1306</v>
      </c>
      <c r="Y217" s="1" t="s">
        <v>23</v>
      </c>
      <c r="Z217" s="1" t="s">
        <v>1307</v>
      </c>
    </row>
    <row r="218" ht="15.75" customHeight="1">
      <c r="E218" s="1" t="s">
        <v>1308</v>
      </c>
      <c r="L218" s="1">
        <v>516939.950005</v>
      </c>
      <c r="M218" s="1">
        <v>288215.5</v>
      </c>
      <c r="N218" s="1" t="s">
        <v>1309</v>
      </c>
      <c r="O218" s="1" t="s">
        <v>1310</v>
      </c>
      <c r="P218" s="1" t="s">
        <v>1311</v>
      </c>
      <c r="Y218" s="1" t="s">
        <v>23</v>
      </c>
      <c r="Z218" s="1" t="s">
        <v>1312</v>
      </c>
    </row>
    <row r="219" ht="15.75" customHeight="1">
      <c r="E219" s="1" t="s">
        <v>1313</v>
      </c>
      <c r="L219" s="1">
        <v>1674905.6950757576</v>
      </c>
      <c r="M219" s="1">
        <v>1215460.0</v>
      </c>
      <c r="N219" s="1" t="s">
        <v>1314</v>
      </c>
      <c r="O219" s="1" t="s">
        <v>1315</v>
      </c>
      <c r="P219" s="1" t="s">
        <v>1316</v>
      </c>
      <c r="Y219" s="1" t="s">
        <v>23</v>
      </c>
    </row>
    <row r="220" ht="15.75" customHeight="1">
      <c r="E220" s="1" t="s">
        <v>1317</v>
      </c>
      <c r="L220" s="1">
        <v>1.4150387722222222E7</v>
      </c>
      <c r="M220" s="1">
        <v>6909465.5</v>
      </c>
      <c r="Y220" s="1" t="s">
        <v>23</v>
      </c>
    </row>
    <row r="221" ht="15.75" customHeight="1">
      <c r="E221" s="1" t="s">
        <v>1318</v>
      </c>
      <c r="L221" s="1">
        <v>6204778.714285715</v>
      </c>
      <c r="M221" s="1">
        <v>1892504.0</v>
      </c>
      <c r="Y221" s="1" t="s">
        <v>23</v>
      </c>
    </row>
    <row r="222" ht="15.75" customHeight="1">
      <c r="E222" s="1" t="s">
        <v>1319</v>
      </c>
      <c r="L222" s="1">
        <v>3130905.7171914284</v>
      </c>
      <c r="M222" s="1">
        <v>1344604.0</v>
      </c>
      <c r="Y222" s="1" t="s">
        <v>23</v>
      </c>
    </row>
    <row r="223" ht="15.75" customHeight="1">
      <c r="E223" s="1" t="s">
        <v>1320</v>
      </c>
      <c r="L223" s="1">
        <v>1905868.5717999998</v>
      </c>
      <c r="M223" s="1">
        <v>425713.0</v>
      </c>
      <c r="Y223" s="1" t="s">
        <v>23</v>
      </c>
    </row>
    <row r="224" ht="15.75" customHeight="1">
      <c r="E224" s="1" t="s">
        <v>1321</v>
      </c>
      <c r="L224" s="1">
        <v>1543257.4492199998</v>
      </c>
      <c r="M224" s="1">
        <v>412527.0</v>
      </c>
      <c r="Y224" s="1" t="s">
        <v>23</v>
      </c>
    </row>
    <row r="225" ht="15.75" customHeight="1">
      <c r="E225" s="1" t="s">
        <v>1322</v>
      </c>
      <c r="L225" s="1">
        <v>152421.76311904765</v>
      </c>
      <c r="M225" s="1">
        <v>92811.0</v>
      </c>
      <c r="Y225" s="1" t="s">
        <v>23</v>
      </c>
    </row>
    <row r="226" ht="15.75" customHeight="1">
      <c r="E226" s="1" t="s">
        <v>1323</v>
      </c>
      <c r="L226" s="1">
        <v>4.270675912777778E8</v>
      </c>
      <c r="M226" s="1">
        <v>3.43154608E8</v>
      </c>
      <c r="N226" s="1" t="s">
        <v>1324</v>
      </c>
      <c r="O226" s="1" t="s">
        <v>1325</v>
      </c>
      <c r="P226" s="1" t="s">
        <v>1326</v>
      </c>
      <c r="Y226" s="1" t="s">
        <v>23</v>
      </c>
      <c r="Z226" s="1" t="s">
        <v>1327</v>
      </c>
    </row>
    <row r="227" ht="15.75" customHeight="1">
      <c r="E227" s="1" t="s">
        <v>1328</v>
      </c>
      <c r="L227" s="1">
        <v>2479232.606772222</v>
      </c>
      <c r="M227" s="1">
        <v>1506631.5</v>
      </c>
      <c r="Y227" s="1" t="s">
        <v>23</v>
      </c>
      <c r="Z227" s="1" t="s">
        <v>1329</v>
      </c>
    </row>
    <row r="228" ht="15.75" customHeight="1">
      <c r="E228" s="1" t="s">
        <v>1330</v>
      </c>
      <c r="L228" s="1">
        <v>1016771.0</v>
      </c>
      <c r="M228" s="1">
        <v>162401.0</v>
      </c>
      <c r="Y228" s="1" t="s">
        <v>23</v>
      </c>
    </row>
    <row r="229" ht="15.75" customHeight="1">
      <c r="E229" s="1" t="s">
        <v>1331</v>
      </c>
      <c r="L229" s="1">
        <v>271737.0373892857</v>
      </c>
      <c r="M229" s="1">
        <v>218672.5</v>
      </c>
      <c r="Y229" s="1" t="s">
        <v>23</v>
      </c>
      <c r="Z229" s="1" t="s">
        <v>1332</v>
      </c>
    </row>
    <row r="230" ht="15.75" customHeight="1">
      <c r="E230" s="1" t="s">
        <v>1333</v>
      </c>
      <c r="L230" s="1">
        <v>764849.2962962963</v>
      </c>
      <c r="M230" s="1">
        <v>447105.0</v>
      </c>
      <c r="N230" s="1" t="s">
        <v>948</v>
      </c>
      <c r="O230" s="1" t="s">
        <v>1334</v>
      </c>
      <c r="P230" s="1" t="s">
        <v>1335</v>
      </c>
      <c r="Y230" s="1" t="s">
        <v>23</v>
      </c>
      <c r="Z230" s="1" t="s">
        <v>1336</v>
      </c>
    </row>
    <row r="231" ht="15.75" customHeight="1">
      <c r="E231" s="1" t="s">
        <v>1337</v>
      </c>
      <c r="L231" s="1">
        <v>287434.63333333336</v>
      </c>
      <c r="M231" s="1">
        <v>293080.5</v>
      </c>
      <c r="N231" s="1" t="s">
        <v>1029</v>
      </c>
      <c r="O231" s="1" t="s">
        <v>1338</v>
      </c>
      <c r="P231" s="1" t="s">
        <v>1339</v>
      </c>
      <c r="Y231" s="1" t="s">
        <v>23</v>
      </c>
      <c r="Z231" s="1" t="s">
        <v>348</v>
      </c>
    </row>
    <row r="232" ht="15.75" customHeight="1">
      <c r="E232" s="1" t="s">
        <v>1340</v>
      </c>
      <c r="L232" s="1">
        <v>1859453.2357142856</v>
      </c>
      <c r="M232" s="1">
        <v>1358864.0</v>
      </c>
      <c r="N232" s="1" t="s">
        <v>1341</v>
      </c>
      <c r="O232" s="1" t="s">
        <v>1342</v>
      </c>
      <c r="P232" s="1" t="s">
        <v>1343</v>
      </c>
      <c r="Y232" s="1" t="s">
        <v>23</v>
      </c>
      <c r="Z232" s="1" t="s">
        <v>449</v>
      </c>
    </row>
    <row r="233" ht="15.75" customHeight="1">
      <c r="E233" s="1" t="s">
        <v>1344</v>
      </c>
      <c r="L233" s="1">
        <v>340165.1666666667</v>
      </c>
      <c r="M233" s="1">
        <v>136474.5</v>
      </c>
      <c r="N233" s="1" t="s">
        <v>1345</v>
      </c>
      <c r="O233" s="1" t="s">
        <v>1346</v>
      </c>
      <c r="P233" s="1" t="s">
        <v>1347</v>
      </c>
      <c r="Y233" s="1" t="s">
        <v>23</v>
      </c>
    </row>
    <row r="234" ht="15.75" customHeight="1">
      <c r="E234" s="1" t="s">
        <v>1348</v>
      </c>
      <c r="L234" s="1">
        <v>406463.4322939394</v>
      </c>
      <c r="M234" s="1">
        <v>279429.0</v>
      </c>
      <c r="N234" s="1" t="s">
        <v>1349</v>
      </c>
      <c r="O234" s="1" t="s">
        <v>1350</v>
      </c>
      <c r="P234" s="1" t="s">
        <v>1351</v>
      </c>
      <c r="Y234" s="1" t="s">
        <v>23</v>
      </c>
      <c r="Z234" s="1" t="s">
        <v>1352</v>
      </c>
    </row>
    <row r="235" ht="15.75" customHeight="1">
      <c r="E235" s="1" t="s">
        <v>1353</v>
      </c>
      <c r="L235" s="1">
        <v>546057.5002437499</v>
      </c>
      <c r="M235" s="1">
        <v>348325.0</v>
      </c>
      <c r="Y235" s="1" t="s">
        <v>23</v>
      </c>
      <c r="Z235" s="1" t="s">
        <v>1354</v>
      </c>
    </row>
    <row r="236" ht="15.75" customHeight="1">
      <c r="E236" s="1" t="s">
        <v>1355</v>
      </c>
      <c r="L236" s="1">
        <v>1684899.53515625</v>
      </c>
      <c r="M236" s="1">
        <v>1212118.0</v>
      </c>
      <c r="Y236" s="1" t="s">
        <v>23</v>
      </c>
      <c r="Z236" s="1" t="s">
        <v>1356</v>
      </c>
    </row>
    <row r="237" ht="15.75" customHeight="1">
      <c r="E237" s="1" t="s">
        <v>1357</v>
      </c>
      <c r="L237" s="1">
        <v>1.6382114666666666E7</v>
      </c>
      <c r="M237" s="1">
        <v>8501945.5</v>
      </c>
      <c r="N237" s="1" t="s">
        <v>1358</v>
      </c>
      <c r="O237" s="1" t="s">
        <v>1359</v>
      </c>
      <c r="P237" s="1" t="s">
        <v>1360</v>
      </c>
      <c r="Y237" s="1" t="s">
        <v>23</v>
      </c>
      <c r="Z237" s="1" t="s">
        <v>1361</v>
      </c>
    </row>
    <row r="238" ht="15.75" customHeight="1">
      <c r="E238" s="1" t="s">
        <v>1362</v>
      </c>
      <c r="L238" s="1">
        <v>3466923.7165142857</v>
      </c>
      <c r="M238" s="1">
        <v>1230544.0</v>
      </c>
      <c r="N238" s="1" t="s">
        <v>1363</v>
      </c>
      <c r="O238" s="1" t="s">
        <v>1364</v>
      </c>
      <c r="P238" s="1" t="s">
        <v>1365</v>
      </c>
      <c r="Y238" s="1" t="s">
        <v>23</v>
      </c>
      <c r="Z238" s="1" t="s">
        <v>1366</v>
      </c>
    </row>
    <row r="239" ht="15.75" customHeight="1">
      <c r="E239" s="1" t="s">
        <v>1367</v>
      </c>
      <c r="L239" s="1">
        <v>2065537.205882353</v>
      </c>
      <c r="M239" s="1">
        <v>941102.5</v>
      </c>
      <c r="N239" s="1" t="s">
        <v>1368</v>
      </c>
      <c r="O239" s="1" t="s">
        <v>1369</v>
      </c>
      <c r="P239" s="1" t="s">
        <v>1370</v>
      </c>
      <c r="Y239" s="1" t="s">
        <v>23</v>
      </c>
      <c r="Z239" s="1" t="s">
        <v>1371</v>
      </c>
    </row>
    <row r="240" ht="15.75" customHeight="1">
      <c r="E240" s="1" t="s">
        <v>1372</v>
      </c>
      <c r="L240" s="1">
        <v>1.44930165975E7</v>
      </c>
      <c r="M240" s="1">
        <v>3543834.25</v>
      </c>
      <c r="Y240" s="1" t="s">
        <v>23</v>
      </c>
    </row>
    <row r="241" ht="15.75" customHeight="1">
      <c r="E241" s="1" t="s">
        <v>1373</v>
      </c>
      <c r="L241" s="1">
        <v>649309.3156257143</v>
      </c>
      <c r="M241" s="1">
        <v>626089.9375</v>
      </c>
      <c r="N241" s="1" t="s">
        <v>1374</v>
      </c>
      <c r="O241" s="1" t="s">
        <v>1375</v>
      </c>
      <c r="P241" s="1" t="s">
        <v>1376</v>
      </c>
      <c r="Y241" s="1" t="s">
        <v>23</v>
      </c>
      <c r="Z241" s="1" t="s">
        <v>1377</v>
      </c>
    </row>
    <row r="242" ht="15.75" customHeight="1">
      <c r="E242" s="1" t="s">
        <v>1378</v>
      </c>
      <c r="L242" s="1">
        <v>2527435.393939394</v>
      </c>
      <c r="M242" s="1">
        <v>519149.0</v>
      </c>
      <c r="N242" s="1" t="s">
        <v>1379</v>
      </c>
      <c r="O242" s="1" t="s">
        <v>1380</v>
      </c>
      <c r="P242" s="1" t="s">
        <v>1381</v>
      </c>
      <c r="Y242" s="1" t="s">
        <v>23</v>
      </c>
    </row>
    <row r="243" ht="15.75" customHeight="1">
      <c r="E243" s="1" t="s">
        <v>1382</v>
      </c>
      <c r="L243" s="1">
        <v>2806818.3714285716</v>
      </c>
      <c r="M243" s="1">
        <v>2097492.0</v>
      </c>
      <c r="Y243" s="1" t="s">
        <v>23</v>
      </c>
      <c r="Z243" s="1" t="s">
        <v>1383</v>
      </c>
    </row>
    <row r="244" ht="15.75" customHeight="1">
      <c r="E244" s="1" t="s">
        <v>1384</v>
      </c>
      <c r="L244" s="1">
        <v>1113051.5529527778</v>
      </c>
      <c r="M244" s="1">
        <v>812515.0</v>
      </c>
      <c r="Y244" s="1" t="s">
        <v>23</v>
      </c>
      <c r="Z244" s="1" t="s">
        <v>1385</v>
      </c>
    </row>
    <row r="245" ht="15.75" customHeight="1">
      <c r="E245" s="1" t="s">
        <v>1386</v>
      </c>
      <c r="L245" s="1">
        <v>7.3050011140625E7</v>
      </c>
      <c r="M245" s="1">
        <v>7395874.25</v>
      </c>
      <c r="N245" s="1" t="s">
        <v>692</v>
      </c>
      <c r="O245" s="1" t="s">
        <v>1387</v>
      </c>
      <c r="P245" s="1" t="s">
        <v>1388</v>
      </c>
      <c r="Y245" s="1" t="s">
        <v>23</v>
      </c>
      <c r="Z245" s="1" t="s">
        <v>1389</v>
      </c>
    </row>
    <row r="246" ht="15.75" customHeight="1">
      <c r="E246" s="1" t="s">
        <v>1390</v>
      </c>
      <c r="L246" s="1">
        <v>1.8669911147058822E7</v>
      </c>
      <c r="M246" s="1">
        <v>8214864.5</v>
      </c>
      <c r="N246" s="1" t="s">
        <v>1391</v>
      </c>
      <c r="O246" s="1" t="s">
        <v>1392</v>
      </c>
      <c r="P246" s="1" t="s">
        <v>1393</v>
      </c>
      <c r="Y246" s="1" t="s">
        <v>23</v>
      </c>
      <c r="Z246" s="1" t="s">
        <v>1394</v>
      </c>
    </row>
    <row r="247" ht="15.75" customHeight="1">
      <c r="E247" s="1" t="s">
        <v>1395</v>
      </c>
      <c r="L247" s="1">
        <v>1.1866443486111112E7</v>
      </c>
      <c r="M247" s="1">
        <v>1.1440208E7</v>
      </c>
      <c r="N247" s="1" t="s">
        <v>1396</v>
      </c>
      <c r="Y247" s="1" t="s">
        <v>23</v>
      </c>
      <c r="Z247" s="1" t="s">
        <v>1397</v>
      </c>
    </row>
    <row r="248" ht="15.75" customHeight="1">
      <c r="E248" s="1" t="s">
        <v>1398</v>
      </c>
      <c r="L248" s="1">
        <v>342401.23125333333</v>
      </c>
      <c r="M248" s="1">
        <v>205418.50780000002</v>
      </c>
      <c r="N248" s="1" t="s">
        <v>1399</v>
      </c>
      <c r="O248" s="1" t="s">
        <v>1400</v>
      </c>
      <c r="P248" s="1" t="s">
        <v>1401</v>
      </c>
      <c r="Y248" s="1" t="s">
        <v>23</v>
      </c>
      <c r="Z248" s="1" t="s">
        <v>1402</v>
      </c>
    </row>
    <row r="249" ht="15.75" customHeight="1">
      <c r="E249" s="1" t="s">
        <v>1403</v>
      </c>
      <c r="L249" s="1">
        <v>365625.2637882353</v>
      </c>
      <c r="M249" s="1">
        <v>280868.5</v>
      </c>
      <c r="Y249" s="1" t="s">
        <v>23</v>
      </c>
      <c r="Z249" s="1" t="s">
        <v>1404</v>
      </c>
    </row>
    <row r="250" ht="15.75" customHeight="1">
      <c r="E250" s="1" t="s">
        <v>1405</v>
      </c>
      <c r="L250" s="1">
        <v>9161720.222222222</v>
      </c>
      <c r="M250" s="1">
        <v>8487943.0</v>
      </c>
      <c r="N250" s="1" t="s">
        <v>687</v>
      </c>
      <c r="O250" s="1" t="s">
        <v>1406</v>
      </c>
      <c r="P250" s="1" t="s">
        <v>1407</v>
      </c>
      <c r="Y250" s="1" t="s">
        <v>23</v>
      </c>
      <c r="Z250" s="1" t="s">
        <v>1408</v>
      </c>
    </row>
    <row r="251" ht="15.75" customHeight="1">
      <c r="E251" s="1" t="s">
        <v>1409</v>
      </c>
      <c r="L251" s="1">
        <v>285821.23151923076</v>
      </c>
      <c r="M251" s="1">
        <v>119853.0</v>
      </c>
      <c r="Y251" s="1" t="s">
        <v>23</v>
      </c>
    </row>
    <row r="252" ht="15.75" customHeight="1">
      <c r="E252" s="1" t="s">
        <v>1410</v>
      </c>
      <c r="L252" s="1">
        <v>1.9331510045138888E7</v>
      </c>
      <c r="M252" s="1">
        <v>1.438214E7</v>
      </c>
      <c r="N252" s="1" t="s">
        <v>1411</v>
      </c>
      <c r="O252" s="1" t="s">
        <v>1412</v>
      </c>
      <c r="P252" s="1" t="s">
        <v>1413</v>
      </c>
      <c r="Y252" s="1" t="s">
        <v>23</v>
      </c>
      <c r="Z252" s="1" t="s">
        <v>1414</v>
      </c>
    </row>
    <row r="253" ht="15.75" customHeight="1">
      <c r="E253" s="1" t="s">
        <v>1415</v>
      </c>
      <c r="L253" s="1">
        <v>2146815.1319444445</v>
      </c>
      <c r="M253" s="1">
        <v>1184003.5</v>
      </c>
      <c r="N253" s="1" t="s">
        <v>933</v>
      </c>
      <c r="O253" s="1" t="s">
        <v>1416</v>
      </c>
      <c r="P253" s="1" t="s">
        <v>1417</v>
      </c>
      <c r="Y253" s="1" t="s">
        <v>23</v>
      </c>
      <c r="Z253" s="1" t="s">
        <v>1418</v>
      </c>
    </row>
    <row r="254" ht="15.75" customHeight="1">
      <c r="E254" s="1" t="s">
        <v>1419</v>
      </c>
      <c r="L254" s="1">
        <v>1467533.3718742856</v>
      </c>
      <c r="M254" s="1">
        <v>1084739.0</v>
      </c>
      <c r="Y254" s="1" t="s">
        <v>23</v>
      </c>
      <c r="Z254" s="1" t="s">
        <v>1420</v>
      </c>
    </row>
    <row r="255" ht="15.75" customHeight="1">
      <c r="E255" s="1" t="s">
        <v>1421</v>
      </c>
      <c r="L255" s="1">
        <v>9.43493595859375E7</v>
      </c>
      <c r="M255" s="1">
        <v>1.005936E7</v>
      </c>
      <c r="Y255" s="1" t="s">
        <v>23</v>
      </c>
      <c r="Z255" s="1" t="s">
        <v>1422</v>
      </c>
    </row>
    <row r="256" ht="15.75" customHeight="1">
      <c r="E256" s="1" t="s">
        <v>1423</v>
      </c>
      <c r="L256" s="1">
        <v>581698.10234</v>
      </c>
      <c r="M256" s="1">
        <v>154261.5</v>
      </c>
      <c r="N256" s="1" t="s">
        <v>1424</v>
      </c>
      <c r="O256" s="1" t="s">
        <v>1425</v>
      </c>
      <c r="P256" s="1" t="s">
        <v>1426</v>
      </c>
      <c r="Y256" s="1" t="s">
        <v>23</v>
      </c>
      <c r="Z256" s="1" t="s">
        <v>1427</v>
      </c>
    </row>
    <row r="257" ht="15.75" customHeight="1">
      <c r="E257" s="1" t="s">
        <v>1428</v>
      </c>
      <c r="L257" s="1">
        <v>4.047103444444444E8</v>
      </c>
      <c r="M257" s="1">
        <v>3.50364208E8</v>
      </c>
      <c r="N257" s="1" t="s">
        <v>1429</v>
      </c>
      <c r="O257" s="1" t="s">
        <v>1430</v>
      </c>
      <c r="P257" s="1" t="s">
        <v>1431</v>
      </c>
      <c r="Y257" s="1" t="s">
        <v>23</v>
      </c>
      <c r="Z257" s="1" t="s">
        <v>409</v>
      </c>
    </row>
    <row r="258" ht="15.75" customHeight="1">
      <c r="E258" s="1" t="s">
        <v>1432</v>
      </c>
      <c r="L258" s="1">
        <v>4940268.4375</v>
      </c>
      <c r="M258" s="1">
        <v>2945658.5</v>
      </c>
      <c r="N258" s="1" t="s">
        <v>1433</v>
      </c>
      <c r="O258" s="1" t="s">
        <v>1434</v>
      </c>
      <c r="P258" s="1" t="s">
        <v>1435</v>
      </c>
      <c r="Y258" s="1" t="s">
        <v>23</v>
      </c>
      <c r="Z258" s="1" t="s">
        <v>1436</v>
      </c>
    </row>
    <row r="259" ht="15.75" customHeight="1">
      <c r="E259" s="1" t="s">
        <v>1437</v>
      </c>
      <c r="L259" s="1">
        <v>1261563.109377778</v>
      </c>
      <c r="M259" s="1">
        <v>307946.0</v>
      </c>
      <c r="N259" s="1" t="s">
        <v>1438</v>
      </c>
      <c r="O259" s="1" t="s">
        <v>1439</v>
      </c>
      <c r="P259" s="1" t="s">
        <v>1440</v>
      </c>
      <c r="Y259" s="1" t="s">
        <v>23</v>
      </c>
      <c r="Z259" s="1" t="s">
        <v>1441</v>
      </c>
    </row>
    <row r="260" ht="15.75" customHeight="1">
      <c r="E260" s="1" t="s">
        <v>1442</v>
      </c>
      <c r="L260" s="1">
        <v>4119326.873290625</v>
      </c>
      <c r="M260" s="1">
        <v>1491297.5</v>
      </c>
      <c r="N260" s="1" t="s">
        <v>1443</v>
      </c>
      <c r="O260" s="1" t="s">
        <v>1444</v>
      </c>
      <c r="P260" s="1" t="s">
        <v>1445</v>
      </c>
      <c r="Y260" s="1" t="s">
        <v>23</v>
      </c>
      <c r="Z260" s="1" t="s">
        <v>1446</v>
      </c>
    </row>
    <row r="261" ht="15.75" customHeight="1">
      <c r="E261" s="1" t="s">
        <v>1447</v>
      </c>
      <c r="L261" s="1">
        <v>449441.20125200006</v>
      </c>
      <c r="M261" s="1">
        <v>235092.0</v>
      </c>
      <c r="N261" s="1" t="s">
        <v>1017</v>
      </c>
      <c r="Y261" s="1" t="s">
        <v>23</v>
      </c>
      <c r="Z261" s="1" t="s">
        <v>1448</v>
      </c>
    </row>
    <row r="262" ht="15.75" customHeight="1">
      <c r="E262" s="1" t="s">
        <v>1449</v>
      </c>
      <c r="L262" s="1">
        <v>407968.9166666667</v>
      </c>
      <c r="M262" s="1">
        <v>253476.5</v>
      </c>
      <c r="N262" s="1" t="s">
        <v>1450</v>
      </c>
      <c r="O262" s="1" t="s">
        <v>1451</v>
      </c>
      <c r="P262" s="1" t="s">
        <v>1452</v>
      </c>
      <c r="Y262" s="1" t="s">
        <v>23</v>
      </c>
      <c r="Z262" s="1" t="s">
        <v>1453</v>
      </c>
    </row>
    <row r="263" ht="15.75" customHeight="1">
      <c r="E263" s="1" t="s">
        <v>1454</v>
      </c>
      <c r="L263" s="1">
        <v>1237710.434273913</v>
      </c>
      <c r="M263" s="1">
        <v>144727.0</v>
      </c>
      <c r="Y263" s="1" t="s">
        <v>23</v>
      </c>
    </row>
    <row r="264" ht="15.75" customHeight="1">
      <c r="E264" s="1" t="s">
        <v>1455</v>
      </c>
      <c r="L264" s="1">
        <v>408160.20156</v>
      </c>
      <c r="M264" s="1">
        <v>217491.0</v>
      </c>
      <c r="N264" s="1" t="s">
        <v>948</v>
      </c>
      <c r="O264" s="1" t="s">
        <v>1456</v>
      </c>
      <c r="P264" s="1" t="s">
        <v>1457</v>
      </c>
      <c r="Y264" s="1" t="s">
        <v>23</v>
      </c>
      <c r="Z264" s="1" t="s">
        <v>1458</v>
      </c>
    </row>
    <row r="265" ht="15.75" customHeight="1">
      <c r="E265" s="1" t="s">
        <v>1459</v>
      </c>
      <c r="L265" s="1">
        <v>8424785.4375</v>
      </c>
      <c r="M265" s="1">
        <v>1737451.5</v>
      </c>
      <c r="N265" s="1" t="s">
        <v>948</v>
      </c>
      <c r="O265" s="1" t="s">
        <v>1460</v>
      </c>
      <c r="P265" s="1" t="s">
        <v>1461</v>
      </c>
      <c r="Y265" s="1" t="s">
        <v>23</v>
      </c>
      <c r="Z265" s="1" t="s">
        <v>1462</v>
      </c>
    </row>
    <row r="266" ht="15.75" customHeight="1">
      <c r="E266" s="1" t="s">
        <v>1463</v>
      </c>
      <c r="L266" s="1">
        <v>4.168525075E7</v>
      </c>
      <c r="M266" s="1">
        <v>1.1096906E7</v>
      </c>
      <c r="N266" s="1" t="s">
        <v>1093</v>
      </c>
      <c r="O266" s="1" t="s">
        <v>1464</v>
      </c>
      <c r="P266" s="1" t="s">
        <v>1465</v>
      </c>
      <c r="Y266" s="1" t="s">
        <v>23</v>
      </c>
      <c r="Z266" s="1" t="s">
        <v>1466</v>
      </c>
    </row>
    <row r="267" ht="15.75" customHeight="1">
      <c r="E267" s="1" t="s">
        <v>1467</v>
      </c>
      <c r="L267" s="1">
        <v>2.5903284770833332E7</v>
      </c>
      <c r="M267" s="1">
        <v>1.11570365E7</v>
      </c>
      <c r="N267" s="1" t="s">
        <v>1468</v>
      </c>
      <c r="O267" s="1" t="s">
        <v>1469</v>
      </c>
      <c r="P267" s="1" t="s">
        <v>1470</v>
      </c>
      <c r="Y267" s="1" t="s">
        <v>23</v>
      </c>
      <c r="Z267" s="1" t="s">
        <v>1471</v>
      </c>
    </row>
    <row r="268" ht="15.75" customHeight="1">
      <c r="E268" s="1" t="s">
        <v>1472</v>
      </c>
      <c r="L268" s="1">
        <v>3.616143907777778E8</v>
      </c>
      <c r="M268" s="1">
        <v>3.60384768E8</v>
      </c>
      <c r="N268" s="1" t="s">
        <v>1473</v>
      </c>
      <c r="Y268" s="1" t="s">
        <v>23</v>
      </c>
      <c r="Z268" s="1" t="s">
        <v>1474</v>
      </c>
    </row>
    <row r="269" ht="15.75" customHeight="1">
      <c r="E269" s="1" t="s">
        <v>1475</v>
      </c>
      <c r="L269" s="1">
        <v>4.381473368055555E7</v>
      </c>
      <c r="M269" s="1">
        <v>2.9703217E7</v>
      </c>
      <c r="N269" s="1" t="s">
        <v>1476</v>
      </c>
      <c r="O269" s="1" t="s">
        <v>1477</v>
      </c>
      <c r="P269" s="1" t="s">
        <v>1478</v>
      </c>
      <c r="Y269" s="1" t="s">
        <v>23</v>
      </c>
      <c r="Z269" s="1" t="s">
        <v>1479</v>
      </c>
    </row>
    <row r="270" ht="15.75" customHeight="1">
      <c r="E270" s="1" t="s">
        <v>1480</v>
      </c>
      <c r="L270" s="1">
        <v>2016682.2569444445</v>
      </c>
      <c r="M270" s="1">
        <v>1287086.5</v>
      </c>
      <c r="N270" s="1" t="s">
        <v>1481</v>
      </c>
      <c r="O270" s="1" t="s">
        <v>1482</v>
      </c>
      <c r="P270" s="1" t="s">
        <v>1483</v>
      </c>
      <c r="Y270" s="1" t="s">
        <v>23</v>
      </c>
      <c r="Z270" s="1" t="s">
        <v>1484</v>
      </c>
    </row>
    <row r="271" ht="15.75" customHeight="1">
      <c r="E271" s="1" t="s">
        <v>1485</v>
      </c>
      <c r="L271" s="1" t="e">
        <v>#DIV/0!</v>
      </c>
      <c r="M271" s="1" t="e">
        <v>#NUM!</v>
      </c>
      <c r="N271" s="1" t="s">
        <v>1486</v>
      </c>
      <c r="O271" s="1" t="s">
        <v>1487</v>
      </c>
      <c r="P271" s="1" t="s">
        <v>1488</v>
      </c>
      <c r="Y271" s="1" t="s">
        <v>23</v>
      </c>
      <c r="Z271" s="1" t="s">
        <v>1489</v>
      </c>
    </row>
    <row r="272" ht="15.75" customHeight="1">
      <c r="E272" s="1" t="s">
        <v>1490</v>
      </c>
      <c r="L272" s="1">
        <v>1125680.431336842</v>
      </c>
      <c r="M272" s="1">
        <v>459349.0</v>
      </c>
      <c r="Y272" s="1" t="s">
        <v>23</v>
      </c>
      <c r="Z272" s="1" t="s">
        <v>1491</v>
      </c>
    </row>
    <row r="273" ht="15.75" customHeight="1">
      <c r="E273" s="1" t="s">
        <v>1492</v>
      </c>
      <c r="L273" s="1">
        <v>5894824.902777778</v>
      </c>
      <c r="M273" s="1">
        <v>4407326.0</v>
      </c>
      <c r="N273" s="1" t="s">
        <v>1493</v>
      </c>
      <c r="O273" s="1" t="s">
        <v>1494</v>
      </c>
      <c r="P273" s="1" t="s">
        <v>1495</v>
      </c>
      <c r="Y273" s="1" t="s">
        <v>23</v>
      </c>
      <c r="Z273" s="1" t="s">
        <v>1496</v>
      </c>
    </row>
    <row r="274" ht="15.75" customHeight="1">
      <c r="E274" s="1" t="s">
        <v>1497</v>
      </c>
      <c r="L274" s="1">
        <v>784600.4267885715</v>
      </c>
      <c r="M274" s="1">
        <v>653971.0</v>
      </c>
      <c r="N274" s="1" t="s">
        <v>1498</v>
      </c>
      <c r="O274" s="1" t="s">
        <v>1499</v>
      </c>
      <c r="P274" s="1" t="s">
        <v>1500</v>
      </c>
      <c r="Y274" s="1" t="s">
        <v>23</v>
      </c>
      <c r="Z274" s="1" t="s">
        <v>1501</v>
      </c>
    </row>
    <row r="275" ht="15.75" customHeight="1">
      <c r="E275" s="1" t="s">
        <v>1502</v>
      </c>
      <c r="L275" s="1">
        <v>421027.35625</v>
      </c>
      <c r="M275" s="1">
        <v>186673.5</v>
      </c>
      <c r="N275" s="1" t="s">
        <v>1363</v>
      </c>
      <c r="O275" s="1" t="s">
        <v>1503</v>
      </c>
      <c r="P275" s="1" t="s">
        <v>1504</v>
      </c>
      <c r="Y275" s="1" t="s">
        <v>23</v>
      </c>
      <c r="Z275" s="1" t="s">
        <v>1505</v>
      </c>
    </row>
    <row r="276" ht="15.75" customHeight="1">
      <c r="E276" s="1" t="s">
        <v>1506</v>
      </c>
      <c r="L276" s="1">
        <v>2.9981825764285713E7</v>
      </c>
      <c r="M276" s="1">
        <v>8635346.0</v>
      </c>
      <c r="N276" s="1" t="s">
        <v>1507</v>
      </c>
      <c r="Y276" s="1" t="s">
        <v>23</v>
      </c>
      <c r="Z276" s="1" t="s">
        <v>1508</v>
      </c>
    </row>
    <row r="277" ht="15.75" customHeight="1">
      <c r="E277" s="1" t="s">
        <v>1509</v>
      </c>
      <c r="L277" s="1">
        <v>4017818.435483871</v>
      </c>
      <c r="M277" s="1">
        <v>1755902.0</v>
      </c>
      <c r="N277" s="1" t="s">
        <v>1510</v>
      </c>
      <c r="O277" s="1" t="s">
        <v>1511</v>
      </c>
      <c r="P277" s="1" t="s">
        <v>1512</v>
      </c>
      <c r="Y277" s="1" t="s">
        <v>23</v>
      </c>
    </row>
    <row r="278" ht="15.75" customHeight="1">
      <c r="E278" s="1" t="s">
        <v>1513</v>
      </c>
      <c r="L278" s="1">
        <v>3.4840856416666664E7</v>
      </c>
      <c r="M278" s="1">
        <v>1.12351895E7</v>
      </c>
      <c r="Y278" s="1" t="s">
        <v>23</v>
      </c>
      <c r="Z278" s="1" t="s">
        <v>1514</v>
      </c>
    </row>
    <row r="279" ht="15.75" customHeight="1">
      <c r="E279" s="1" t="s">
        <v>1515</v>
      </c>
      <c r="L279" s="1">
        <v>3.518840463333333E8</v>
      </c>
      <c r="M279" s="1">
        <v>9.3727432E7</v>
      </c>
      <c r="Y279" s="1" t="s">
        <v>23</v>
      </c>
      <c r="Z279" s="1" t="s">
        <v>1516</v>
      </c>
    </row>
    <row r="280" ht="15.75" customHeight="1">
      <c r="E280" s="1" t="s">
        <v>1517</v>
      </c>
      <c r="L280" s="1">
        <v>3342475.8</v>
      </c>
      <c r="M280" s="1">
        <v>1714636.0</v>
      </c>
      <c r="N280" s="1" t="s">
        <v>1518</v>
      </c>
      <c r="O280" s="1" t="s">
        <v>1519</v>
      </c>
      <c r="P280" s="1" t="s">
        <v>1520</v>
      </c>
      <c r="Y280" s="1" t="s">
        <v>23</v>
      </c>
      <c r="Z280" s="1" t="s">
        <v>1521</v>
      </c>
    </row>
    <row r="281" ht="15.75" customHeight="1">
      <c r="E281" s="1" t="s">
        <v>1522</v>
      </c>
      <c r="L281" s="1">
        <v>2084919.157986111</v>
      </c>
      <c r="M281" s="1">
        <v>1385907.5</v>
      </c>
      <c r="Y281" s="1" t="s">
        <v>23</v>
      </c>
    </row>
    <row r="282" ht="15.75" customHeight="1">
      <c r="E282" s="1" t="s">
        <v>1523</v>
      </c>
      <c r="L282" s="1">
        <v>695024.6866085714</v>
      </c>
      <c r="M282" s="1">
        <v>247461.0</v>
      </c>
      <c r="Y282" s="1" t="s">
        <v>23</v>
      </c>
      <c r="Z282" s="1" t="s">
        <v>1524</v>
      </c>
    </row>
    <row r="283" ht="15.75" customHeight="1">
      <c r="E283" s="1" t="s">
        <v>1525</v>
      </c>
      <c r="L283" s="1">
        <v>1264270.5833333333</v>
      </c>
      <c r="M283" s="1">
        <v>852722.5</v>
      </c>
      <c r="N283" s="1" t="s">
        <v>1526</v>
      </c>
      <c r="O283" s="1" t="s">
        <v>1527</v>
      </c>
      <c r="P283" s="1" t="s">
        <v>1528</v>
      </c>
      <c r="Y283" s="1" t="s">
        <v>23</v>
      </c>
      <c r="Z283" s="1" t="s">
        <v>1529</v>
      </c>
    </row>
    <row r="284" ht="15.75" customHeight="1">
      <c r="E284" s="1" t="s">
        <v>1530</v>
      </c>
      <c r="L284" s="1">
        <v>1.3312368475694444E7</v>
      </c>
      <c r="M284" s="1">
        <v>5885466.5</v>
      </c>
      <c r="N284" s="1" t="s">
        <v>1526</v>
      </c>
      <c r="O284" s="1" t="s">
        <v>1527</v>
      </c>
      <c r="P284" s="1" t="s">
        <v>1528</v>
      </c>
      <c r="Y284" s="1" t="s">
        <v>23</v>
      </c>
      <c r="Z284" s="1" t="s">
        <v>383</v>
      </c>
    </row>
    <row r="285" ht="15.75" customHeight="1">
      <c r="E285" s="1" t="s">
        <v>1531</v>
      </c>
      <c r="L285" s="1">
        <v>2.7296410833333332E7</v>
      </c>
      <c r="M285" s="1">
        <v>1.94120265E7</v>
      </c>
      <c r="N285" s="1" t="s">
        <v>1216</v>
      </c>
      <c r="O285" s="1" t="s">
        <v>1532</v>
      </c>
      <c r="P285" s="1" t="s">
        <v>1533</v>
      </c>
      <c r="Y285" s="1" t="s">
        <v>23</v>
      </c>
      <c r="Z285" s="1" t="s">
        <v>385</v>
      </c>
    </row>
    <row r="286" ht="15.75" customHeight="1">
      <c r="E286" s="1" t="s">
        <v>1534</v>
      </c>
      <c r="L286" s="1">
        <v>7.916186791666667E7</v>
      </c>
      <c r="M286" s="1">
        <v>6.2172046E7</v>
      </c>
      <c r="N286" s="1" t="s">
        <v>1535</v>
      </c>
      <c r="O286" s="1" t="s">
        <v>1536</v>
      </c>
      <c r="P286" s="1" t="s">
        <v>1537</v>
      </c>
      <c r="Y286" s="1" t="s">
        <v>23</v>
      </c>
      <c r="Z286" s="1" t="s">
        <v>395</v>
      </c>
    </row>
    <row r="287" ht="15.75" customHeight="1">
      <c r="E287" s="1" t="s">
        <v>1538</v>
      </c>
      <c r="L287" s="1" t="e">
        <v>#DIV/0!</v>
      </c>
      <c r="M287" s="1" t="e">
        <v>#NUM!</v>
      </c>
      <c r="N287" s="1" t="s">
        <v>1539</v>
      </c>
      <c r="O287" s="1" t="s">
        <v>1540</v>
      </c>
      <c r="P287" s="1" t="s">
        <v>1541</v>
      </c>
      <c r="Y287" s="1" t="s">
        <v>23</v>
      </c>
      <c r="Z287" s="1" t="s">
        <v>1542</v>
      </c>
    </row>
    <row r="288" ht="15.75" customHeight="1">
      <c r="E288" s="1" t="s">
        <v>1543</v>
      </c>
      <c r="L288" s="1">
        <v>4708784.738716667</v>
      </c>
      <c r="M288" s="1">
        <v>2721471.5</v>
      </c>
      <c r="Y288" s="1" t="s">
        <v>23</v>
      </c>
      <c r="Z288" s="1" t="s">
        <v>1544</v>
      </c>
    </row>
    <row r="289" ht="15.75" customHeight="1">
      <c r="E289" s="1" t="s">
        <v>1545</v>
      </c>
      <c r="L289" s="1">
        <v>1709222.607638889</v>
      </c>
      <c r="M289" s="1">
        <v>1250332.5</v>
      </c>
      <c r="Y289" s="1" t="s">
        <v>23</v>
      </c>
    </row>
    <row r="290" ht="15.75" customHeight="1">
      <c r="E290" s="1" t="s">
        <v>1546</v>
      </c>
      <c r="L290" s="1">
        <v>2223895.388455556</v>
      </c>
      <c r="M290" s="1">
        <v>504394.0</v>
      </c>
      <c r="N290" s="1" t="s">
        <v>1547</v>
      </c>
      <c r="O290" s="1" t="s">
        <v>1548</v>
      </c>
      <c r="P290" s="1" t="s">
        <v>1549</v>
      </c>
      <c r="Y290" s="1" t="s">
        <v>23</v>
      </c>
      <c r="Z290" s="1" t="s">
        <v>1550</v>
      </c>
    </row>
    <row r="291" ht="15.75" customHeight="1">
      <c r="E291" s="1" t="s">
        <v>1551</v>
      </c>
      <c r="L291" s="1">
        <v>347685.5146787879</v>
      </c>
      <c r="M291" s="1">
        <v>144604.0</v>
      </c>
      <c r="Y291" s="1" t="s">
        <v>23</v>
      </c>
    </row>
    <row r="292" ht="15.75" customHeight="1">
      <c r="E292" s="1" t="s">
        <v>1552</v>
      </c>
      <c r="L292" s="1">
        <v>4727107.583333333</v>
      </c>
      <c r="M292" s="1">
        <v>3946223.0</v>
      </c>
      <c r="N292" s="1" t="s">
        <v>1553</v>
      </c>
      <c r="O292" s="1" t="s">
        <v>1554</v>
      </c>
      <c r="P292" s="1" t="s">
        <v>1555</v>
      </c>
      <c r="Y292" s="1" t="s">
        <v>23</v>
      </c>
      <c r="Z292" s="1" t="s">
        <v>1556</v>
      </c>
    </row>
    <row r="293" ht="15.75" customHeight="1">
      <c r="E293" s="1" t="s">
        <v>1557</v>
      </c>
      <c r="L293" s="1">
        <v>2.8270175416666668E7</v>
      </c>
      <c r="M293" s="1">
        <v>1.47126795E7</v>
      </c>
      <c r="N293" s="1" t="s">
        <v>1429</v>
      </c>
      <c r="O293" s="1" t="s">
        <v>1558</v>
      </c>
      <c r="P293" s="1" t="s">
        <v>1559</v>
      </c>
      <c r="Y293" s="1" t="s">
        <v>23</v>
      </c>
      <c r="Z293" s="1" t="s">
        <v>1560</v>
      </c>
    </row>
    <row r="294" ht="15.75" customHeight="1">
      <c r="E294" s="1" t="s">
        <v>1561</v>
      </c>
      <c r="L294" s="1">
        <v>8940539.625</v>
      </c>
      <c r="M294" s="1">
        <v>5620987.0</v>
      </c>
      <c r="N294" s="1" t="s">
        <v>1562</v>
      </c>
      <c r="O294" s="1" t="s">
        <v>1563</v>
      </c>
      <c r="P294" s="1" t="s">
        <v>1564</v>
      </c>
      <c r="Y294" s="1" t="s">
        <v>23</v>
      </c>
      <c r="Z294" s="1" t="s">
        <v>1565</v>
      </c>
    </row>
    <row r="295" ht="15.75" customHeight="1">
      <c r="E295" s="1" t="s">
        <v>1566</v>
      </c>
      <c r="L295" s="1">
        <v>553873.2637882354</v>
      </c>
      <c r="M295" s="1">
        <v>441104.5</v>
      </c>
      <c r="Y295" s="1" t="s">
        <v>23</v>
      </c>
      <c r="Z295" s="1" t="s">
        <v>1567</v>
      </c>
    </row>
    <row r="296" ht="15.75" customHeight="1">
      <c r="E296" s="1" t="s">
        <v>1568</v>
      </c>
      <c r="L296" s="1">
        <v>3972363.7708333335</v>
      </c>
      <c r="M296" s="1">
        <v>3296024.0</v>
      </c>
      <c r="N296" s="1" t="s">
        <v>1093</v>
      </c>
      <c r="O296" s="1" t="s">
        <v>1569</v>
      </c>
      <c r="P296" s="1" t="s">
        <v>1570</v>
      </c>
      <c r="Y296" s="1" t="s">
        <v>23</v>
      </c>
      <c r="Z296" s="1" t="s">
        <v>1571</v>
      </c>
    </row>
    <row r="297" ht="15.75" customHeight="1">
      <c r="E297" s="1" t="s">
        <v>1572</v>
      </c>
      <c r="L297" s="1">
        <v>2.8829916319444444E7</v>
      </c>
      <c r="M297" s="1">
        <v>1.979729E7</v>
      </c>
      <c r="N297" s="1" t="s">
        <v>1324</v>
      </c>
      <c r="O297" s="1" t="s">
        <v>1573</v>
      </c>
      <c r="P297" s="1" t="s">
        <v>1574</v>
      </c>
      <c r="Y297" s="1" t="s">
        <v>23</v>
      </c>
      <c r="Z297" s="1" t="s">
        <v>1575</v>
      </c>
    </row>
    <row r="298" ht="15.75" customHeight="1">
      <c r="E298" s="1" t="s">
        <v>1576</v>
      </c>
      <c r="L298" s="1">
        <v>5855758.929905556</v>
      </c>
      <c r="M298" s="1">
        <v>5332277.0</v>
      </c>
      <c r="N298" s="1" t="s">
        <v>1577</v>
      </c>
      <c r="O298" s="1" t="s">
        <v>1578</v>
      </c>
      <c r="P298" s="1" t="s">
        <v>1579</v>
      </c>
      <c r="Y298" s="1" t="s">
        <v>23</v>
      </c>
      <c r="Z298" s="1" t="s">
        <v>1580</v>
      </c>
    </row>
    <row r="299" ht="15.75" customHeight="1">
      <c r="E299" s="1" t="s">
        <v>1581</v>
      </c>
      <c r="L299" s="1">
        <v>1257999.3340454546</v>
      </c>
      <c r="M299" s="1">
        <v>612031.0</v>
      </c>
      <c r="N299" s="1" t="s">
        <v>1159</v>
      </c>
      <c r="O299" s="1" t="s">
        <v>1582</v>
      </c>
      <c r="P299" s="1" t="s">
        <v>1583</v>
      </c>
      <c r="Y299" s="1" t="s">
        <v>23</v>
      </c>
      <c r="Z299" s="1" t="s">
        <v>1584</v>
      </c>
    </row>
    <row r="300" ht="15.75" customHeight="1">
      <c r="E300" s="1" t="s">
        <v>1585</v>
      </c>
      <c r="L300" s="1">
        <v>2169018.8759749997</v>
      </c>
      <c r="M300" s="1">
        <v>621145.0</v>
      </c>
      <c r="N300" s="1" t="s">
        <v>1586</v>
      </c>
      <c r="O300" s="1" t="s">
        <v>1587</v>
      </c>
      <c r="P300" s="1" t="s">
        <v>1588</v>
      </c>
      <c r="Y300" s="1" t="s">
        <v>23</v>
      </c>
      <c r="Z300" s="1" t="s">
        <v>1589</v>
      </c>
    </row>
    <row r="301" ht="15.75" customHeight="1">
      <c r="E301" s="1" t="s">
        <v>1590</v>
      </c>
      <c r="L301" s="1">
        <v>1.2404200397322858E7</v>
      </c>
      <c r="M301" s="1">
        <v>9144668.0</v>
      </c>
      <c r="N301" s="1" t="s">
        <v>1591</v>
      </c>
      <c r="O301" s="1" t="s">
        <v>1592</v>
      </c>
      <c r="P301" s="1" t="s">
        <v>1593</v>
      </c>
      <c r="Y301" s="1" t="s">
        <v>23</v>
      </c>
      <c r="Z301" s="1" t="s">
        <v>1594</v>
      </c>
    </row>
    <row r="302" ht="15.75" customHeight="1">
      <c r="E302" s="1" t="s">
        <v>1595</v>
      </c>
      <c r="L302" s="1">
        <v>665789.551724138</v>
      </c>
      <c r="M302" s="1">
        <v>604778.0</v>
      </c>
      <c r="Y302" s="1" t="s">
        <v>23</v>
      </c>
    </row>
    <row r="303" ht="15.75" customHeight="1">
      <c r="E303" s="1" t="s">
        <v>1596</v>
      </c>
      <c r="L303" s="1">
        <v>630490.96875</v>
      </c>
      <c r="M303" s="1">
        <v>586018.5</v>
      </c>
      <c r="N303" s="1" t="s">
        <v>1597</v>
      </c>
      <c r="O303" s="1" t="s">
        <v>1598</v>
      </c>
      <c r="P303" s="1" t="s">
        <v>1599</v>
      </c>
      <c r="Y303" s="1" t="s">
        <v>23</v>
      </c>
      <c r="Z303" s="1" t="s">
        <v>1600</v>
      </c>
    </row>
    <row r="304" ht="15.75" customHeight="1">
      <c r="E304" s="1" t="s">
        <v>1601</v>
      </c>
      <c r="L304" s="1">
        <v>421297.5432457143</v>
      </c>
      <c r="M304" s="1">
        <v>224268.0</v>
      </c>
      <c r="Y304" s="1" t="s">
        <v>23</v>
      </c>
    </row>
    <row r="305" ht="15.75" customHeight="1">
      <c r="E305" s="1" t="s">
        <v>1602</v>
      </c>
      <c r="L305" s="1">
        <v>570278.7647058824</v>
      </c>
      <c r="M305" s="1">
        <v>537398.0</v>
      </c>
      <c r="N305" s="1" t="s">
        <v>1225</v>
      </c>
      <c r="O305" s="1" t="s">
        <v>1603</v>
      </c>
      <c r="P305" s="1" t="s">
        <v>1604</v>
      </c>
      <c r="Y305" s="1" t="s">
        <v>23</v>
      </c>
      <c r="Z305" s="1" t="s">
        <v>1605</v>
      </c>
    </row>
    <row r="306" ht="15.75" customHeight="1">
      <c r="E306" s="1" t="s">
        <v>1606</v>
      </c>
      <c r="L306" s="1">
        <v>2.373849163529412E8</v>
      </c>
      <c r="M306" s="1">
        <v>6.451826E7</v>
      </c>
      <c r="N306" s="1" t="s">
        <v>1607</v>
      </c>
      <c r="O306" s="1" t="s">
        <v>1608</v>
      </c>
      <c r="P306" s="1" t="s">
        <v>1609</v>
      </c>
      <c r="Y306" s="1" t="s">
        <v>23</v>
      </c>
      <c r="Z306" s="1" t="s">
        <v>1610</v>
      </c>
    </row>
    <row r="307" ht="15.75" customHeight="1">
      <c r="E307" s="1" t="s">
        <v>1611</v>
      </c>
      <c r="L307" s="1">
        <v>2090525.0022285716</v>
      </c>
      <c r="M307" s="1">
        <v>227303.00780000002</v>
      </c>
      <c r="N307" s="1" t="s">
        <v>1266</v>
      </c>
      <c r="O307" s="1" t="s">
        <v>1612</v>
      </c>
      <c r="P307" s="1" t="s">
        <v>1613</v>
      </c>
      <c r="Y307" s="1" t="s">
        <v>23</v>
      </c>
      <c r="Z307" s="1" t="s">
        <v>1614</v>
      </c>
    </row>
    <row r="308" ht="15.75" customHeight="1">
      <c r="E308" s="1" t="s">
        <v>1615</v>
      </c>
      <c r="L308" s="1">
        <v>2.672723725E7</v>
      </c>
      <c r="M308" s="1">
        <v>2063837.0</v>
      </c>
      <c r="N308" s="1" t="s">
        <v>1616</v>
      </c>
      <c r="O308" s="1" t="s">
        <v>1617</v>
      </c>
      <c r="P308" s="1" t="s">
        <v>1618</v>
      </c>
      <c r="Y308" s="1" t="s">
        <v>23</v>
      </c>
      <c r="Z308" s="1" t="s">
        <v>1619</v>
      </c>
    </row>
    <row r="309" ht="15.75" customHeight="1">
      <c r="E309" s="1" t="s">
        <v>1620</v>
      </c>
      <c r="L309" s="1">
        <v>1779864.1994428572</v>
      </c>
      <c r="M309" s="1">
        <v>1502224.0</v>
      </c>
      <c r="N309" s="1" t="s">
        <v>1621</v>
      </c>
      <c r="O309" s="1" t="s">
        <v>1622</v>
      </c>
      <c r="P309" s="1" t="s">
        <v>1623</v>
      </c>
      <c r="Y309" s="1" t="s">
        <v>23</v>
      </c>
      <c r="Z309" s="1" t="s">
        <v>1624</v>
      </c>
    </row>
    <row r="310" ht="15.75" customHeight="1">
      <c r="E310" s="1" t="s">
        <v>1625</v>
      </c>
      <c r="L310" s="1">
        <v>5680368.663194444</v>
      </c>
      <c r="M310" s="1">
        <v>3718891.0</v>
      </c>
      <c r="Y310" s="1" t="s">
        <v>23</v>
      </c>
      <c r="Z310" s="1" t="s">
        <v>1626</v>
      </c>
    </row>
    <row r="311" ht="15.75" customHeight="1">
      <c r="E311" s="1" t="s">
        <v>1627</v>
      </c>
      <c r="L311" s="1">
        <v>1.0396961131077778E7</v>
      </c>
      <c r="M311" s="1">
        <v>5916373.75</v>
      </c>
      <c r="N311" s="1" t="s">
        <v>1628</v>
      </c>
      <c r="O311" s="1" t="s">
        <v>1629</v>
      </c>
      <c r="P311" s="1" t="s">
        <v>1630</v>
      </c>
      <c r="Y311" s="1" t="s">
        <v>23</v>
      </c>
      <c r="Z311" s="1" t="s">
        <v>1631</v>
      </c>
    </row>
    <row r="312" ht="15.75" customHeight="1">
      <c r="E312" s="1" t="s">
        <v>1632</v>
      </c>
      <c r="L312" s="1">
        <v>2021707.6666666667</v>
      </c>
      <c r="M312" s="1">
        <v>1009359.5</v>
      </c>
      <c r="Y312" s="1" t="s">
        <v>23</v>
      </c>
      <c r="Z312" s="1" t="s">
        <v>1633</v>
      </c>
    </row>
    <row r="313" ht="15.75" customHeight="1">
      <c r="E313" s="1" t="s">
        <v>1634</v>
      </c>
      <c r="L313" s="1">
        <v>3311056.1944444445</v>
      </c>
      <c r="M313" s="1">
        <v>3131237.5</v>
      </c>
      <c r="N313" s="1" t="s">
        <v>1635</v>
      </c>
      <c r="O313" s="1" t="s">
        <v>1636</v>
      </c>
      <c r="P313" s="1" t="s">
        <v>1637</v>
      </c>
      <c r="Y313" s="1" t="s">
        <v>23</v>
      </c>
      <c r="Z313" s="1" t="s">
        <v>1638</v>
      </c>
    </row>
    <row r="314" ht="15.75" customHeight="1">
      <c r="E314" s="1" t="s">
        <v>1639</v>
      </c>
      <c r="L314" s="1">
        <v>1.3367574979166666E7</v>
      </c>
      <c r="M314" s="1">
        <v>9125310.0</v>
      </c>
      <c r="N314" s="1" t="s">
        <v>1640</v>
      </c>
      <c r="O314" s="1" t="s">
        <v>1641</v>
      </c>
      <c r="P314" s="1" t="s">
        <v>1642</v>
      </c>
      <c r="Y314" s="1" t="s">
        <v>23</v>
      </c>
      <c r="Z314" s="1" t="s">
        <v>1643</v>
      </c>
    </row>
    <row r="315" ht="15.75" customHeight="1">
      <c r="E315" s="1" t="s">
        <v>1644</v>
      </c>
      <c r="L315" s="1">
        <v>273110.26923076925</v>
      </c>
      <c r="M315" s="1">
        <v>129365.5</v>
      </c>
      <c r="N315" s="1" t="s">
        <v>1645</v>
      </c>
      <c r="O315" s="1" t="s">
        <v>1646</v>
      </c>
      <c r="P315" s="1" t="s">
        <v>1647</v>
      </c>
      <c r="Y315" s="1" t="s">
        <v>23</v>
      </c>
      <c r="Z315" s="1" t="s">
        <v>1648</v>
      </c>
    </row>
    <row r="316" ht="15.75" customHeight="1">
      <c r="E316" s="1" t="s">
        <v>1649</v>
      </c>
      <c r="L316" s="1">
        <v>6.0877016166666664E7</v>
      </c>
      <c r="M316" s="1">
        <v>5.296071E7</v>
      </c>
      <c r="Y316" s="1" t="s">
        <v>23</v>
      </c>
    </row>
    <row r="317" ht="15.75" customHeight="1">
      <c r="E317" s="1" t="s">
        <v>1650</v>
      </c>
      <c r="L317" s="1">
        <v>1.6024506527777778E7</v>
      </c>
      <c r="M317" s="1">
        <v>1.2223249E7</v>
      </c>
      <c r="Y317" s="1" t="s">
        <v>23</v>
      </c>
    </row>
    <row r="318" ht="15.75" customHeight="1">
      <c r="E318" s="1" t="s">
        <v>1651</v>
      </c>
      <c r="L318" s="1">
        <v>1.353202207857143E7</v>
      </c>
      <c r="M318" s="1">
        <v>9622041.0</v>
      </c>
      <c r="Y318" s="1" t="s">
        <v>23</v>
      </c>
    </row>
    <row r="319" ht="15.75" customHeight="1">
      <c r="E319" s="1" t="s">
        <v>1652</v>
      </c>
      <c r="L319" s="1">
        <v>810200.5</v>
      </c>
      <c r="M319" s="1">
        <v>482776.0</v>
      </c>
      <c r="N319" s="1" t="s">
        <v>1653</v>
      </c>
      <c r="O319" s="1" t="s">
        <v>1654</v>
      </c>
      <c r="P319" s="1" t="s">
        <v>1655</v>
      </c>
      <c r="Y319" s="1" t="s">
        <v>23</v>
      </c>
      <c r="Z319" s="1" t="s">
        <v>1656</v>
      </c>
    </row>
    <row r="320" ht="15.75" customHeight="1">
      <c r="E320" s="1" t="s">
        <v>1657</v>
      </c>
      <c r="L320" s="1">
        <v>2917827.7098214286</v>
      </c>
      <c r="M320" s="1">
        <v>1088910.5</v>
      </c>
      <c r="Y320" s="1" t="s">
        <v>23</v>
      </c>
    </row>
    <row r="321" ht="15.75" customHeight="1">
      <c r="E321" s="1" t="s">
        <v>1658</v>
      </c>
      <c r="L321" s="1">
        <v>3985626.8233527774</v>
      </c>
      <c r="M321" s="1">
        <v>1851439.5</v>
      </c>
      <c r="Y321" s="1" t="s">
        <v>23</v>
      </c>
    </row>
    <row r="322" ht="15.75" customHeight="1">
      <c r="E322" s="1" t="s">
        <v>1659</v>
      </c>
      <c r="L322" s="1">
        <v>6593372.046875</v>
      </c>
      <c r="M322" s="1">
        <v>3423145.0</v>
      </c>
      <c r="Y322" s="1" t="s">
        <v>23</v>
      </c>
    </row>
    <row r="323" ht="15.75" customHeight="1">
      <c r="E323" s="1" t="s">
        <v>1660</v>
      </c>
      <c r="L323" s="1">
        <v>1.6867930153846154E8</v>
      </c>
      <c r="M323" s="1">
        <v>1.1197788E8</v>
      </c>
      <c r="N323" s="1" t="s">
        <v>1661</v>
      </c>
      <c r="O323" s="1" t="s">
        <v>1662</v>
      </c>
      <c r="P323" s="1" t="s">
        <v>1663</v>
      </c>
      <c r="Y323" s="1" t="s">
        <v>23</v>
      </c>
      <c r="Z323" s="1" t="s">
        <v>1664</v>
      </c>
    </row>
    <row r="324" ht="15.75" customHeight="1">
      <c r="E324" s="1" t="s">
        <v>1665</v>
      </c>
      <c r="L324" s="1">
        <v>2429319.276785714</v>
      </c>
      <c r="M324" s="1">
        <v>909129.9375</v>
      </c>
      <c r="N324" s="1" t="s">
        <v>630</v>
      </c>
      <c r="Y324" s="1" t="s">
        <v>23</v>
      </c>
      <c r="Z324" s="1" t="s">
        <v>1666</v>
      </c>
    </row>
    <row r="325" ht="15.75" customHeight="1">
      <c r="E325" s="1" t="s">
        <v>1667</v>
      </c>
      <c r="L325" s="1">
        <v>3.595524800868056E8</v>
      </c>
      <c r="M325" s="1">
        <v>3.1241375E7</v>
      </c>
      <c r="N325" s="1" t="s">
        <v>1668</v>
      </c>
      <c r="O325" s="1" t="s">
        <v>1669</v>
      </c>
      <c r="P325" s="1" t="s">
        <v>1670</v>
      </c>
      <c r="Y325" s="1" t="s">
        <v>23</v>
      </c>
      <c r="Z325" s="1" t="s">
        <v>1671</v>
      </c>
    </row>
    <row r="326" ht="15.75" customHeight="1">
      <c r="E326" s="1" t="s">
        <v>1672</v>
      </c>
      <c r="L326" s="1">
        <v>7552782.776785715</v>
      </c>
      <c r="M326" s="1">
        <v>4533944.5</v>
      </c>
      <c r="Y326" s="1" t="s">
        <v>23</v>
      </c>
    </row>
    <row r="327" ht="15.75" customHeight="1">
      <c r="E327" s="1" t="s">
        <v>1673</v>
      </c>
      <c r="L327" s="1">
        <v>1.3322834694444444E7</v>
      </c>
      <c r="M327" s="1">
        <v>9011753.0</v>
      </c>
      <c r="N327" s="1" t="s">
        <v>1674</v>
      </c>
      <c r="O327" s="1" t="s">
        <v>1675</v>
      </c>
      <c r="P327" s="1" t="s">
        <v>1676</v>
      </c>
      <c r="Y327" s="1" t="s">
        <v>23</v>
      </c>
      <c r="Z327" s="1" t="s">
        <v>1677</v>
      </c>
    </row>
    <row r="328" ht="15.75" customHeight="1">
      <c r="E328" s="1" t="s">
        <v>1678</v>
      </c>
      <c r="L328" s="1">
        <v>2.01296461E8</v>
      </c>
      <c r="M328" s="1">
        <v>1.55479872E8</v>
      </c>
      <c r="N328" s="1" t="s">
        <v>1679</v>
      </c>
      <c r="O328" s="1" t="s">
        <v>1680</v>
      </c>
      <c r="P328" s="1" t="s">
        <v>1681</v>
      </c>
      <c r="Y328" s="1" t="s">
        <v>23</v>
      </c>
      <c r="Z328" s="1" t="s">
        <v>1682</v>
      </c>
    </row>
    <row r="329" ht="15.75" customHeight="1">
      <c r="E329" s="1" t="s">
        <v>1683</v>
      </c>
      <c r="L329" s="1">
        <v>374916.8339833333</v>
      </c>
      <c r="M329" s="1">
        <v>85009.50390000001</v>
      </c>
      <c r="N329" s="1" t="s">
        <v>1684</v>
      </c>
      <c r="O329" s="1" t="s">
        <v>1685</v>
      </c>
      <c r="P329" s="1" t="s">
        <v>1686</v>
      </c>
      <c r="Y329" s="1" t="s">
        <v>23</v>
      </c>
      <c r="Z329" s="1" t="s">
        <v>1687</v>
      </c>
    </row>
    <row r="330" ht="15.75" customHeight="1">
      <c r="E330" s="1" t="s">
        <v>1688</v>
      </c>
      <c r="L330" s="1">
        <v>293681.7402333333</v>
      </c>
      <c r="M330" s="1">
        <v>114556.50390000001</v>
      </c>
      <c r="N330" s="1" t="s">
        <v>1689</v>
      </c>
      <c r="O330" s="1" t="s">
        <v>1690</v>
      </c>
      <c r="P330" s="1" t="s">
        <v>1691</v>
      </c>
      <c r="Y330" s="1" t="s">
        <v>23</v>
      </c>
      <c r="Z330" s="1" t="s">
        <v>1692</v>
      </c>
    </row>
    <row r="331" ht="15.75" customHeight="1">
      <c r="E331" s="1" t="s">
        <v>1693</v>
      </c>
      <c r="L331" s="1">
        <v>528562.06472</v>
      </c>
      <c r="M331" s="1">
        <v>262789.0</v>
      </c>
      <c r="N331" s="1" t="s">
        <v>1694</v>
      </c>
      <c r="O331" s="1" t="s">
        <v>1695</v>
      </c>
      <c r="P331" s="1" t="s">
        <v>1696</v>
      </c>
      <c r="Y331" s="1" t="s">
        <v>23</v>
      </c>
      <c r="Z331" s="1" t="s">
        <v>1697</v>
      </c>
    </row>
    <row r="332" ht="15.75" customHeight="1">
      <c r="E332" s="1" t="s">
        <v>1698</v>
      </c>
      <c r="L332" s="1">
        <v>1816056.0928833333</v>
      </c>
      <c r="M332" s="1">
        <v>1322545.0</v>
      </c>
      <c r="N332" s="1" t="s">
        <v>1699</v>
      </c>
      <c r="O332" s="1" t="s">
        <v>1700</v>
      </c>
      <c r="P332" s="1" t="s">
        <v>1701</v>
      </c>
      <c r="Y332" s="1" t="s">
        <v>23</v>
      </c>
      <c r="Z332" s="1" t="s">
        <v>1702</v>
      </c>
    </row>
    <row r="333" ht="15.75" customHeight="1">
      <c r="E333" s="1" t="s">
        <v>1703</v>
      </c>
      <c r="L333" s="1">
        <v>917549.8126142857</v>
      </c>
      <c r="M333" s="1">
        <v>464108.0</v>
      </c>
      <c r="N333" s="1" t="s">
        <v>1704</v>
      </c>
      <c r="O333" s="1" t="s">
        <v>1705</v>
      </c>
      <c r="P333" s="1" t="s">
        <v>1706</v>
      </c>
      <c r="Y333" s="1" t="s">
        <v>23</v>
      </c>
      <c r="Z333" s="1" t="s">
        <v>1707</v>
      </c>
    </row>
    <row r="334" ht="15.75" customHeight="1">
      <c r="E334" s="1" t="s">
        <v>1708</v>
      </c>
      <c r="L334" s="1">
        <v>3.177229517777778E8</v>
      </c>
      <c r="M334" s="1">
        <v>2.94567184E8</v>
      </c>
      <c r="N334" s="1" t="s">
        <v>1709</v>
      </c>
      <c r="O334" s="1" t="s">
        <v>1710</v>
      </c>
      <c r="P334" s="1" t="s">
        <v>1711</v>
      </c>
      <c r="Y334" s="1" t="s">
        <v>23</v>
      </c>
      <c r="Z334" s="1" t="s">
        <v>291</v>
      </c>
    </row>
    <row r="335" ht="15.75" customHeight="1">
      <c r="E335" s="1" t="s">
        <v>1712</v>
      </c>
      <c r="L335" s="1">
        <v>1794235.875</v>
      </c>
      <c r="M335" s="1">
        <v>1250054.0</v>
      </c>
      <c r="N335" s="1" t="s">
        <v>1713</v>
      </c>
      <c r="O335" s="1" t="s">
        <v>1714</v>
      </c>
      <c r="P335" s="1" t="s">
        <v>1715</v>
      </c>
      <c r="Y335" s="1" t="s">
        <v>23</v>
      </c>
      <c r="Z335" s="1" t="s">
        <v>1716</v>
      </c>
    </row>
    <row r="336" ht="15.75" customHeight="1">
      <c r="E336" s="1" t="s">
        <v>1717</v>
      </c>
      <c r="L336" s="1">
        <v>1429562.7326833333</v>
      </c>
      <c r="M336" s="1">
        <v>298338.4922</v>
      </c>
      <c r="N336" s="1" t="s">
        <v>1718</v>
      </c>
      <c r="O336" s="1" t="s">
        <v>1719</v>
      </c>
      <c r="P336" s="1" t="s">
        <v>1720</v>
      </c>
      <c r="Y336" s="1" t="s">
        <v>23</v>
      </c>
      <c r="Z336" s="1" t="s">
        <v>1721</v>
      </c>
    </row>
    <row r="337" ht="15.75" customHeight="1">
      <c r="E337" s="1" t="s">
        <v>1722</v>
      </c>
      <c r="L337" s="1">
        <v>1.9819858317708332E7</v>
      </c>
      <c r="M337" s="1">
        <v>5894420.25</v>
      </c>
      <c r="N337" s="1" t="s">
        <v>1723</v>
      </c>
      <c r="O337" s="1" t="s">
        <v>1724</v>
      </c>
      <c r="P337" s="1" t="s">
        <v>1725</v>
      </c>
      <c r="Y337" s="1" t="s">
        <v>23</v>
      </c>
      <c r="Z337" s="1" t="s">
        <v>1726</v>
      </c>
    </row>
    <row r="338" ht="15.75" customHeight="1">
      <c r="E338" s="1" t="s">
        <v>637</v>
      </c>
      <c r="L338" s="1">
        <v>5.37765865E7</v>
      </c>
      <c r="M338" s="1">
        <v>1.41527665E7</v>
      </c>
      <c r="N338" s="1" t="s">
        <v>638</v>
      </c>
      <c r="O338" s="1" t="s">
        <v>639</v>
      </c>
      <c r="P338" s="1" t="s">
        <v>1727</v>
      </c>
      <c r="Y338" s="1" t="s">
        <v>23</v>
      </c>
      <c r="Z338" s="1" t="s">
        <v>1728</v>
      </c>
    </row>
    <row r="339" ht="15.75" customHeight="1">
      <c r="E339" s="1" t="s">
        <v>1729</v>
      </c>
      <c r="L339" s="1">
        <v>2939757.8055555555</v>
      </c>
      <c r="M339" s="1">
        <v>2470992.0</v>
      </c>
      <c r="N339" s="1" t="s">
        <v>1730</v>
      </c>
      <c r="O339" s="1" t="s">
        <v>1731</v>
      </c>
      <c r="P339" s="1" t="s">
        <v>1732</v>
      </c>
      <c r="Y339" s="1" t="s">
        <v>23</v>
      </c>
      <c r="Z339" s="1" t="s">
        <v>1733</v>
      </c>
    </row>
    <row r="340" ht="15.75" customHeight="1">
      <c r="E340" s="1" t="s">
        <v>1734</v>
      </c>
      <c r="L340" s="1">
        <v>558725.8294333335</v>
      </c>
      <c r="M340" s="1">
        <v>427459.5</v>
      </c>
      <c r="N340" s="1" t="s">
        <v>1735</v>
      </c>
      <c r="O340" s="1" t="s">
        <v>1736</v>
      </c>
      <c r="P340" s="1" t="s">
        <v>1737</v>
      </c>
      <c r="Y340" s="1" t="s">
        <v>23</v>
      </c>
      <c r="Z340" s="1" t="s">
        <v>1738</v>
      </c>
    </row>
    <row r="341" ht="15.75" customHeight="1">
      <c r="E341" s="1" t="s">
        <v>1739</v>
      </c>
      <c r="L341" s="1">
        <v>106139.35433548388</v>
      </c>
      <c r="M341" s="1">
        <v>85249.0</v>
      </c>
      <c r="Y341" s="1" t="s">
        <v>23</v>
      </c>
      <c r="Z341" s="1" t="s">
        <v>1740</v>
      </c>
    </row>
    <row r="342" ht="15.75" customHeight="1">
      <c r="E342" s="1" t="s">
        <v>1741</v>
      </c>
      <c r="L342" s="1">
        <v>431552.95155999996</v>
      </c>
      <c r="M342" s="1">
        <v>245962.50780000002</v>
      </c>
      <c r="N342" s="1" t="s">
        <v>1742</v>
      </c>
      <c r="O342" s="1" t="s">
        <v>1743</v>
      </c>
      <c r="P342" s="1" t="s">
        <v>1744</v>
      </c>
      <c r="Y342" s="1" t="s">
        <v>23</v>
      </c>
      <c r="Z342" s="1" t="s">
        <v>1745</v>
      </c>
    </row>
    <row r="343" ht="15.75" customHeight="1">
      <c r="E343" s="1" t="s">
        <v>1746</v>
      </c>
      <c r="L343" s="1">
        <v>1008087.5898814815</v>
      </c>
      <c r="M343" s="1">
        <v>192171.0</v>
      </c>
      <c r="N343" s="1" t="s">
        <v>1747</v>
      </c>
      <c r="O343" s="1" t="s">
        <v>1748</v>
      </c>
      <c r="P343" s="1" t="s">
        <v>1749</v>
      </c>
      <c r="Y343" s="1" t="s">
        <v>23</v>
      </c>
      <c r="Z343" s="1" t="s">
        <v>451</v>
      </c>
    </row>
    <row r="344" ht="15.75" customHeight="1">
      <c r="E344" s="1" t="s">
        <v>1750</v>
      </c>
      <c r="L344" s="1">
        <v>4209140.916883333</v>
      </c>
      <c r="M344" s="1">
        <v>3121475.0</v>
      </c>
      <c r="N344" s="1" t="s">
        <v>1751</v>
      </c>
      <c r="O344" s="1" t="s">
        <v>1752</v>
      </c>
      <c r="P344" s="1" t="s">
        <v>1753</v>
      </c>
      <c r="Y344" s="1" t="s">
        <v>23</v>
      </c>
      <c r="Z344" s="1" t="s">
        <v>1754</v>
      </c>
    </row>
    <row r="345" ht="15.75" customHeight="1">
      <c r="E345" s="1" t="s">
        <v>1755</v>
      </c>
      <c r="L345" s="1">
        <v>4308733.630208333</v>
      </c>
      <c r="M345" s="1">
        <v>1547761.0</v>
      </c>
      <c r="N345" s="1" t="s">
        <v>1756</v>
      </c>
      <c r="O345" s="1" t="s">
        <v>1757</v>
      </c>
      <c r="P345" s="1" t="s">
        <v>1758</v>
      </c>
      <c r="Y345" s="1" t="s">
        <v>23</v>
      </c>
      <c r="Z345" s="1" t="s">
        <v>1759</v>
      </c>
    </row>
    <row r="346" ht="15.75" customHeight="1">
      <c r="E346" s="1" t="s">
        <v>1760</v>
      </c>
      <c r="L346" s="1">
        <v>3.965844049305555E7</v>
      </c>
      <c r="M346" s="1">
        <v>4381931.5</v>
      </c>
      <c r="N346" s="1" t="s">
        <v>1684</v>
      </c>
      <c r="O346" s="1" t="s">
        <v>1761</v>
      </c>
      <c r="P346" s="1" t="s">
        <v>1762</v>
      </c>
      <c r="Y346" s="1" t="s">
        <v>23</v>
      </c>
      <c r="Z346" s="1" t="s">
        <v>1763</v>
      </c>
    </row>
    <row r="347" ht="15.75" customHeight="1">
      <c r="E347" s="1" t="s">
        <v>1764</v>
      </c>
      <c r="L347" s="1">
        <v>6535589.5</v>
      </c>
      <c r="M347" s="1">
        <v>487304.0</v>
      </c>
      <c r="Y347" s="1" t="s">
        <v>23</v>
      </c>
    </row>
    <row r="348" ht="15.75" customHeight="1">
      <c r="E348" s="1" t="s">
        <v>1765</v>
      </c>
      <c r="L348" s="1">
        <v>5.4488566928571425E7</v>
      </c>
      <c r="M348" s="1">
        <v>1638518.5</v>
      </c>
      <c r="Y348" s="1" t="s">
        <v>23</v>
      </c>
    </row>
    <row r="349" ht="15.75" customHeight="1">
      <c r="E349" s="1" t="s">
        <v>1766</v>
      </c>
      <c r="L349" s="1">
        <v>585372.3771166668</v>
      </c>
      <c r="M349" s="1">
        <v>222255.0</v>
      </c>
      <c r="N349" s="1" t="s">
        <v>1767</v>
      </c>
      <c r="O349" s="1" t="s">
        <v>1768</v>
      </c>
      <c r="P349" s="1" t="s">
        <v>1769</v>
      </c>
      <c r="Y349" s="1" t="s">
        <v>23</v>
      </c>
      <c r="Z349" s="1" t="s">
        <v>1770</v>
      </c>
    </row>
    <row r="350" ht="15.75" customHeight="1">
      <c r="E350" s="1" t="s">
        <v>1771</v>
      </c>
      <c r="L350" s="1">
        <v>750909.0</v>
      </c>
      <c r="M350" s="1">
        <v>202883.5</v>
      </c>
      <c r="N350" s="1" t="s">
        <v>1772</v>
      </c>
      <c r="O350" s="1" t="s">
        <v>1773</v>
      </c>
      <c r="P350" s="1" t="s">
        <v>1774</v>
      </c>
      <c r="Y350" s="1" t="s">
        <v>23</v>
      </c>
    </row>
    <row r="351" ht="15.75" customHeight="1">
      <c r="E351" s="1" t="s">
        <v>1775</v>
      </c>
      <c r="L351" s="1">
        <v>4.7555833558823526E7</v>
      </c>
      <c r="M351" s="1">
        <v>3.175986E7</v>
      </c>
      <c r="Y351" s="1" t="s">
        <v>23</v>
      </c>
      <c r="Z351" s="1" t="s">
        <v>1091</v>
      </c>
    </row>
    <row r="352" ht="15.75" customHeight="1">
      <c r="E352" s="1" t="s">
        <v>1776</v>
      </c>
      <c r="L352" s="1">
        <v>8865180.9158</v>
      </c>
      <c r="M352" s="1">
        <v>4804906.0</v>
      </c>
      <c r="N352" s="1" t="s">
        <v>1777</v>
      </c>
      <c r="O352" s="1" t="s">
        <v>1778</v>
      </c>
      <c r="P352" s="1" t="s">
        <v>1779</v>
      </c>
      <c r="Y352" s="1" t="s">
        <v>23</v>
      </c>
      <c r="Z352" s="1" t="s">
        <v>1780</v>
      </c>
    </row>
    <row r="353" ht="15.75" customHeight="1">
      <c r="E353" s="1" t="s">
        <v>1781</v>
      </c>
      <c r="L353" s="1">
        <v>2.022429258888889E8</v>
      </c>
      <c r="M353" s="1">
        <v>1.75803472E8</v>
      </c>
      <c r="N353" s="1" t="s">
        <v>905</v>
      </c>
      <c r="O353" s="1" t="s">
        <v>1782</v>
      </c>
      <c r="P353" s="1" t="s">
        <v>1783</v>
      </c>
      <c r="Y353" s="1" t="s">
        <v>23</v>
      </c>
      <c r="Z353" s="1" t="s">
        <v>1784</v>
      </c>
    </row>
    <row r="354" ht="15.75" customHeight="1">
      <c r="E354" s="1" t="s">
        <v>1785</v>
      </c>
      <c r="L354" s="1">
        <v>1.6122213760555556E9</v>
      </c>
      <c r="M354" s="1">
        <v>1.661820096E9</v>
      </c>
      <c r="N354" s="1" t="s">
        <v>1661</v>
      </c>
      <c r="O354" s="1" t="s">
        <v>1786</v>
      </c>
      <c r="P354" s="1" t="s">
        <v>1787</v>
      </c>
      <c r="Y354" s="1" t="s">
        <v>23</v>
      </c>
      <c r="Z354" s="1" t="s">
        <v>1788</v>
      </c>
    </row>
    <row r="355" ht="15.75" customHeight="1">
      <c r="E355" s="1" t="s">
        <v>1789</v>
      </c>
      <c r="L355" s="1">
        <v>6.911276546E7</v>
      </c>
      <c r="M355" s="1">
        <v>2.9640336E7</v>
      </c>
      <c r="Y355" s="1" t="s">
        <v>23</v>
      </c>
    </row>
    <row r="356" ht="15.75" customHeight="1">
      <c r="E356" s="1" t="s">
        <v>1790</v>
      </c>
      <c r="L356" s="1">
        <v>3115557.588835484</v>
      </c>
      <c r="M356" s="1">
        <v>1976640.0</v>
      </c>
      <c r="N356" s="1" t="s">
        <v>1791</v>
      </c>
      <c r="O356" s="1" t="s">
        <v>1792</v>
      </c>
      <c r="P356" s="1" t="s">
        <v>1793</v>
      </c>
      <c r="Y356" s="1" t="s">
        <v>23</v>
      </c>
    </row>
    <row r="357" ht="15.75" customHeight="1">
      <c r="E357" s="1" t="s">
        <v>1794</v>
      </c>
      <c r="L357" s="1">
        <v>135859.0737851852</v>
      </c>
      <c r="M357" s="1">
        <v>106406.0</v>
      </c>
      <c r="N357" s="1" t="s">
        <v>1795</v>
      </c>
      <c r="O357" s="1" t="s">
        <v>1796</v>
      </c>
      <c r="P357" s="1" t="s">
        <v>1797</v>
      </c>
      <c r="Y357" s="1" t="s">
        <v>23</v>
      </c>
      <c r="Z357" s="1" t="s">
        <v>1798</v>
      </c>
    </row>
    <row r="358" ht="15.75" customHeight="1">
      <c r="E358" s="1" t="s">
        <v>1799</v>
      </c>
      <c r="L358" s="1">
        <v>8892739.942857143</v>
      </c>
      <c r="M358" s="1">
        <v>6491543.0</v>
      </c>
      <c r="N358" s="1" t="s">
        <v>1800</v>
      </c>
      <c r="O358" s="1" t="s">
        <v>1801</v>
      </c>
      <c r="P358" s="1" t="s">
        <v>1802</v>
      </c>
      <c r="Y358" s="1" t="s">
        <v>23</v>
      </c>
    </row>
    <row r="359" ht="15.75" customHeight="1">
      <c r="E359" s="1" t="s">
        <v>1803</v>
      </c>
      <c r="L359" s="1">
        <v>759298.575</v>
      </c>
      <c r="M359" s="1">
        <v>253633.0</v>
      </c>
      <c r="Y359" s="1" t="s">
        <v>23</v>
      </c>
    </row>
    <row r="360" ht="15.75" customHeight="1">
      <c r="E360" s="1" t="s">
        <v>1804</v>
      </c>
      <c r="L360" s="1">
        <v>276249.8578857143</v>
      </c>
      <c r="M360" s="1">
        <v>130185.0</v>
      </c>
      <c r="Y360" s="1" t="s">
        <v>23</v>
      </c>
    </row>
    <row r="361" ht="15.75" customHeight="1">
      <c r="E361" s="1" t="s">
        <v>1805</v>
      </c>
      <c r="L361" s="1">
        <v>753071.46875</v>
      </c>
      <c r="M361" s="1">
        <v>547351.0</v>
      </c>
      <c r="N361" s="1" t="s">
        <v>1806</v>
      </c>
      <c r="O361" s="1" t="s">
        <v>1807</v>
      </c>
      <c r="P361" s="1" t="s">
        <v>1808</v>
      </c>
      <c r="Y361" s="1" t="s">
        <v>23</v>
      </c>
      <c r="Z361" s="1" t="s">
        <v>1809</v>
      </c>
    </row>
    <row r="362" ht="15.75" customHeight="1">
      <c r="E362" s="1" t="s">
        <v>1810</v>
      </c>
      <c r="L362" s="1">
        <v>1.4617842345833334E8</v>
      </c>
      <c r="M362" s="1">
        <v>1.9235982E7</v>
      </c>
      <c r="N362" s="1" t="s">
        <v>1811</v>
      </c>
      <c r="Y362" s="1" t="s">
        <v>23</v>
      </c>
      <c r="Z362" s="1" t="s">
        <v>1812</v>
      </c>
    </row>
    <row r="363" ht="15.75" customHeight="1">
      <c r="E363" s="1" t="s">
        <v>1813</v>
      </c>
      <c r="L363" s="1">
        <v>1.963215761736111E8</v>
      </c>
      <c r="M363" s="1">
        <v>5.1238348E7</v>
      </c>
      <c r="Y363" s="1" t="s">
        <v>23</v>
      </c>
      <c r="Z363" s="1" t="s">
        <v>1814</v>
      </c>
    </row>
    <row r="364" ht="15.75" customHeight="1">
      <c r="E364" s="1" t="s">
        <v>1815</v>
      </c>
      <c r="L364" s="1">
        <v>655987.8191647059</v>
      </c>
      <c r="M364" s="1">
        <v>481848.0</v>
      </c>
      <c r="Y364" s="1" t="s">
        <v>23</v>
      </c>
      <c r="Z364" s="1" t="s">
        <v>1816</v>
      </c>
    </row>
    <row r="365" ht="15.75" customHeight="1">
      <c r="E365" s="1" t="s">
        <v>1817</v>
      </c>
      <c r="L365" s="1">
        <v>1318470.3320333334</v>
      </c>
      <c r="M365" s="1">
        <v>247163.9844</v>
      </c>
      <c r="Y365" s="1" t="s">
        <v>23</v>
      </c>
    </row>
    <row r="366" ht="15.75" customHeight="1">
      <c r="E366" s="1" t="s">
        <v>1818</v>
      </c>
      <c r="L366" s="1">
        <v>2504405.2196705886</v>
      </c>
      <c r="M366" s="1">
        <v>882943.0</v>
      </c>
      <c r="N366" s="1" t="s">
        <v>1819</v>
      </c>
      <c r="O366" s="1" t="s">
        <v>1820</v>
      </c>
      <c r="P366" s="1" t="s">
        <v>1821</v>
      </c>
      <c r="Y366" s="1" t="s">
        <v>23</v>
      </c>
    </row>
    <row r="367" ht="15.75" customHeight="1">
      <c r="E367" s="1" t="s">
        <v>1822</v>
      </c>
      <c r="L367" s="1">
        <v>875057.5333333333</v>
      </c>
      <c r="M367" s="1">
        <v>330422.0</v>
      </c>
      <c r="N367" s="1" t="s">
        <v>1823</v>
      </c>
      <c r="O367" s="1" t="s">
        <v>1824</v>
      </c>
      <c r="P367" s="1" t="s">
        <v>1825</v>
      </c>
      <c r="Y367" s="1" t="s">
        <v>23</v>
      </c>
      <c r="Z367" s="1" t="s">
        <v>1826</v>
      </c>
    </row>
    <row r="368" ht="15.75" customHeight="1">
      <c r="E368" s="1" t="s">
        <v>1827</v>
      </c>
      <c r="L368" s="1">
        <v>2076762.61875</v>
      </c>
      <c r="M368" s="1">
        <v>665755.0</v>
      </c>
      <c r="N368" s="1" t="s">
        <v>1828</v>
      </c>
      <c r="O368" s="1" t="s">
        <v>1829</v>
      </c>
      <c r="P368" s="1" t="s">
        <v>1830</v>
      </c>
      <c r="Y368" s="1" t="s">
        <v>23</v>
      </c>
      <c r="Z368" s="1" t="s">
        <v>1831</v>
      </c>
    </row>
    <row r="369" ht="15.75" customHeight="1">
      <c r="E369" s="1" t="s">
        <v>1832</v>
      </c>
      <c r="L369" s="1">
        <v>1454055.55</v>
      </c>
      <c r="M369" s="1">
        <v>1143728.5</v>
      </c>
      <c r="N369" s="1" t="s">
        <v>1833</v>
      </c>
      <c r="O369" s="1" t="s">
        <v>1834</v>
      </c>
      <c r="P369" s="1" t="s">
        <v>1835</v>
      </c>
      <c r="Y369" s="1" t="s">
        <v>23</v>
      </c>
    </row>
    <row r="370" ht="15.75" customHeight="1">
      <c r="E370" s="1" t="s">
        <v>1836</v>
      </c>
      <c r="L370" s="1">
        <v>1.4348437273214286E7</v>
      </c>
      <c r="M370" s="1">
        <v>9932757.0</v>
      </c>
      <c r="Y370" s="1" t="s">
        <v>23</v>
      </c>
      <c r="Z370" s="1" t="s">
        <v>1837</v>
      </c>
    </row>
    <row r="371" ht="15.75" customHeight="1">
      <c r="E371" s="1" t="s">
        <v>1838</v>
      </c>
      <c r="L371" s="1">
        <v>1042078.566409375</v>
      </c>
      <c r="M371" s="1">
        <v>696054.5</v>
      </c>
      <c r="N371" s="1" t="s">
        <v>1078</v>
      </c>
      <c r="O371" s="1" t="s">
        <v>1839</v>
      </c>
      <c r="P371" s="1" t="s">
        <v>1840</v>
      </c>
      <c r="Y371" s="1" t="s">
        <v>23</v>
      </c>
      <c r="Z371" s="1" t="s">
        <v>1841</v>
      </c>
    </row>
    <row r="372" ht="15.75" customHeight="1">
      <c r="E372" s="1" t="s">
        <v>1842</v>
      </c>
      <c r="L372" s="1">
        <v>388962.7647117647</v>
      </c>
      <c r="M372" s="1">
        <v>345065.0</v>
      </c>
      <c r="N372" s="1" t="s">
        <v>1843</v>
      </c>
      <c r="O372" s="1" t="s">
        <v>1844</v>
      </c>
      <c r="P372" s="1" t="s">
        <v>1845</v>
      </c>
      <c r="Y372" s="1" t="s">
        <v>23</v>
      </c>
      <c r="Z372" s="1" t="s">
        <v>1846</v>
      </c>
    </row>
    <row r="373" ht="15.75" customHeight="1">
      <c r="E373" s="1" t="s">
        <v>1847</v>
      </c>
      <c r="L373" s="1">
        <v>400217.5553388889</v>
      </c>
      <c r="M373" s="1">
        <v>129603.5</v>
      </c>
      <c r="N373" s="1" t="s">
        <v>1848</v>
      </c>
      <c r="O373" s="1" t="s">
        <v>1849</v>
      </c>
      <c r="P373" s="1" t="s">
        <v>1850</v>
      </c>
      <c r="Y373" s="1" t="s">
        <v>23</v>
      </c>
      <c r="Z373" s="1" t="s">
        <v>1851</v>
      </c>
    </row>
    <row r="374" ht="15.75" customHeight="1">
      <c r="E374" s="1" t="s">
        <v>1852</v>
      </c>
      <c r="L374" s="1">
        <v>1.2822996775175E7</v>
      </c>
      <c r="M374" s="1">
        <v>1194927.5</v>
      </c>
      <c r="N374" s="1" t="s">
        <v>1853</v>
      </c>
      <c r="O374" s="1" t="s">
        <v>1854</v>
      </c>
      <c r="P374" s="1" t="s">
        <v>1855</v>
      </c>
      <c r="Y374" s="1" t="s">
        <v>23</v>
      </c>
      <c r="Z374" s="1" t="s">
        <v>1856</v>
      </c>
    </row>
    <row r="375" ht="15.75" customHeight="1">
      <c r="E375" s="1" t="s">
        <v>1857</v>
      </c>
      <c r="L375" s="1">
        <v>1.1849174484722222E8</v>
      </c>
      <c r="M375" s="1">
        <v>1.3873046E7</v>
      </c>
      <c r="Y375" s="1" t="s">
        <v>23</v>
      </c>
      <c r="Z375" s="1" t="s">
        <v>1858</v>
      </c>
    </row>
    <row r="376" ht="15.75" customHeight="1">
      <c r="E376" s="1" t="s">
        <v>1859</v>
      </c>
      <c r="L376" s="1">
        <v>8.037628702083333E7</v>
      </c>
      <c r="M376" s="1">
        <v>2.02013565E7</v>
      </c>
      <c r="Y376" s="1" t="s">
        <v>23</v>
      </c>
      <c r="Z376" s="1" t="s">
        <v>1860</v>
      </c>
    </row>
    <row r="377" ht="15.75" customHeight="1">
      <c r="E377" s="1" t="s">
        <v>1861</v>
      </c>
      <c r="L377" s="1">
        <v>3.2741643803819444E7</v>
      </c>
      <c r="M377" s="1">
        <v>2918726.5</v>
      </c>
      <c r="Y377" s="1" t="s">
        <v>23</v>
      </c>
      <c r="Z377" s="1" t="s">
        <v>1862</v>
      </c>
    </row>
    <row r="378" ht="15.75" customHeight="1">
      <c r="E378" s="1" t="s">
        <v>1863</v>
      </c>
      <c r="L378" s="1">
        <v>837756.1036466666</v>
      </c>
      <c r="M378" s="1">
        <v>375190.5</v>
      </c>
      <c r="Y378" s="1" t="s">
        <v>23</v>
      </c>
    </row>
    <row r="379" ht="15.75" customHeight="1">
      <c r="E379" s="1" t="s">
        <v>1864</v>
      </c>
      <c r="L379" s="1">
        <v>6902044.958333333</v>
      </c>
      <c r="M379" s="1">
        <v>2794519.875</v>
      </c>
      <c r="Y379" s="1" t="s">
        <v>23</v>
      </c>
      <c r="Z379" s="1" t="s">
        <v>1865</v>
      </c>
    </row>
    <row r="380" ht="15.75" customHeight="1">
      <c r="E380" s="1" t="s">
        <v>1866</v>
      </c>
      <c r="L380" s="1">
        <v>8021591.5</v>
      </c>
      <c r="M380" s="1">
        <v>2613347.0</v>
      </c>
      <c r="Y380" s="1" t="s">
        <v>23</v>
      </c>
    </row>
    <row r="381" ht="15.75" customHeight="1">
      <c r="E381" s="1" t="s">
        <v>1867</v>
      </c>
      <c r="L381" s="1">
        <v>839451.6632000001</v>
      </c>
      <c r="M381" s="1">
        <v>716129.0</v>
      </c>
      <c r="Y381" s="1" t="s">
        <v>23</v>
      </c>
      <c r="Z381" s="1" t="s">
        <v>1868</v>
      </c>
    </row>
    <row r="382" ht="15.75" customHeight="1">
      <c r="E382" s="1" t="s">
        <v>1869</v>
      </c>
      <c r="L382" s="1">
        <v>197133.69602424244</v>
      </c>
      <c r="M382" s="1">
        <v>167410.0</v>
      </c>
      <c r="Y382" s="1" t="s">
        <v>23</v>
      </c>
    </row>
    <row r="383" ht="15.75" customHeight="1">
      <c r="E383" s="1" t="s">
        <v>1870</v>
      </c>
      <c r="L383" s="1">
        <v>7555085.000894286</v>
      </c>
      <c r="M383" s="1">
        <v>2872008.0</v>
      </c>
      <c r="N383" s="1" t="s">
        <v>1871</v>
      </c>
      <c r="O383" s="1" t="s">
        <v>1872</v>
      </c>
      <c r="P383" s="1" t="s">
        <v>1873</v>
      </c>
      <c r="Y383" s="1" t="s">
        <v>23</v>
      </c>
      <c r="Z383" s="1" t="s">
        <v>1874</v>
      </c>
    </row>
    <row r="384" ht="15.75" customHeight="1">
      <c r="E384" s="1" t="s">
        <v>1875</v>
      </c>
      <c r="L384" s="1">
        <v>391429.3461538461</v>
      </c>
      <c r="M384" s="1">
        <v>245721.0</v>
      </c>
      <c r="N384" s="1" t="s">
        <v>1876</v>
      </c>
      <c r="O384" s="1" t="s">
        <v>1877</v>
      </c>
      <c r="P384" s="1" t="s">
        <v>1878</v>
      </c>
      <c r="Y384" s="1" t="s">
        <v>23</v>
      </c>
    </row>
    <row r="385" ht="15.75" customHeight="1">
      <c r="E385" s="1" t="s">
        <v>1879</v>
      </c>
      <c r="L385" s="1">
        <v>8660474.493055556</v>
      </c>
      <c r="M385" s="1">
        <v>4974576.5</v>
      </c>
      <c r="Y385" s="1" t="s">
        <v>23</v>
      </c>
    </row>
    <row r="386" ht="15.75" customHeight="1">
      <c r="E386" s="1" t="s">
        <v>1880</v>
      </c>
      <c r="L386" s="1">
        <v>6.001952586111111E7</v>
      </c>
      <c r="M386" s="1">
        <v>1.5166115E7</v>
      </c>
      <c r="Y386" s="1" t="s">
        <v>23</v>
      </c>
      <c r="Z386" s="1" t="s">
        <v>1881</v>
      </c>
    </row>
    <row r="387" ht="15.75" customHeight="1">
      <c r="E387" s="1" t="s">
        <v>1882</v>
      </c>
      <c r="L387" s="1">
        <v>1.969311304652778E8</v>
      </c>
      <c r="M387" s="1">
        <v>2.4642436E7</v>
      </c>
      <c r="Y387" s="1" t="s">
        <v>23</v>
      </c>
      <c r="Z387" s="1" t="s">
        <v>1883</v>
      </c>
    </row>
    <row r="388" ht="15.75" customHeight="1">
      <c r="E388" s="1" t="s">
        <v>1884</v>
      </c>
      <c r="L388" s="1">
        <v>1519567.1684055557</v>
      </c>
      <c r="M388" s="1">
        <v>650362.0</v>
      </c>
      <c r="Y388" s="1" t="s">
        <v>23</v>
      </c>
    </row>
    <row r="389" ht="15.75" customHeight="1">
      <c r="E389" s="1" t="s">
        <v>1885</v>
      </c>
      <c r="L389" s="1">
        <v>5079245.928571428</v>
      </c>
      <c r="M389" s="1">
        <v>1598888.5</v>
      </c>
      <c r="N389" s="1" t="s">
        <v>1886</v>
      </c>
      <c r="O389" s="1" t="s">
        <v>1887</v>
      </c>
      <c r="P389" s="1" t="s">
        <v>1888</v>
      </c>
      <c r="Y389" s="1" t="s">
        <v>23</v>
      </c>
    </row>
    <row r="390" ht="15.75" customHeight="1">
      <c r="E390" s="1" t="s">
        <v>1889</v>
      </c>
      <c r="L390" s="1">
        <v>7580354.911764706</v>
      </c>
      <c r="M390" s="1">
        <v>2037387.0</v>
      </c>
      <c r="N390" s="1" t="s">
        <v>1890</v>
      </c>
      <c r="O390" s="1" t="s">
        <v>1891</v>
      </c>
      <c r="P390" s="1" t="s">
        <v>1892</v>
      </c>
      <c r="Y390" s="1" t="s">
        <v>23</v>
      </c>
    </row>
    <row r="391" ht="15.75" customHeight="1">
      <c r="E391" s="1" t="s">
        <v>1893</v>
      </c>
      <c r="L391" s="1">
        <v>4.5345154666666664E7</v>
      </c>
      <c r="M391" s="1">
        <v>6591562.0</v>
      </c>
      <c r="N391" s="1" t="s">
        <v>1894</v>
      </c>
      <c r="O391" s="1" t="s">
        <v>1895</v>
      </c>
      <c r="P391" s="1" t="s">
        <v>1896</v>
      </c>
      <c r="Y391" s="1" t="s">
        <v>23</v>
      </c>
      <c r="Z391" s="1" t="s">
        <v>1897</v>
      </c>
    </row>
    <row r="392" ht="15.75" customHeight="1">
      <c r="E392" s="1" t="s">
        <v>1898</v>
      </c>
      <c r="L392" s="1">
        <v>4990847.8121652175</v>
      </c>
      <c r="M392" s="1">
        <v>339515.0</v>
      </c>
      <c r="Y392" s="1" t="s">
        <v>23</v>
      </c>
    </row>
    <row r="393" ht="15.75" customHeight="1">
      <c r="E393" s="1" t="s">
        <v>1899</v>
      </c>
      <c r="L393" s="1">
        <v>474057.6324</v>
      </c>
      <c r="M393" s="1">
        <v>407895.0</v>
      </c>
      <c r="N393" s="1" t="s">
        <v>1900</v>
      </c>
      <c r="O393" s="1" t="s">
        <v>1901</v>
      </c>
      <c r="P393" s="1" t="s">
        <v>1902</v>
      </c>
      <c r="Y393" s="1" t="s">
        <v>23</v>
      </c>
      <c r="Z393" s="1" t="s">
        <v>1903</v>
      </c>
    </row>
    <row r="394" ht="15.75" customHeight="1">
      <c r="E394" s="1" t="s">
        <v>1904</v>
      </c>
      <c r="L394" s="1">
        <v>282389.5714285714</v>
      </c>
      <c r="M394" s="1">
        <v>98654.0</v>
      </c>
      <c r="N394" s="1" t="s">
        <v>1905</v>
      </c>
      <c r="O394" s="1" t="s">
        <v>1906</v>
      </c>
      <c r="P394" s="1" t="s">
        <v>1907</v>
      </c>
      <c r="Y394" s="1" t="s">
        <v>23</v>
      </c>
      <c r="Z394" s="1" t="s">
        <v>1908</v>
      </c>
    </row>
    <row r="395" ht="15.75" customHeight="1">
      <c r="E395" s="1" t="s">
        <v>1909</v>
      </c>
      <c r="L395" s="1">
        <v>462518.2403846154</v>
      </c>
      <c r="M395" s="1">
        <v>176666.0</v>
      </c>
      <c r="N395" s="1" t="s">
        <v>1823</v>
      </c>
      <c r="O395" s="1" t="s">
        <v>1910</v>
      </c>
      <c r="P395" s="1" t="s">
        <v>1911</v>
      </c>
      <c r="Y395" s="1" t="s">
        <v>23</v>
      </c>
      <c r="Z395" s="1" t="s">
        <v>1912</v>
      </c>
    </row>
    <row r="396" ht="15.75" customHeight="1">
      <c r="E396" s="1" t="s">
        <v>1913</v>
      </c>
      <c r="L396" s="1">
        <v>5.511606091493055E7</v>
      </c>
      <c r="M396" s="1">
        <v>8011108.5</v>
      </c>
      <c r="Y396" s="1" t="s">
        <v>23</v>
      </c>
      <c r="Z396" s="1" t="s">
        <v>1914</v>
      </c>
    </row>
    <row r="397" ht="15.75" customHeight="1">
      <c r="E397" s="1" t="s">
        <v>1915</v>
      </c>
      <c r="L397" s="1">
        <v>877304.4322916666</v>
      </c>
      <c r="M397" s="1">
        <v>685719.5</v>
      </c>
      <c r="Y397" s="1" t="s">
        <v>23</v>
      </c>
    </row>
    <row r="398" ht="15.75" customHeight="1">
      <c r="E398" s="1" t="s">
        <v>1916</v>
      </c>
      <c r="L398" s="1">
        <v>738842.9509954546</v>
      </c>
      <c r="M398" s="1">
        <v>390656.98439999996</v>
      </c>
      <c r="Y398" s="1" t="s">
        <v>23</v>
      </c>
    </row>
    <row r="399" ht="15.75" customHeight="1">
      <c r="E399" s="1" t="s">
        <v>1917</v>
      </c>
      <c r="L399" s="1">
        <v>1.0042377435763888E7</v>
      </c>
      <c r="M399" s="1">
        <v>5586256.0</v>
      </c>
      <c r="N399" s="1" t="s">
        <v>1918</v>
      </c>
      <c r="Y399" s="1" t="s">
        <v>23</v>
      </c>
      <c r="Z399" s="1" t="s">
        <v>1919</v>
      </c>
    </row>
    <row r="400" ht="15.75" customHeight="1">
      <c r="E400" s="1" t="s">
        <v>1920</v>
      </c>
      <c r="L400" s="1">
        <v>1222758.1887038462</v>
      </c>
      <c r="M400" s="1">
        <v>957619.53125</v>
      </c>
      <c r="N400" s="1" t="s">
        <v>1921</v>
      </c>
      <c r="Y400" s="1" t="s">
        <v>23</v>
      </c>
      <c r="Z400" s="1" t="s">
        <v>1922</v>
      </c>
    </row>
    <row r="401" ht="15.75" customHeight="1">
      <c r="E401" s="1" t="s">
        <v>1923</v>
      </c>
      <c r="L401" s="1">
        <v>6024509.565972222</v>
      </c>
      <c r="M401" s="1">
        <v>3846597.875</v>
      </c>
      <c r="N401" s="1" t="s">
        <v>1843</v>
      </c>
      <c r="O401" s="1" t="s">
        <v>1924</v>
      </c>
      <c r="P401" s="1" t="s">
        <v>1925</v>
      </c>
      <c r="Y401" s="1" t="s">
        <v>23</v>
      </c>
      <c r="Z401" s="1" t="s">
        <v>1926</v>
      </c>
    </row>
    <row r="402" ht="15.75" customHeight="1">
      <c r="E402" s="1" t="s">
        <v>1927</v>
      </c>
      <c r="L402" s="1">
        <v>3.3259924E7</v>
      </c>
      <c r="M402" s="1">
        <v>3.3259924E7</v>
      </c>
      <c r="N402" s="1" t="s">
        <v>1928</v>
      </c>
      <c r="O402" s="1" t="s">
        <v>1929</v>
      </c>
      <c r="P402" s="1" t="s">
        <v>1930</v>
      </c>
      <c r="Y402" s="1" t="s">
        <v>23</v>
      </c>
      <c r="Z402" s="1" t="s">
        <v>1931</v>
      </c>
    </row>
    <row r="403" ht="15.75" customHeight="1">
      <c r="E403" s="1" t="s">
        <v>1932</v>
      </c>
      <c r="L403" s="1">
        <v>1937569.4566000002</v>
      </c>
      <c r="M403" s="1">
        <v>684155.0</v>
      </c>
      <c r="N403" s="1" t="s">
        <v>1933</v>
      </c>
      <c r="O403" s="1" t="s">
        <v>1934</v>
      </c>
      <c r="P403" s="1" t="s">
        <v>1935</v>
      </c>
      <c r="Y403" s="1" t="s">
        <v>23</v>
      </c>
    </row>
    <row r="404" ht="15.75" customHeight="1">
      <c r="E404" s="1" t="s">
        <v>1936</v>
      </c>
      <c r="L404" s="1">
        <v>1825012.547335294</v>
      </c>
      <c r="M404" s="1">
        <v>946643.5</v>
      </c>
      <c r="N404" s="1" t="s">
        <v>1937</v>
      </c>
      <c r="O404" s="1" t="s">
        <v>1938</v>
      </c>
      <c r="P404" s="1" t="s">
        <v>1939</v>
      </c>
      <c r="Y404" s="1" t="s">
        <v>23</v>
      </c>
      <c r="Z404" s="1" t="s">
        <v>1940</v>
      </c>
    </row>
    <row r="405" ht="15.75" customHeight="1">
      <c r="E405" s="1" t="s">
        <v>1941</v>
      </c>
      <c r="L405" s="1">
        <v>4.4499206E7</v>
      </c>
      <c r="M405" s="1">
        <v>277514.0</v>
      </c>
      <c r="Y405" s="1" t="s">
        <v>23</v>
      </c>
      <c r="Z405" s="1" t="s">
        <v>1942</v>
      </c>
    </row>
    <row r="406" ht="15.75" customHeight="1">
      <c r="E406" s="1" t="s">
        <v>1943</v>
      </c>
      <c r="L406" s="1">
        <v>789325.125975</v>
      </c>
      <c r="M406" s="1">
        <v>151906.50780000002</v>
      </c>
      <c r="N406" s="1" t="s">
        <v>1944</v>
      </c>
      <c r="O406" s="1" t="s">
        <v>1945</v>
      </c>
      <c r="P406" s="1" t="s">
        <v>1946</v>
      </c>
      <c r="Y406" s="1" t="s">
        <v>23</v>
      </c>
    </row>
    <row r="407" ht="15.75" customHeight="1">
      <c r="E407" s="1" t="s">
        <v>1947</v>
      </c>
      <c r="L407" s="1">
        <v>5.011379413888889E7</v>
      </c>
      <c r="M407" s="1">
        <v>2.7803129E7</v>
      </c>
      <c r="N407" s="1" t="s">
        <v>1948</v>
      </c>
      <c r="O407" s="1" t="s">
        <v>1949</v>
      </c>
      <c r="P407" s="1" t="s">
        <v>1950</v>
      </c>
      <c r="Y407" s="1" t="s">
        <v>23</v>
      </c>
      <c r="Z407" s="1" t="s">
        <v>1951</v>
      </c>
    </row>
    <row r="408" ht="15.75" customHeight="1">
      <c r="E408" s="1" t="s">
        <v>1952</v>
      </c>
      <c r="L408" s="1">
        <v>4346836.4</v>
      </c>
      <c r="M408" s="1">
        <v>2371683.0</v>
      </c>
      <c r="N408" s="1" t="s">
        <v>630</v>
      </c>
      <c r="Y408" s="1" t="s">
        <v>23</v>
      </c>
      <c r="Z408" s="1" t="s">
        <v>1953</v>
      </c>
    </row>
    <row r="409" ht="15.75" customHeight="1">
      <c r="E409" s="1" t="s">
        <v>1954</v>
      </c>
      <c r="L409" s="1">
        <v>3555572.2118055555</v>
      </c>
      <c r="M409" s="1">
        <v>2973199.0</v>
      </c>
      <c r="N409" s="1" t="s">
        <v>1955</v>
      </c>
      <c r="Y409" s="1" t="s">
        <v>23</v>
      </c>
      <c r="Z409" s="1" t="s">
        <v>1956</v>
      </c>
    </row>
    <row r="410" ht="15.75" customHeight="1">
      <c r="E410" s="1" t="s">
        <v>1957</v>
      </c>
      <c r="L410" s="1">
        <v>882952.3040884616</v>
      </c>
      <c r="M410" s="1">
        <v>825619.5</v>
      </c>
      <c r="N410" s="1" t="s">
        <v>1958</v>
      </c>
      <c r="O410" s="1" t="s">
        <v>1959</v>
      </c>
      <c r="P410" s="1" t="s">
        <v>1960</v>
      </c>
      <c r="Y410" s="1" t="s">
        <v>23</v>
      </c>
      <c r="Z410" s="1" t="s">
        <v>1961</v>
      </c>
    </row>
    <row r="411" ht="15.75" customHeight="1">
      <c r="E411" s="1" t="s">
        <v>1962</v>
      </c>
      <c r="L411" s="1">
        <v>2.7092815548611112E7</v>
      </c>
      <c r="M411" s="1">
        <v>2.146418E7</v>
      </c>
      <c r="N411" s="1" t="s">
        <v>1963</v>
      </c>
      <c r="O411" s="1" t="s">
        <v>1964</v>
      </c>
      <c r="P411" s="1" t="s">
        <v>1965</v>
      </c>
      <c r="Y411" s="1" t="s">
        <v>23</v>
      </c>
      <c r="Z411" s="1" t="s">
        <v>1966</v>
      </c>
    </row>
    <row r="412" ht="15.75" customHeight="1">
      <c r="E412" s="1" t="s">
        <v>1967</v>
      </c>
      <c r="L412" s="1">
        <v>2193867.6</v>
      </c>
      <c r="M412" s="1">
        <v>992077.0</v>
      </c>
      <c r="N412" s="1" t="s">
        <v>1968</v>
      </c>
      <c r="Y412" s="1" t="s">
        <v>23</v>
      </c>
      <c r="Z412" s="1" t="s">
        <v>1969</v>
      </c>
    </row>
    <row r="413" ht="15.75" customHeight="1">
      <c r="E413" s="1" t="s">
        <v>1970</v>
      </c>
      <c r="L413" s="1">
        <v>1.5056708652173912E7</v>
      </c>
      <c r="M413" s="1">
        <v>4822065.0</v>
      </c>
      <c r="N413" s="1" t="s">
        <v>1971</v>
      </c>
      <c r="Y413" s="1" t="s">
        <v>23</v>
      </c>
      <c r="Z413" s="1" t="s">
        <v>1972</v>
      </c>
    </row>
    <row r="414" ht="15.75" customHeight="1">
      <c r="E414" s="1" t="s">
        <v>1973</v>
      </c>
      <c r="L414" s="1">
        <v>148777.56589565217</v>
      </c>
      <c r="M414" s="1">
        <v>123791.0078</v>
      </c>
      <c r="N414" s="1" t="s">
        <v>1974</v>
      </c>
      <c r="O414" s="1" t="s">
        <v>1975</v>
      </c>
      <c r="P414" s="1" t="s">
        <v>1976</v>
      </c>
      <c r="Y414" s="1" t="s">
        <v>23</v>
      </c>
      <c r="Z414" s="1" t="s">
        <v>1977</v>
      </c>
    </row>
    <row r="415" ht="15.75" customHeight="1">
      <c r="E415" s="1" t="s">
        <v>1978</v>
      </c>
      <c r="L415" s="1">
        <v>773281.24805</v>
      </c>
      <c r="M415" s="1">
        <v>390717.9922</v>
      </c>
      <c r="Y415" s="1" t="s">
        <v>23</v>
      </c>
    </row>
    <row r="416" ht="15.75" customHeight="1">
      <c r="E416" s="1" t="s">
        <v>1979</v>
      </c>
      <c r="L416" s="1">
        <v>309314.7586206897</v>
      </c>
      <c r="M416" s="1">
        <v>260633.0</v>
      </c>
      <c r="Y416" s="1" t="s">
        <v>23</v>
      </c>
    </row>
    <row r="417" ht="15.75" customHeight="1">
      <c r="E417" s="1" t="s">
        <v>1980</v>
      </c>
      <c r="L417" s="1">
        <v>2007426.8218088239</v>
      </c>
      <c r="M417" s="1">
        <v>639281.5</v>
      </c>
      <c r="N417" s="1" t="s">
        <v>1981</v>
      </c>
      <c r="O417" s="1" t="s">
        <v>1982</v>
      </c>
      <c r="P417" s="1" t="s">
        <v>1983</v>
      </c>
      <c r="Y417" s="1" t="s">
        <v>23</v>
      </c>
      <c r="Z417" s="1" t="s">
        <v>1984</v>
      </c>
    </row>
    <row r="418" ht="15.75" customHeight="1">
      <c r="E418" s="1" t="s">
        <v>1985</v>
      </c>
      <c r="L418" s="1">
        <v>269149.64084074076</v>
      </c>
      <c r="M418" s="1">
        <v>176905.0</v>
      </c>
      <c r="N418" s="1" t="s">
        <v>1986</v>
      </c>
      <c r="O418" s="1" t="s">
        <v>1987</v>
      </c>
      <c r="P418" s="1" t="s">
        <v>1988</v>
      </c>
      <c r="Y418" s="1" t="s">
        <v>23</v>
      </c>
      <c r="Z418" s="1" t="s">
        <v>1989</v>
      </c>
    </row>
    <row r="419" ht="15.75" customHeight="1">
      <c r="E419" s="1" t="s">
        <v>1990</v>
      </c>
      <c r="L419" s="1">
        <v>162766.60869565216</v>
      </c>
      <c r="M419" s="1">
        <v>122246.0</v>
      </c>
      <c r="N419" s="1" t="s">
        <v>1991</v>
      </c>
      <c r="O419" s="1" t="s">
        <v>1992</v>
      </c>
      <c r="P419" s="1" t="s">
        <v>1993</v>
      </c>
      <c r="Y419" s="1" t="s">
        <v>23</v>
      </c>
      <c r="Z419" s="1" t="s">
        <v>1994</v>
      </c>
    </row>
    <row r="420" ht="15.75" customHeight="1">
      <c r="E420" s="1" t="s">
        <v>1995</v>
      </c>
      <c r="L420" s="1">
        <v>2328799.028211111</v>
      </c>
      <c r="M420" s="1">
        <v>1838688.0</v>
      </c>
      <c r="N420" s="1" t="s">
        <v>1991</v>
      </c>
      <c r="O420" s="1" t="s">
        <v>1996</v>
      </c>
      <c r="P420" s="1" t="s">
        <v>1997</v>
      </c>
      <c r="Y420" s="1" t="s">
        <v>23</v>
      </c>
      <c r="Z420" s="1" t="s">
        <v>1998</v>
      </c>
    </row>
    <row r="421" ht="15.75" customHeight="1">
      <c r="E421" s="1" t="s">
        <v>1999</v>
      </c>
      <c r="L421" s="1">
        <v>755188.1538461539</v>
      </c>
      <c r="M421" s="1">
        <v>280188.0</v>
      </c>
      <c r="N421" s="1" t="s">
        <v>2000</v>
      </c>
      <c r="O421" s="1" t="s">
        <v>2001</v>
      </c>
      <c r="P421" s="1" t="s">
        <v>2002</v>
      </c>
      <c r="Y421" s="1" t="s">
        <v>23</v>
      </c>
      <c r="Z421" s="1" t="s">
        <v>2003</v>
      </c>
    </row>
    <row r="422" ht="15.75" customHeight="1">
      <c r="E422" s="1" t="s">
        <v>2004</v>
      </c>
      <c r="L422" s="1">
        <v>3.665125863888889E7</v>
      </c>
      <c r="M422" s="1">
        <v>2.5076629E7</v>
      </c>
      <c r="Y422" s="1" t="s">
        <v>23</v>
      </c>
    </row>
    <row r="423" ht="15.75" customHeight="1">
      <c r="E423" s="1" t="s">
        <v>2005</v>
      </c>
      <c r="L423" s="1">
        <v>5774067.819444444</v>
      </c>
      <c r="M423" s="1">
        <v>4497073.0</v>
      </c>
      <c r="N423" s="1" t="s">
        <v>2006</v>
      </c>
      <c r="O423" s="1" t="s">
        <v>2007</v>
      </c>
      <c r="P423" s="1" t="s">
        <v>2008</v>
      </c>
      <c r="Y423" s="1" t="s">
        <v>23</v>
      </c>
      <c r="Z423" s="1" t="s">
        <v>2009</v>
      </c>
    </row>
    <row r="424" ht="15.75" customHeight="1">
      <c r="E424" s="1" t="s">
        <v>2010</v>
      </c>
      <c r="L424" s="1">
        <v>6.208219354861389E7</v>
      </c>
      <c r="M424" s="1">
        <v>3285622.375</v>
      </c>
      <c r="N424" s="1" t="s">
        <v>1363</v>
      </c>
      <c r="O424" s="1" t="s">
        <v>2011</v>
      </c>
      <c r="P424" s="1" t="s">
        <v>2012</v>
      </c>
      <c r="Y424" s="1" t="s">
        <v>23</v>
      </c>
      <c r="Z424" s="1" t="s">
        <v>2013</v>
      </c>
    </row>
    <row r="425" ht="15.75" customHeight="1">
      <c r="E425" s="1" t="s">
        <v>2014</v>
      </c>
      <c r="L425" s="1">
        <v>3.660386713892609E7</v>
      </c>
      <c r="M425" s="1">
        <v>285928.0</v>
      </c>
      <c r="Y425" s="1" t="s">
        <v>23</v>
      </c>
    </row>
    <row r="426" ht="15.75" customHeight="1">
      <c r="E426" s="1" t="s">
        <v>2015</v>
      </c>
      <c r="L426" s="1">
        <v>1340658.9892857142</v>
      </c>
      <c r="M426" s="1">
        <v>1172239.0</v>
      </c>
      <c r="N426" s="1" t="s">
        <v>2016</v>
      </c>
      <c r="O426" s="1" t="s">
        <v>2017</v>
      </c>
      <c r="P426" s="1" t="s">
        <v>2018</v>
      </c>
      <c r="Y426" s="1" t="s">
        <v>23</v>
      </c>
      <c r="Z426" s="1" t="s">
        <v>2019</v>
      </c>
    </row>
    <row r="427" ht="15.75" customHeight="1">
      <c r="E427" s="1" t="s">
        <v>2020</v>
      </c>
      <c r="L427" s="1">
        <v>3591142.1904761903</v>
      </c>
      <c r="M427" s="1">
        <v>1277144.0</v>
      </c>
      <c r="N427" s="1" t="s">
        <v>2021</v>
      </c>
      <c r="Y427" s="1" t="s">
        <v>23</v>
      </c>
      <c r="Z427" s="1" t="s">
        <v>2022</v>
      </c>
    </row>
    <row r="428" ht="15.75" customHeight="1">
      <c r="E428" s="1" t="s">
        <v>2023</v>
      </c>
      <c r="L428" s="1">
        <v>250185.44693103444</v>
      </c>
      <c r="M428" s="1">
        <v>199224.0</v>
      </c>
      <c r="N428" s="1" t="s">
        <v>2024</v>
      </c>
      <c r="O428" s="1" t="s">
        <v>2025</v>
      </c>
      <c r="P428" s="1" t="s">
        <v>2026</v>
      </c>
      <c r="Y428" s="1" t="s">
        <v>23</v>
      </c>
      <c r="Z428" s="1" t="s">
        <v>2027</v>
      </c>
    </row>
    <row r="429" ht="15.75" customHeight="1">
      <c r="E429" s="1" t="s">
        <v>629</v>
      </c>
      <c r="L429" s="1">
        <v>1.202613076111111E8</v>
      </c>
      <c r="M429" s="1">
        <v>7.5239224E7</v>
      </c>
      <c r="N429" s="1" t="s">
        <v>630</v>
      </c>
      <c r="Y429" s="1" t="s">
        <v>23</v>
      </c>
      <c r="Z429" s="1" t="s">
        <v>2028</v>
      </c>
    </row>
    <row r="430" ht="15.75" customHeight="1">
      <c r="E430" s="1" t="s">
        <v>2029</v>
      </c>
      <c r="L430" s="1">
        <v>7047527.621428572</v>
      </c>
      <c r="M430" s="1">
        <v>3996781.0</v>
      </c>
      <c r="N430" s="1" t="s">
        <v>1971</v>
      </c>
      <c r="Y430" s="1" t="s">
        <v>23</v>
      </c>
      <c r="Z430" s="1" t="s">
        <v>2030</v>
      </c>
    </row>
    <row r="431" ht="15.75" customHeight="1">
      <c r="E431" s="1" t="s">
        <v>2031</v>
      </c>
      <c r="L431" s="1">
        <v>3.026061431111111E8</v>
      </c>
      <c r="M431" s="1">
        <v>2.48860352E8</v>
      </c>
      <c r="N431" s="1" t="s">
        <v>2032</v>
      </c>
      <c r="O431" s="1" t="s">
        <v>2033</v>
      </c>
      <c r="P431" s="1" t="s">
        <v>2034</v>
      </c>
      <c r="Y431" s="1" t="s">
        <v>23</v>
      </c>
      <c r="Z431" s="1" t="s">
        <v>393</v>
      </c>
    </row>
    <row r="432" ht="15.75" customHeight="1">
      <c r="E432" s="1" t="s">
        <v>2035</v>
      </c>
      <c r="L432" s="1">
        <v>872375.7637882354</v>
      </c>
      <c r="M432" s="1">
        <v>620180.5</v>
      </c>
      <c r="N432" s="1" t="s">
        <v>901</v>
      </c>
      <c r="O432" s="1" t="s">
        <v>2036</v>
      </c>
      <c r="P432" s="1" t="s">
        <v>2037</v>
      </c>
      <c r="Y432" s="1" t="s">
        <v>23</v>
      </c>
      <c r="Z432" s="1" t="s">
        <v>2038</v>
      </c>
    </row>
    <row r="433" ht="15.75" customHeight="1">
      <c r="E433" s="1" t="s">
        <v>2039</v>
      </c>
      <c r="L433" s="1">
        <v>6.054971781944445E7</v>
      </c>
      <c r="M433" s="1">
        <v>4.6336098E7</v>
      </c>
      <c r="N433" s="1" t="s">
        <v>1211</v>
      </c>
      <c r="O433" s="1" t="s">
        <v>2040</v>
      </c>
      <c r="P433" s="1" t="s">
        <v>2041</v>
      </c>
      <c r="Y433" s="1" t="s">
        <v>23</v>
      </c>
      <c r="Z433" s="1" t="s">
        <v>387</v>
      </c>
    </row>
    <row r="434" ht="15.75" customHeight="1">
      <c r="E434" s="1" t="s">
        <v>2042</v>
      </c>
      <c r="L434" s="1">
        <v>5201859.659722222</v>
      </c>
      <c r="M434" s="1">
        <v>4524592.5</v>
      </c>
      <c r="N434" s="1" t="s">
        <v>2043</v>
      </c>
      <c r="O434" s="1" t="s">
        <v>2044</v>
      </c>
      <c r="P434" s="1" t="s">
        <v>2045</v>
      </c>
      <c r="Y434" s="1" t="s">
        <v>23</v>
      </c>
    </row>
    <row r="435" ht="15.75" customHeight="1">
      <c r="E435" s="1" t="s">
        <v>2046</v>
      </c>
      <c r="L435" s="1">
        <v>9593090.777777778</v>
      </c>
      <c r="M435" s="1">
        <v>9142331.5</v>
      </c>
      <c r="Y435" s="1" t="s">
        <v>23</v>
      </c>
      <c r="Z435" s="1" t="s">
        <v>2047</v>
      </c>
    </row>
    <row r="436" ht="15.75" customHeight="1">
      <c r="E436" s="1" t="s">
        <v>2048</v>
      </c>
      <c r="L436" s="1">
        <v>3.696777792361111E7</v>
      </c>
      <c r="M436" s="1">
        <v>2.6548251E7</v>
      </c>
      <c r="N436" s="1" t="s">
        <v>2049</v>
      </c>
      <c r="O436" s="1" t="s">
        <v>2050</v>
      </c>
      <c r="P436" s="1" t="s">
        <v>2051</v>
      </c>
      <c r="Y436" s="1" t="s">
        <v>23</v>
      </c>
      <c r="Z436" s="1" t="s">
        <v>2052</v>
      </c>
    </row>
    <row r="437" ht="15.75" customHeight="1">
      <c r="E437" s="1" t="s">
        <v>2053</v>
      </c>
      <c r="L437" s="1">
        <v>5859185.399305556</v>
      </c>
      <c r="M437" s="1">
        <v>2832224.0</v>
      </c>
      <c r="N437" s="1" t="s">
        <v>2054</v>
      </c>
      <c r="O437" s="1" t="s">
        <v>2055</v>
      </c>
      <c r="P437" s="1" t="s">
        <v>2056</v>
      </c>
      <c r="Y437" s="1" t="s">
        <v>23</v>
      </c>
      <c r="Z437" s="1" t="s">
        <v>2057</v>
      </c>
    </row>
    <row r="438" ht="15.75" customHeight="1">
      <c r="E438" s="1" t="s">
        <v>2058</v>
      </c>
      <c r="L438" s="1">
        <v>766547.8958333334</v>
      </c>
      <c r="M438" s="1">
        <v>269458.0</v>
      </c>
      <c r="N438" s="1" t="s">
        <v>2059</v>
      </c>
      <c r="O438" s="1" t="s">
        <v>2060</v>
      </c>
      <c r="P438" s="1" t="s">
        <v>2061</v>
      </c>
      <c r="Y438" s="1" t="s">
        <v>23</v>
      </c>
      <c r="Z438" s="1" t="s">
        <v>2062</v>
      </c>
    </row>
    <row r="439" ht="15.75" customHeight="1">
      <c r="E439" s="1" t="s">
        <v>2063</v>
      </c>
      <c r="L439" s="1">
        <v>4527700.121428572</v>
      </c>
      <c r="M439" s="1">
        <v>1190967.0</v>
      </c>
      <c r="N439" s="1" t="s">
        <v>2064</v>
      </c>
      <c r="Y439" s="1" t="s">
        <v>23</v>
      </c>
      <c r="Z439" s="1" t="s">
        <v>2065</v>
      </c>
    </row>
    <row r="440" ht="15.75" customHeight="1">
      <c r="E440" s="1" t="s">
        <v>2066</v>
      </c>
      <c r="L440" s="1">
        <v>1556766.0004333332</v>
      </c>
      <c r="M440" s="1">
        <v>1116216.5</v>
      </c>
      <c r="N440" s="1" t="s">
        <v>2067</v>
      </c>
      <c r="O440" s="1" t="s">
        <v>2068</v>
      </c>
      <c r="P440" s="1" t="s">
        <v>2069</v>
      </c>
      <c r="Y440" s="1" t="s">
        <v>23</v>
      </c>
    </row>
    <row r="441" ht="15.75" customHeight="1">
      <c r="E441" s="1" t="s">
        <v>2070</v>
      </c>
      <c r="L441" s="1">
        <v>456427.8387096774</v>
      </c>
      <c r="M441" s="1">
        <v>211649.0</v>
      </c>
      <c r="N441" s="1" t="s">
        <v>2071</v>
      </c>
      <c r="Y441" s="1" t="s">
        <v>23</v>
      </c>
    </row>
    <row r="442" ht="15.75" customHeight="1">
      <c r="E442" s="1" t="s">
        <v>2072</v>
      </c>
      <c r="L442" s="1">
        <v>7122924.357538235</v>
      </c>
      <c r="M442" s="1">
        <v>1154847.5</v>
      </c>
      <c r="Y442" s="1" t="s">
        <v>23</v>
      </c>
      <c r="Z442" s="1" t="s">
        <v>2073</v>
      </c>
    </row>
    <row r="443" ht="15.75" customHeight="1">
      <c r="E443" s="1" t="s">
        <v>2074</v>
      </c>
      <c r="L443" s="1">
        <v>491429.4451</v>
      </c>
      <c r="M443" s="1">
        <v>148442.0</v>
      </c>
      <c r="N443" s="1" t="s">
        <v>2075</v>
      </c>
      <c r="Y443" s="1" t="s">
        <v>23</v>
      </c>
    </row>
    <row r="444" ht="15.75" customHeight="1">
      <c r="E444" s="1" t="s">
        <v>2076</v>
      </c>
      <c r="L444" s="1">
        <v>3.1483282805555556E7</v>
      </c>
      <c r="M444" s="1">
        <v>2.6622235E7</v>
      </c>
      <c r="N444" s="1" t="s">
        <v>2077</v>
      </c>
      <c r="O444" s="1" t="s">
        <v>2078</v>
      </c>
      <c r="P444" s="1" t="s">
        <v>2079</v>
      </c>
      <c r="Y444" s="1" t="s">
        <v>23</v>
      </c>
      <c r="Z444" s="1" t="s">
        <v>407</v>
      </c>
    </row>
    <row r="445" ht="15.75" customHeight="1">
      <c r="E445" s="1" t="s">
        <v>2080</v>
      </c>
      <c r="L445" s="1">
        <v>1.0838975552465517E7</v>
      </c>
      <c r="M445" s="1">
        <v>606573.0</v>
      </c>
      <c r="N445" s="1" t="s">
        <v>2081</v>
      </c>
      <c r="O445" s="1" t="s">
        <v>2082</v>
      </c>
      <c r="P445" s="1" t="s">
        <v>2083</v>
      </c>
      <c r="Y445" s="1" t="s">
        <v>23</v>
      </c>
      <c r="Z445" s="1" t="s">
        <v>2084</v>
      </c>
    </row>
    <row r="446" ht="15.75" customHeight="1">
      <c r="E446" s="1" t="s">
        <v>2085</v>
      </c>
      <c r="L446" s="1">
        <v>3217428.352433333</v>
      </c>
      <c r="M446" s="1">
        <v>703940.0</v>
      </c>
      <c r="N446" s="1" t="s">
        <v>2086</v>
      </c>
      <c r="O446" s="1" t="s">
        <v>2087</v>
      </c>
      <c r="P446" s="1" t="s">
        <v>2088</v>
      </c>
      <c r="Y446" s="1" t="s">
        <v>23</v>
      </c>
      <c r="Z446" s="1" t="s">
        <v>2089</v>
      </c>
    </row>
    <row r="447" ht="15.75" customHeight="1">
      <c r="E447" s="1" t="s">
        <v>2090</v>
      </c>
      <c r="L447" s="1">
        <v>136065.77951111112</v>
      </c>
      <c r="M447" s="1">
        <v>135002.0</v>
      </c>
      <c r="N447" s="1" t="s">
        <v>2091</v>
      </c>
      <c r="O447" s="1" t="s">
        <v>2092</v>
      </c>
      <c r="P447" s="1" t="s">
        <v>2093</v>
      </c>
      <c r="Y447" s="1" t="s">
        <v>23</v>
      </c>
    </row>
    <row r="448" ht="15.75" customHeight="1">
      <c r="E448" s="1" t="s">
        <v>2094</v>
      </c>
      <c r="L448" s="1">
        <v>559312.0666666667</v>
      </c>
      <c r="M448" s="1">
        <v>568095.0</v>
      </c>
      <c r="N448" s="1" t="s">
        <v>2095</v>
      </c>
      <c r="O448" s="1" t="s">
        <v>2096</v>
      </c>
      <c r="P448" s="1" t="s">
        <v>2097</v>
      </c>
      <c r="Y448" s="1" t="s">
        <v>23</v>
      </c>
      <c r="Z448" s="1" t="s">
        <v>2098</v>
      </c>
    </row>
    <row r="449" ht="15.75" customHeight="1">
      <c r="E449" s="1" t="s">
        <v>2099</v>
      </c>
      <c r="L449" s="1">
        <v>1750601.1020782613</v>
      </c>
      <c r="M449" s="1">
        <v>1368405.0</v>
      </c>
      <c r="N449" s="1" t="s">
        <v>2086</v>
      </c>
      <c r="O449" s="1" t="s">
        <v>2100</v>
      </c>
      <c r="P449" s="1" t="s">
        <v>2101</v>
      </c>
      <c r="Y449" s="1" t="s">
        <v>23</v>
      </c>
      <c r="Z449" s="1" t="s">
        <v>2102</v>
      </c>
    </row>
    <row r="450" ht="15.75" customHeight="1">
      <c r="E450" s="1" t="s">
        <v>2103</v>
      </c>
      <c r="L450" s="1">
        <v>1171498.2239555556</v>
      </c>
      <c r="M450" s="1">
        <v>317522.0</v>
      </c>
      <c r="N450" s="1" t="s">
        <v>2095</v>
      </c>
      <c r="O450" s="1" t="s">
        <v>2104</v>
      </c>
      <c r="P450" s="1" t="s">
        <v>2105</v>
      </c>
      <c r="Y450" s="1" t="s">
        <v>23</v>
      </c>
    </row>
    <row r="451" ht="15.75" customHeight="1">
      <c r="E451" s="1" t="s">
        <v>2106</v>
      </c>
      <c r="L451" s="1">
        <v>3130653.88906</v>
      </c>
      <c r="M451" s="1">
        <v>798431.0</v>
      </c>
      <c r="Y451" s="1" t="s">
        <v>23</v>
      </c>
    </row>
    <row r="452" ht="15.75" customHeight="1">
      <c r="E452" s="1" t="s">
        <v>2107</v>
      </c>
      <c r="L452" s="1">
        <v>385094.5575111111</v>
      </c>
      <c r="M452" s="1">
        <v>199743.0</v>
      </c>
      <c r="Y452" s="1" t="s">
        <v>23</v>
      </c>
    </row>
    <row r="453" ht="15.75" customHeight="1">
      <c r="E453" s="1" t="s">
        <v>2108</v>
      </c>
      <c r="L453" s="1">
        <v>1424592.2372212121</v>
      </c>
      <c r="M453" s="1">
        <v>805410.0</v>
      </c>
      <c r="Y453" s="1" t="s">
        <v>23</v>
      </c>
    </row>
    <row r="454" ht="15.75" customHeight="1">
      <c r="E454" s="1" t="s">
        <v>2109</v>
      </c>
      <c r="L454" s="1">
        <v>665041.448275862</v>
      </c>
      <c r="M454" s="1">
        <v>347142.0</v>
      </c>
      <c r="Y454" s="1" t="s">
        <v>23</v>
      </c>
    </row>
    <row r="455" ht="15.75" customHeight="1">
      <c r="E455" s="1" t="s">
        <v>2110</v>
      </c>
      <c r="L455" s="1">
        <v>5348076.736111111</v>
      </c>
      <c r="M455" s="1">
        <v>4077932.0</v>
      </c>
      <c r="N455" s="1" t="s">
        <v>2111</v>
      </c>
      <c r="O455" s="1" t="s">
        <v>2112</v>
      </c>
      <c r="P455" s="1" t="s">
        <v>2113</v>
      </c>
      <c r="Y455" s="1" t="s">
        <v>23</v>
      </c>
      <c r="Z455" s="1" t="s">
        <v>2114</v>
      </c>
    </row>
    <row r="456" ht="15.75" customHeight="1">
      <c r="E456" s="1" t="s">
        <v>2115</v>
      </c>
      <c r="L456" s="1">
        <v>7580397.513888889</v>
      </c>
      <c r="M456" s="1">
        <v>5513636.0</v>
      </c>
      <c r="N456" s="1" t="s">
        <v>2111</v>
      </c>
      <c r="O456" s="1" t="s">
        <v>2116</v>
      </c>
      <c r="P456" s="1" t="s">
        <v>2117</v>
      </c>
      <c r="Y456" s="1" t="s">
        <v>23</v>
      </c>
      <c r="Z456" s="1" t="s">
        <v>2118</v>
      </c>
    </row>
    <row r="457" ht="15.75" customHeight="1">
      <c r="E457" s="1" t="s">
        <v>2119</v>
      </c>
      <c r="L457" s="1">
        <v>1.1942236933161112E7</v>
      </c>
      <c r="M457" s="1">
        <v>8338098.0</v>
      </c>
      <c r="N457" s="1" t="s">
        <v>2120</v>
      </c>
      <c r="O457" s="1" t="s">
        <v>2121</v>
      </c>
      <c r="P457" s="1" t="s">
        <v>2122</v>
      </c>
      <c r="Y457" s="1" t="s">
        <v>23</v>
      </c>
      <c r="Z457" s="1" t="s">
        <v>308</v>
      </c>
    </row>
    <row r="458" ht="15.75" customHeight="1">
      <c r="E458" s="1" t="s">
        <v>2123</v>
      </c>
      <c r="L458" s="1">
        <v>1399387.4947916667</v>
      </c>
      <c r="M458" s="1">
        <v>780262.96875</v>
      </c>
      <c r="N458" s="1" t="s">
        <v>2124</v>
      </c>
      <c r="O458" s="1" t="s">
        <v>2125</v>
      </c>
      <c r="P458" s="1" t="s">
        <v>2126</v>
      </c>
      <c r="Y458" s="1" t="s">
        <v>23</v>
      </c>
      <c r="Z458" s="1" t="s">
        <v>2127</v>
      </c>
    </row>
    <row r="459" ht="15.75" customHeight="1">
      <c r="E459" s="1" t="s">
        <v>2128</v>
      </c>
      <c r="L459" s="1">
        <v>97542.66654000002</v>
      </c>
      <c r="M459" s="1">
        <v>61832.9961</v>
      </c>
      <c r="N459" s="1" t="s">
        <v>2129</v>
      </c>
      <c r="O459" s="1" t="s">
        <v>2130</v>
      </c>
      <c r="P459" s="1" t="s">
        <v>2131</v>
      </c>
      <c r="Y459" s="1" t="s">
        <v>23</v>
      </c>
      <c r="Z459" s="1" t="s">
        <v>2132</v>
      </c>
    </row>
    <row r="460" ht="15.75" customHeight="1">
      <c r="E460" s="1" t="s">
        <v>2133</v>
      </c>
      <c r="L460" s="1">
        <v>1.5687276881944444E7</v>
      </c>
      <c r="M460" s="1">
        <v>1.2570619E7</v>
      </c>
      <c r="N460" s="1" t="s">
        <v>2134</v>
      </c>
      <c r="O460" s="1" t="s">
        <v>2135</v>
      </c>
      <c r="P460" s="1" t="s">
        <v>2136</v>
      </c>
      <c r="Y460" s="1" t="s">
        <v>23</v>
      </c>
      <c r="Z460" s="1" t="s">
        <v>2137</v>
      </c>
    </row>
    <row r="461" ht="15.75" customHeight="1">
      <c r="E461" s="1" t="s">
        <v>2138</v>
      </c>
      <c r="L461" s="1">
        <v>1125292.9285714286</v>
      </c>
      <c r="M461" s="1">
        <v>532528.0</v>
      </c>
      <c r="N461" s="1" t="s">
        <v>2139</v>
      </c>
      <c r="O461" s="1" t="s">
        <v>2140</v>
      </c>
      <c r="P461" s="1" t="s">
        <v>2141</v>
      </c>
      <c r="Y461" s="1" t="s">
        <v>23</v>
      </c>
      <c r="Z461" s="1" t="s">
        <v>2142</v>
      </c>
    </row>
    <row r="462" ht="15.75" customHeight="1">
      <c r="E462" s="1" t="s">
        <v>2143</v>
      </c>
      <c r="L462" s="1">
        <v>7797086.765630001</v>
      </c>
      <c r="M462" s="1">
        <v>1591245.46875</v>
      </c>
      <c r="N462" s="1" t="s">
        <v>1968</v>
      </c>
      <c r="Y462" s="1" t="s">
        <v>23</v>
      </c>
      <c r="Z462" s="1" t="s">
        <v>2144</v>
      </c>
    </row>
    <row r="463" ht="15.75" customHeight="1">
      <c r="E463" s="1" t="s">
        <v>2145</v>
      </c>
      <c r="L463" s="1">
        <v>766009.0651066665</v>
      </c>
      <c r="M463" s="1">
        <v>190344.0</v>
      </c>
      <c r="N463" s="1" t="s">
        <v>2146</v>
      </c>
      <c r="Y463" s="1" t="s">
        <v>23</v>
      </c>
      <c r="Z463" s="1" t="s">
        <v>2147</v>
      </c>
    </row>
    <row r="464" ht="15.75" customHeight="1">
      <c r="E464" s="1" t="s">
        <v>2148</v>
      </c>
      <c r="L464" s="1">
        <v>3236674.7404258065</v>
      </c>
      <c r="M464" s="1">
        <v>676233.0</v>
      </c>
      <c r="Y464" s="1" t="s">
        <v>23</v>
      </c>
    </row>
    <row r="465" ht="15.75" customHeight="1">
      <c r="E465" s="1" t="s">
        <v>2149</v>
      </c>
      <c r="L465" s="1">
        <v>3103348.782988889</v>
      </c>
      <c r="M465" s="1">
        <v>1795329.4375</v>
      </c>
      <c r="Y465" s="1" t="s">
        <v>23</v>
      </c>
    </row>
    <row r="466" ht="15.75" customHeight="1">
      <c r="E466" s="1" t="s">
        <v>2150</v>
      </c>
      <c r="L466" s="1">
        <v>1258895.5688500002</v>
      </c>
      <c r="M466" s="1">
        <v>602711.5</v>
      </c>
      <c r="Y466" s="1" t="s">
        <v>23</v>
      </c>
    </row>
    <row r="467" ht="15.75" customHeight="1">
      <c r="E467" s="1" t="s">
        <v>2151</v>
      </c>
      <c r="L467" s="1">
        <v>856308.893862069</v>
      </c>
      <c r="M467" s="1">
        <v>419412.0</v>
      </c>
      <c r="Y467" s="1" t="s">
        <v>23</v>
      </c>
      <c r="Z467" s="1" t="s">
        <v>2152</v>
      </c>
    </row>
    <row r="468" ht="15.75" customHeight="1">
      <c r="E468" s="1" t="s">
        <v>2153</v>
      </c>
      <c r="L468" s="1">
        <v>3977289.8181818184</v>
      </c>
      <c r="M468" s="1">
        <v>90037.0</v>
      </c>
      <c r="N468" s="1" t="s">
        <v>2154</v>
      </c>
      <c r="O468" s="1" t="s">
        <v>2155</v>
      </c>
      <c r="P468" s="1" t="s">
        <v>2156</v>
      </c>
      <c r="Y468" s="1" t="s">
        <v>23</v>
      </c>
      <c r="Z468" s="1" t="s">
        <v>2157</v>
      </c>
    </row>
    <row r="469" ht="15.75" customHeight="1">
      <c r="E469" s="1" t="s">
        <v>2158</v>
      </c>
      <c r="L469" s="1">
        <v>1578628.0</v>
      </c>
      <c r="M469" s="1">
        <v>253120.0</v>
      </c>
      <c r="Y469" s="1" t="s">
        <v>23</v>
      </c>
      <c r="Z469" s="1" t="s">
        <v>2159</v>
      </c>
    </row>
    <row r="470" ht="15.75" customHeight="1">
      <c r="E470" s="1" t="s">
        <v>2160</v>
      </c>
      <c r="L470" s="1">
        <v>3.596960375E7</v>
      </c>
      <c r="M470" s="1">
        <v>1.8145686E7</v>
      </c>
      <c r="Y470" s="1" t="s">
        <v>23</v>
      </c>
      <c r="Z470" s="1" t="s">
        <v>2161</v>
      </c>
    </row>
    <row r="471" ht="15.75" customHeight="1">
      <c r="E471" s="1" t="s">
        <v>2162</v>
      </c>
      <c r="L471" s="1">
        <v>1725440.9166666667</v>
      </c>
      <c r="M471" s="1">
        <v>1245750.0</v>
      </c>
      <c r="Y471" s="1" t="s">
        <v>23</v>
      </c>
      <c r="Z471" s="1" t="s">
        <v>2163</v>
      </c>
    </row>
    <row r="472" ht="15.75" customHeight="1">
      <c r="E472" s="1" t="s">
        <v>2164</v>
      </c>
      <c r="L472" s="1">
        <v>1639423.4936531251</v>
      </c>
      <c r="M472" s="1">
        <v>961998.46875</v>
      </c>
      <c r="Y472" s="1" t="s">
        <v>23</v>
      </c>
    </row>
    <row r="473" ht="15.75" customHeight="1">
      <c r="E473" s="1" t="s">
        <v>2165</v>
      </c>
      <c r="L473" s="1">
        <v>2907488.6636277777</v>
      </c>
      <c r="M473" s="1">
        <v>1382695.0</v>
      </c>
      <c r="Y473" s="1" t="s">
        <v>23</v>
      </c>
    </row>
    <row r="474" ht="15.75" customHeight="1">
      <c r="E474" s="1" t="s">
        <v>2166</v>
      </c>
      <c r="L474" s="1">
        <v>1.030595990625E7</v>
      </c>
      <c r="M474" s="1">
        <v>2249515.5</v>
      </c>
      <c r="Y474" s="1" t="s">
        <v>23</v>
      </c>
    </row>
    <row r="475" ht="15.75" customHeight="1">
      <c r="E475" s="1" t="s">
        <v>2167</v>
      </c>
      <c r="L475" s="1">
        <v>1160490.8399636364</v>
      </c>
      <c r="M475" s="1">
        <v>691666.0</v>
      </c>
      <c r="Y475" s="1" t="s">
        <v>23</v>
      </c>
    </row>
    <row r="476" ht="15.75" customHeight="1">
      <c r="E476" s="1" t="s">
        <v>2168</v>
      </c>
      <c r="L476" s="1">
        <v>249876.8577</v>
      </c>
      <c r="M476" s="1">
        <v>111918.0</v>
      </c>
      <c r="N476" s="1" t="s">
        <v>2169</v>
      </c>
      <c r="O476" s="1" t="s">
        <v>2170</v>
      </c>
      <c r="P476" s="1" t="s">
        <v>2171</v>
      </c>
      <c r="Y476" s="1" t="s">
        <v>23</v>
      </c>
      <c r="Z476" s="1" t="s">
        <v>2172</v>
      </c>
    </row>
    <row r="477" ht="15.75" customHeight="1">
      <c r="E477" s="1" t="s">
        <v>2173</v>
      </c>
      <c r="L477" s="1">
        <v>1461887.6666666667</v>
      </c>
      <c r="M477" s="1">
        <v>359980.0</v>
      </c>
      <c r="N477" s="1" t="s">
        <v>2174</v>
      </c>
      <c r="Y477" s="1" t="s">
        <v>23</v>
      </c>
      <c r="Z477" s="1" t="s">
        <v>2175</v>
      </c>
    </row>
    <row r="478" ht="15.75" customHeight="1">
      <c r="E478" s="1" t="s">
        <v>2176</v>
      </c>
      <c r="L478" s="1">
        <v>8.215587110714285E7</v>
      </c>
      <c r="M478" s="1">
        <v>2.4687796E7</v>
      </c>
      <c r="N478" s="1" t="s">
        <v>2177</v>
      </c>
      <c r="O478" s="1" t="s">
        <v>2178</v>
      </c>
      <c r="P478" s="1" t="s">
        <v>2179</v>
      </c>
      <c r="Y478" s="1" t="s">
        <v>23</v>
      </c>
      <c r="Z478" s="1" t="s">
        <v>2180</v>
      </c>
    </row>
    <row r="479" ht="15.75" customHeight="1">
      <c r="E479" s="1" t="s">
        <v>2181</v>
      </c>
      <c r="L479" s="1">
        <v>7082701.111111111</v>
      </c>
      <c r="M479" s="1">
        <v>5928760.0</v>
      </c>
      <c r="N479" s="1" t="s">
        <v>2182</v>
      </c>
      <c r="O479" s="1" t="s">
        <v>2183</v>
      </c>
      <c r="P479" s="1" t="s">
        <v>2184</v>
      </c>
      <c r="Y479" s="1" t="s">
        <v>23</v>
      </c>
      <c r="Z479" s="1" t="s">
        <v>466</v>
      </c>
    </row>
    <row r="480" ht="15.75" customHeight="1">
      <c r="E480" s="1" t="s">
        <v>2185</v>
      </c>
      <c r="L480" s="1">
        <v>1111682.8181818181</v>
      </c>
      <c r="M480" s="1">
        <v>243460.0</v>
      </c>
      <c r="Y480" s="1" t="s">
        <v>23</v>
      </c>
    </row>
    <row r="481" ht="15.75" customHeight="1">
      <c r="E481" s="1" t="s">
        <v>2186</v>
      </c>
      <c r="L481" s="1">
        <v>581812.032209091</v>
      </c>
      <c r="M481" s="1">
        <v>291248.0</v>
      </c>
      <c r="N481" s="1" t="s">
        <v>1645</v>
      </c>
      <c r="O481" s="1" t="s">
        <v>2187</v>
      </c>
      <c r="P481" s="1" t="s">
        <v>2188</v>
      </c>
      <c r="Y481" s="1" t="s">
        <v>23</v>
      </c>
      <c r="Z481" s="1" t="s">
        <v>2189</v>
      </c>
    </row>
    <row r="482" ht="15.75" customHeight="1">
      <c r="E482" s="1" t="s">
        <v>2190</v>
      </c>
      <c r="L482" s="1">
        <v>277377.14285714284</v>
      </c>
      <c r="M482" s="1">
        <v>170073.5</v>
      </c>
      <c r="N482" s="1" t="s">
        <v>2191</v>
      </c>
      <c r="O482" s="1" t="s">
        <v>2192</v>
      </c>
      <c r="P482" s="1" t="s">
        <v>2193</v>
      </c>
      <c r="Y482" s="1" t="s">
        <v>23</v>
      </c>
      <c r="Z482" s="1" t="s">
        <v>2194</v>
      </c>
    </row>
    <row r="483" ht="15.75" customHeight="1">
      <c r="E483" s="1" t="s">
        <v>2195</v>
      </c>
      <c r="L483" s="1">
        <v>8254910.75</v>
      </c>
      <c r="M483" s="1">
        <v>4173060.5</v>
      </c>
      <c r="N483" s="1" t="s">
        <v>2196</v>
      </c>
      <c r="O483" s="1" t="s">
        <v>2197</v>
      </c>
      <c r="P483" s="1" t="s">
        <v>2198</v>
      </c>
      <c r="Y483" s="1" t="s">
        <v>23</v>
      </c>
      <c r="Z483" s="1" t="s">
        <v>2199</v>
      </c>
    </row>
    <row r="484" ht="15.75" customHeight="1">
      <c r="E484" s="1" t="s">
        <v>2200</v>
      </c>
      <c r="L484" s="1">
        <v>624975.7049647059</v>
      </c>
      <c r="M484" s="1">
        <v>222827.49219999998</v>
      </c>
      <c r="N484" s="1" t="s">
        <v>1069</v>
      </c>
      <c r="O484" s="1" t="s">
        <v>2201</v>
      </c>
      <c r="P484" s="1" t="s">
        <v>2202</v>
      </c>
      <c r="Y484" s="1" t="s">
        <v>23</v>
      </c>
      <c r="Z484" s="1" t="s">
        <v>2203</v>
      </c>
    </row>
    <row r="485" ht="15.75" customHeight="1">
      <c r="E485" s="1" t="s">
        <v>2204</v>
      </c>
      <c r="L485" s="1">
        <v>1681132.3189655172</v>
      </c>
      <c r="M485" s="1">
        <v>1572707.0</v>
      </c>
      <c r="N485" s="1" t="s">
        <v>1017</v>
      </c>
      <c r="O485" s="1" t="s">
        <v>2205</v>
      </c>
      <c r="P485" s="1" t="s">
        <v>2206</v>
      </c>
      <c r="Y485" s="1" t="s">
        <v>23</v>
      </c>
      <c r="Z485" s="1" t="s">
        <v>389</v>
      </c>
    </row>
    <row r="486" ht="15.75" customHeight="1">
      <c r="E486" s="1" t="s">
        <v>2207</v>
      </c>
      <c r="L486" s="1">
        <v>1905542.0616085716</v>
      </c>
      <c r="M486" s="1">
        <v>801172.0</v>
      </c>
      <c r="N486" s="1" t="s">
        <v>2208</v>
      </c>
      <c r="O486" s="1" t="s">
        <v>2209</v>
      </c>
      <c r="P486" s="1" t="s">
        <v>2210</v>
      </c>
      <c r="Y486" s="1" t="s">
        <v>23</v>
      </c>
    </row>
    <row r="487" ht="15.75" customHeight="1">
      <c r="E487" s="1" t="s">
        <v>2211</v>
      </c>
      <c r="L487" s="1">
        <v>2.5913187256944444E7</v>
      </c>
      <c r="M487" s="1">
        <v>2.0161048E7</v>
      </c>
      <c r="N487" s="1" t="s">
        <v>2212</v>
      </c>
      <c r="O487" s="1" t="s">
        <v>2213</v>
      </c>
      <c r="P487" s="1" t="s">
        <v>2214</v>
      </c>
      <c r="Y487" s="1" t="s">
        <v>23</v>
      </c>
      <c r="Z487" s="1" t="s">
        <v>397</v>
      </c>
    </row>
    <row r="488" ht="15.75" customHeight="1">
      <c r="E488" s="1" t="s">
        <v>2215</v>
      </c>
      <c r="L488" s="1">
        <v>7930913.060664706</v>
      </c>
      <c r="M488" s="1">
        <v>1739990.5</v>
      </c>
      <c r="N488" s="1" t="s">
        <v>1668</v>
      </c>
      <c r="O488" s="1" t="s">
        <v>2216</v>
      </c>
      <c r="P488" s="1" t="s">
        <v>2217</v>
      </c>
      <c r="Y488" s="1" t="s">
        <v>23</v>
      </c>
      <c r="Z488" s="1" t="s">
        <v>2218</v>
      </c>
    </row>
    <row r="489" ht="15.75" customHeight="1">
      <c r="E489" s="1" t="s">
        <v>2219</v>
      </c>
      <c r="L489" s="1">
        <v>1.1692763277777778E7</v>
      </c>
      <c r="M489" s="1">
        <v>9668561.0</v>
      </c>
      <c r="N489" s="1" t="s">
        <v>2220</v>
      </c>
      <c r="O489" s="1" t="s">
        <v>2221</v>
      </c>
      <c r="P489" s="1" t="s">
        <v>2222</v>
      </c>
      <c r="Y489" s="1" t="s">
        <v>23</v>
      </c>
      <c r="Z489" s="1" t="s">
        <v>378</v>
      </c>
    </row>
    <row r="490" ht="15.75" customHeight="1">
      <c r="E490" s="1" t="s">
        <v>2223</v>
      </c>
      <c r="L490" s="1">
        <v>1905746.5347250002</v>
      </c>
      <c r="M490" s="1">
        <v>608296.0</v>
      </c>
      <c r="N490" s="1" t="s">
        <v>2224</v>
      </c>
      <c r="O490" s="1" t="s">
        <v>2225</v>
      </c>
      <c r="P490" s="1" t="s">
        <v>2226</v>
      </c>
      <c r="Y490" s="1" t="s">
        <v>23</v>
      </c>
      <c r="Z490" s="1" t="s">
        <v>2227</v>
      </c>
    </row>
    <row r="491" ht="15.75" customHeight="1">
      <c r="E491" s="1" t="s">
        <v>2228</v>
      </c>
      <c r="L491" s="1">
        <v>1.0399273316666667E8</v>
      </c>
      <c r="M491" s="1">
        <v>7.6340328E7</v>
      </c>
      <c r="N491" s="1" t="s">
        <v>740</v>
      </c>
      <c r="O491" s="1" t="s">
        <v>2229</v>
      </c>
      <c r="P491" s="1" t="s">
        <v>2230</v>
      </c>
      <c r="Y491" s="1" t="s">
        <v>23</v>
      </c>
      <c r="Z491" s="1" t="s">
        <v>2231</v>
      </c>
    </row>
    <row r="492" ht="15.75" customHeight="1">
      <c r="E492" s="1" t="s">
        <v>2232</v>
      </c>
      <c r="L492" s="1">
        <v>266046.4004457143</v>
      </c>
      <c r="M492" s="1">
        <v>250859.0</v>
      </c>
      <c r="N492" s="1" t="s">
        <v>2233</v>
      </c>
      <c r="O492" s="1" t="s">
        <v>2234</v>
      </c>
      <c r="P492" s="1" t="s">
        <v>2235</v>
      </c>
      <c r="Y492" s="1" t="s">
        <v>23</v>
      </c>
      <c r="Z492" s="1" t="s">
        <v>468</v>
      </c>
    </row>
    <row r="493" ht="15.75" customHeight="1">
      <c r="E493" s="1" t="s">
        <v>2236</v>
      </c>
      <c r="L493" s="1">
        <v>4745563.360244445</v>
      </c>
      <c r="M493" s="1">
        <v>2380616.5</v>
      </c>
      <c r="N493" s="1" t="s">
        <v>2237</v>
      </c>
      <c r="O493" s="1" t="s">
        <v>2238</v>
      </c>
      <c r="P493" s="1" t="s">
        <v>2239</v>
      </c>
      <c r="Y493" s="1" t="s">
        <v>23</v>
      </c>
      <c r="Z493" s="1" t="s">
        <v>2240</v>
      </c>
    </row>
    <row r="494" ht="15.75" customHeight="1">
      <c r="E494" s="1" t="s">
        <v>2241</v>
      </c>
      <c r="L494" s="1">
        <v>705899.3126052632</v>
      </c>
      <c r="M494" s="1">
        <v>181745.0</v>
      </c>
      <c r="Y494" s="1" t="s">
        <v>23</v>
      </c>
    </row>
    <row r="495" ht="15.75" customHeight="1">
      <c r="E495" s="1" t="s">
        <v>2242</v>
      </c>
      <c r="L495" s="1">
        <v>181765.96484642857</v>
      </c>
      <c r="M495" s="1">
        <v>76846.5</v>
      </c>
      <c r="Y495" s="1" t="s">
        <v>23</v>
      </c>
      <c r="Z495" s="1" t="s">
        <v>2243</v>
      </c>
    </row>
    <row r="496" ht="15.75" customHeight="1">
      <c r="E496" s="1" t="s">
        <v>2244</v>
      </c>
      <c r="L496" s="1">
        <v>7184715.2810062505</v>
      </c>
      <c r="M496" s="1">
        <v>685283.5</v>
      </c>
      <c r="N496" s="1" t="s">
        <v>1694</v>
      </c>
      <c r="O496" s="1" t="s">
        <v>2245</v>
      </c>
      <c r="P496" s="1" t="s">
        <v>2246</v>
      </c>
      <c r="Y496" s="1" t="s">
        <v>23</v>
      </c>
      <c r="Z496" s="1" t="s">
        <v>2247</v>
      </c>
    </row>
    <row r="497" ht="15.75" customHeight="1">
      <c r="E497" s="1" t="s">
        <v>2248</v>
      </c>
      <c r="L497" s="1">
        <v>2591968.84375</v>
      </c>
      <c r="M497" s="1">
        <v>1682977.5</v>
      </c>
      <c r="N497" s="1" t="s">
        <v>2249</v>
      </c>
      <c r="O497" s="1" t="s">
        <v>2250</v>
      </c>
      <c r="P497" s="1" t="s">
        <v>2251</v>
      </c>
      <c r="Y497" s="1" t="s">
        <v>23</v>
      </c>
      <c r="Z497" s="1" t="s">
        <v>2252</v>
      </c>
    </row>
    <row r="498" ht="15.75" customHeight="1">
      <c r="E498" s="1" t="s">
        <v>2253</v>
      </c>
      <c r="L498" s="1">
        <v>1.2029406949339395E7</v>
      </c>
      <c r="M498" s="1">
        <v>5817847.0</v>
      </c>
      <c r="N498" s="1" t="s">
        <v>2254</v>
      </c>
      <c r="O498" s="1" t="s">
        <v>2255</v>
      </c>
      <c r="P498" s="1" t="s">
        <v>2256</v>
      </c>
      <c r="Y498" s="1" t="s">
        <v>23</v>
      </c>
    </row>
    <row r="499" ht="15.75" customHeight="1">
      <c r="E499" s="1" t="s">
        <v>2257</v>
      </c>
      <c r="L499" s="1">
        <v>5352509.642857143</v>
      </c>
      <c r="M499" s="1">
        <v>1878730.0</v>
      </c>
      <c r="N499" s="1" t="s">
        <v>2258</v>
      </c>
      <c r="O499" s="1" t="s">
        <v>2259</v>
      </c>
      <c r="P499" s="1" t="s">
        <v>2260</v>
      </c>
      <c r="Y499" s="1" t="s">
        <v>23</v>
      </c>
      <c r="Z499" s="1" t="s">
        <v>288</v>
      </c>
    </row>
    <row r="500" ht="15.75" customHeight="1">
      <c r="E500" s="1" t="s">
        <v>2261</v>
      </c>
      <c r="L500" s="1">
        <v>445654.96317500004</v>
      </c>
      <c r="M500" s="1">
        <v>403877.5</v>
      </c>
      <c r="N500" s="1" t="s">
        <v>1225</v>
      </c>
      <c r="O500" s="1" t="s">
        <v>2262</v>
      </c>
      <c r="P500" s="1" t="s">
        <v>2263</v>
      </c>
      <c r="Y500" s="1" t="s">
        <v>23</v>
      </c>
      <c r="Z500" s="1" t="s">
        <v>2264</v>
      </c>
    </row>
    <row r="501" ht="15.75" customHeight="1">
      <c r="E501" s="1" t="s">
        <v>2265</v>
      </c>
      <c r="L501" s="1">
        <v>4069247.612980769</v>
      </c>
      <c r="M501" s="1">
        <v>1000768.46875</v>
      </c>
      <c r="Y501" s="1" t="s">
        <v>23</v>
      </c>
      <c r="Z501" s="1" t="s">
        <v>2266</v>
      </c>
    </row>
    <row r="502" ht="15.75" customHeight="1">
      <c r="E502" s="1" t="s">
        <v>2267</v>
      </c>
      <c r="L502" s="1">
        <v>7578080.441635295</v>
      </c>
      <c r="M502" s="1">
        <v>1379941.0</v>
      </c>
      <c r="N502" s="1" t="s">
        <v>1661</v>
      </c>
      <c r="O502" s="1" t="s">
        <v>2268</v>
      </c>
      <c r="P502" s="1" t="s">
        <v>2269</v>
      </c>
      <c r="Y502" s="1" t="s">
        <v>23</v>
      </c>
      <c r="Z502" s="1" t="s">
        <v>2270</v>
      </c>
    </row>
    <row r="503" ht="15.75" customHeight="1">
      <c r="E503" s="1" t="s">
        <v>2271</v>
      </c>
      <c r="L503" s="1">
        <v>6.074718011111112E8</v>
      </c>
      <c r="M503" s="1">
        <v>5.06920592E8</v>
      </c>
      <c r="N503" s="1" t="s">
        <v>2272</v>
      </c>
      <c r="Y503" s="1" t="s">
        <v>23</v>
      </c>
      <c r="Z503" s="1" t="s">
        <v>441</v>
      </c>
    </row>
    <row r="504" ht="15.75" customHeight="1">
      <c r="E504" s="1" t="s">
        <v>2273</v>
      </c>
      <c r="L504" s="1">
        <v>7615094.657986111</v>
      </c>
      <c r="M504" s="1">
        <v>6159870.5</v>
      </c>
      <c r="N504" s="1" t="s">
        <v>2111</v>
      </c>
      <c r="O504" s="1" t="s">
        <v>2274</v>
      </c>
      <c r="P504" s="1" t="s">
        <v>2275</v>
      </c>
      <c r="Y504" s="1" t="s">
        <v>23</v>
      </c>
      <c r="Z504" s="1" t="s">
        <v>2276</v>
      </c>
    </row>
    <row r="505" ht="15.75" customHeight="1">
      <c r="E505" s="1" t="s">
        <v>2277</v>
      </c>
      <c r="L505" s="1">
        <v>7566960.359375</v>
      </c>
      <c r="M505" s="1">
        <v>1545572.5</v>
      </c>
      <c r="N505" s="1" t="s">
        <v>2278</v>
      </c>
      <c r="O505" s="1" t="s">
        <v>2279</v>
      </c>
      <c r="P505" s="1" t="s">
        <v>2280</v>
      </c>
      <c r="Y505" s="1" t="s">
        <v>23</v>
      </c>
      <c r="Z505" s="1" t="s">
        <v>2281</v>
      </c>
    </row>
    <row r="506" ht="15.75" customHeight="1">
      <c r="E506" s="1" t="s">
        <v>2282</v>
      </c>
      <c r="L506" s="1">
        <v>1.4370503041666666E7</v>
      </c>
      <c r="M506" s="1">
        <v>7838738.25</v>
      </c>
      <c r="N506" s="1" t="s">
        <v>1661</v>
      </c>
      <c r="O506" s="1" t="s">
        <v>2283</v>
      </c>
      <c r="P506" s="1" t="s">
        <v>2284</v>
      </c>
      <c r="Y506" s="1" t="s">
        <v>23</v>
      </c>
      <c r="Z506" s="1" t="s">
        <v>2285</v>
      </c>
    </row>
    <row r="507" ht="15.75" customHeight="1">
      <c r="E507" s="1" t="s">
        <v>2286</v>
      </c>
      <c r="L507" s="1">
        <v>3.2072062192857143E7</v>
      </c>
      <c r="M507" s="1">
        <v>1.4695971E7</v>
      </c>
      <c r="Y507" s="1" t="s">
        <v>23</v>
      </c>
      <c r="Z507" s="1" t="s">
        <v>2287</v>
      </c>
    </row>
    <row r="508" ht="15.75" customHeight="1">
      <c r="E508" s="1" t="s">
        <v>2288</v>
      </c>
      <c r="L508" s="1">
        <v>965566.8</v>
      </c>
      <c r="M508" s="1">
        <v>136084.0</v>
      </c>
      <c r="Y508" s="1" t="s">
        <v>23</v>
      </c>
      <c r="Z508" s="1" t="s">
        <v>2289</v>
      </c>
    </row>
    <row r="509" ht="15.75" customHeight="1">
      <c r="E509" s="1" t="s">
        <v>2290</v>
      </c>
      <c r="L509" s="1">
        <v>841607.1467312502</v>
      </c>
      <c r="M509" s="1">
        <v>716821.5</v>
      </c>
      <c r="N509" s="1" t="s">
        <v>1159</v>
      </c>
      <c r="O509" s="1" t="s">
        <v>2291</v>
      </c>
      <c r="P509" s="1" t="s">
        <v>2292</v>
      </c>
      <c r="Y509" s="1" t="s">
        <v>23</v>
      </c>
      <c r="Z509" s="1" t="s">
        <v>2293</v>
      </c>
    </row>
    <row r="510" ht="15.75" customHeight="1">
      <c r="E510" s="1" t="s">
        <v>2294</v>
      </c>
      <c r="L510" s="1">
        <v>773509.4933757577</v>
      </c>
      <c r="M510" s="1">
        <v>370443.9688</v>
      </c>
      <c r="Y510" s="1" t="s">
        <v>23</v>
      </c>
    </row>
    <row r="511" ht="15.75" customHeight="1">
      <c r="E511" s="1" t="s">
        <v>2295</v>
      </c>
      <c r="L511" s="1">
        <v>9298840.196969697</v>
      </c>
      <c r="M511" s="1">
        <v>1307340.0</v>
      </c>
      <c r="N511" s="1" t="s">
        <v>2296</v>
      </c>
      <c r="O511" s="1" t="s">
        <v>2297</v>
      </c>
      <c r="P511" s="1" t="s">
        <v>2298</v>
      </c>
      <c r="Y511" s="1" t="s">
        <v>23</v>
      </c>
      <c r="Z511" s="1" t="s">
        <v>2299</v>
      </c>
    </row>
    <row r="512" ht="15.75" customHeight="1">
      <c r="E512" s="1" t="s">
        <v>2300</v>
      </c>
      <c r="L512" s="1">
        <v>1.2695649E7</v>
      </c>
      <c r="M512" s="1">
        <v>1.2695649E7</v>
      </c>
      <c r="Y512" s="1" t="s">
        <v>23</v>
      </c>
    </row>
    <row r="513" ht="15.75" customHeight="1">
      <c r="E513" s="1" t="s">
        <v>2301</v>
      </c>
      <c r="L513" s="1">
        <v>3071859.5800777776</v>
      </c>
      <c r="M513" s="1">
        <v>1518457.0</v>
      </c>
      <c r="N513" s="1" t="s">
        <v>2302</v>
      </c>
      <c r="O513" s="1" t="s">
        <v>2303</v>
      </c>
      <c r="P513" s="1" t="s">
        <v>2304</v>
      </c>
      <c r="Y513" s="1" t="s">
        <v>23</v>
      </c>
      <c r="Z513" s="1" t="s">
        <v>2305</v>
      </c>
    </row>
    <row r="514" ht="15.75" customHeight="1">
      <c r="E514" s="1" t="s">
        <v>2306</v>
      </c>
      <c r="L514" s="1">
        <v>871774.4166694445</v>
      </c>
      <c r="M514" s="1">
        <v>552460.0</v>
      </c>
      <c r="N514" s="1" t="s">
        <v>2307</v>
      </c>
      <c r="O514" s="1" t="s">
        <v>2308</v>
      </c>
      <c r="P514" s="1" t="s">
        <v>2309</v>
      </c>
      <c r="Y514" s="1" t="s">
        <v>23</v>
      </c>
      <c r="Z514" s="1" t="s">
        <v>435</v>
      </c>
    </row>
    <row r="515" ht="15.75" customHeight="1">
      <c r="E515" s="1" t="s">
        <v>2310</v>
      </c>
      <c r="L515" s="1">
        <v>8.499915285138888E8</v>
      </c>
      <c r="M515" s="1">
        <v>3.4726558E7</v>
      </c>
      <c r="N515" s="1" t="s">
        <v>1145</v>
      </c>
      <c r="O515" s="1" t="s">
        <v>2311</v>
      </c>
      <c r="P515" s="1" t="s">
        <v>2312</v>
      </c>
      <c r="Y515" s="1" t="s">
        <v>23</v>
      </c>
      <c r="Z515" s="1" t="s">
        <v>2313</v>
      </c>
    </row>
    <row r="516" ht="15.75" customHeight="1">
      <c r="E516" s="1" t="s">
        <v>2314</v>
      </c>
      <c r="L516" s="1">
        <v>1365365.6363636365</v>
      </c>
      <c r="M516" s="1">
        <v>592433.0</v>
      </c>
      <c r="N516" s="1" t="s">
        <v>2315</v>
      </c>
      <c r="O516" s="1" t="s">
        <v>2316</v>
      </c>
      <c r="P516" s="1" t="s">
        <v>2317</v>
      </c>
      <c r="Y516" s="1" t="s">
        <v>23</v>
      </c>
      <c r="Z516" s="1" t="s">
        <v>2318</v>
      </c>
    </row>
    <row r="517" ht="15.75" customHeight="1">
      <c r="E517" s="1" t="s">
        <v>2319</v>
      </c>
      <c r="L517" s="1">
        <v>614016.46693</v>
      </c>
      <c r="M517" s="1">
        <v>429117.0</v>
      </c>
      <c r="Y517" s="1" t="s">
        <v>23</v>
      </c>
    </row>
    <row r="518" ht="15.75" customHeight="1">
      <c r="E518" s="1" t="s">
        <v>2320</v>
      </c>
      <c r="L518" s="1">
        <v>4.0003666402777776E7</v>
      </c>
      <c r="M518" s="1">
        <v>3452801.5</v>
      </c>
      <c r="Y518" s="1" t="s">
        <v>23</v>
      </c>
    </row>
    <row r="519" ht="15.75" customHeight="1">
      <c r="E519" s="1" t="s">
        <v>2321</v>
      </c>
      <c r="L519" s="1">
        <v>507953.0512166667</v>
      </c>
      <c r="M519" s="1">
        <v>306875.5</v>
      </c>
      <c r="N519" s="1" t="s">
        <v>2322</v>
      </c>
      <c r="O519" s="1" t="s">
        <v>2323</v>
      </c>
      <c r="P519" s="1" t="s">
        <v>2324</v>
      </c>
      <c r="Y519" s="1" t="s">
        <v>23</v>
      </c>
      <c r="Z519" s="1" t="s">
        <v>2325</v>
      </c>
    </row>
    <row r="520" ht="15.75" customHeight="1">
      <c r="E520" s="1" t="s">
        <v>2326</v>
      </c>
      <c r="L520" s="1">
        <v>9.428253469444445E7</v>
      </c>
      <c r="M520" s="1">
        <v>1.63469585E7</v>
      </c>
      <c r="Y520" s="1" t="s">
        <v>23</v>
      </c>
      <c r="Z520" s="1" t="s">
        <v>2327</v>
      </c>
    </row>
    <row r="521" ht="15.75" customHeight="1">
      <c r="E521" s="1" t="s">
        <v>2328</v>
      </c>
      <c r="L521" s="1">
        <v>604269.2881615384</v>
      </c>
      <c r="M521" s="1">
        <v>166028.0</v>
      </c>
      <c r="Y521" s="1" t="s">
        <v>23</v>
      </c>
      <c r="Z521" s="1" t="s">
        <v>2329</v>
      </c>
    </row>
    <row r="522" ht="15.75" customHeight="1">
      <c r="E522" s="1" t="s">
        <v>2330</v>
      </c>
      <c r="L522" s="1">
        <v>7.039016935555556E8</v>
      </c>
      <c r="M522" s="1">
        <v>6.33759712E8</v>
      </c>
      <c r="N522" s="1" t="s">
        <v>2272</v>
      </c>
      <c r="O522" s="1" t="s">
        <v>2331</v>
      </c>
      <c r="P522" s="1" t="s">
        <v>2332</v>
      </c>
      <c r="Y522" s="1" t="s">
        <v>23</v>
      </c>
    </row>
    <row r="523" ht="15.75" customHeight="1">
      <c r="E523" s="1" t="s">
        <v>2333</v>
      </c>
      <c r="L523" s="1">
        <v>6769678.481772223</v>
      </c>
      <c r="M523" s="1">
        <v>4740674.0</v>
      </c>
      <c r="N523" s="1" t="s">
        <v>1433</v>
      </c>
      <c r="O523" s="1" t="s">
        <v>2334</v>
      </c>
      <c r="P523" s="1" t="s">
        <v>2335</v>
      </c>
      <c r="Y523" s="1" t="s">
        <v>23</v>
      </c>
      <c r="Z523" s="1" t="s">
        <v>2336</v>
      </c>
    </row>
    <row r="524" ht="15.75" customHeight="1">
      <c r="E524" s="1" t="s">
        <v>2337</v>
      </c>
      <c r="L524" s="1">
        <v>1499005.607638889</v>
      </c>
      <c r="M524" s="1">
        <v>853755.5</v>
      </c>
      <c r="Y524" s="1" t="s">
        <v>23</v>
      </c>
      <c r="Z524" s="1" t="s">
        <v>2338</v>
      </c>
    </row>
    <row r="525" ht="15.75" customHeight="1">
      <c r="E525" s="1" t="s">
        <v>2339</v>
      </c>
      <c r="L525" s="1">
        <v>1752011.6367222224</v>
      </c>
      <c r="M525" s="1">
        <v>1322439.5</v>
      </c>
      <c r="N525" s="1" t="s">
        <v>2111</v>
      </c>
      <c r="O525" s="1" t="s">
        <v>2340</v>
      </c>
      <c r="P525" s="1" t="s">
        <v>2341</v>
      </c>
      <c r="Y525" s="1" t="s">
        <v>23</v>
      </c>
      <c r="Z525" s="1" t="s">
        <v>2342</v>
      </c>
    </row>
    <row r="526" ht="15.75" customHeight="1">
      <c r="E526" s="1" t="s">
        <v>2343</v>
      </c>
      <c r="L526" s="1">
        <v>841678.310546875</v>
      </c>
      <c r="M526" s="1">
        <v>715260.0</v>
      </c>
      <c r="Y526" s="1" t="s">
        <v>23</v>
      </c>
      <c r="Z526" s="1" t="s">
        <v>2344</v>
      </c>
    </row>
    <row r="527" ht="15.75" customHeight="1">
      <c r="E527" s="1" t="s">
        <v>2345</v>
      </c>
      <c r="L527" s="1">
        <v>1870125.4648444445</v>
      </c>
      <c r="M527" s="1">
        <v>1385668.0</v>
      </c>
      <c r="Y527" s="1" t="s">
        <v>23</v>
      </c>
    </row>
    <row r="528" ht="15.75" customHeight="1">
      <c r="E528" s="1" t="s">
        <v>2346</v>
      </c>
      <c r="L528" s="1">
        <v>1474954.0555555555</v>
      </c>
      <c r="M528" s="1">
        <v>411935.5</v>
      </c>
      <c r="Y528" s="1" t="s">
        <v>23</v>
      </c>
    </row>
    <row r="529" ht="15.75" customHeight="1">
      <c r="E529" s="1" t="s">
        <v>2347</v>
      </c>
      <c r="L529" s="1">
        <v>268093.09350625</v>
      </c>
      <c r="M529" s="1">
        <v>151359.5</v>
      </c>
      <c r="Y529" s="1" t="s">
        <v>23</v>
      </c>
    </row>
    <row r="530" ht="15.75" customHeight="1">
      <c r="E530" s="1" t="s">
        <v>2348</v>
      </c>
      <c r="L530" s="1">
        <v>7964549.18382353</v>
      </c>
      <c r="M530" s="1">
        <v>1358365.5</v>
      </c>
      <c r="Y530" s="1" t="s">
        <v>23</v>
      </c>
    </row>
    <row r="531" ht="15.75" customHeight="1">
      <c r="E531" s="1" t="s">
        <v>2349</v>
      </c>
      <c r="L531" s="1">
        <v>1.6766914E9</v>
      </c>
      <c r="M531" s="1">
        <v>8.97452608E8</v>
      </c>
      <c r="Y531" s="1" t="s">
        <v>23</v>
      </c>
      <c r="Z531" s="1" t="s">
        <v>2350</v>
      </c>
    </row>
    <row r="532" ht="15.75" customHeight="1">
      <c r="E532" s="1" t="s">
        <v>2351</v>
      </c>
      <c r="L532" s="1">
        <v>2.2350772525E8</v>
      </c>
      <c r="M532" s="1">
        <v>1.04008996E8</v>
      </c>
      <c r="Y532" s="1" t="s">
        <v>23</v>
      </c>
      <c r="Z532" s="1" t="s">
        <v>2352</v>
      </c>
    </row>
    <row r="533" ht="15.75" customHeight="1">
      <c r="E533" s="1" t="s">
        <v>2353</v>
      </c>
      <c r="L533" s="1">
        <v>942663.5208333334</v>
      </c>
      <c r="M533" s="1">
        <v>464640.0</v>
      </c>
      <c r="Y533" s="1" t="s">
        <v>23</v>
      </c>
    </row>
    <row r="534" ht="15.75" customHeight="1">
      <c r="E534" s="1" t="s">
        <v>2354</v>
      </c>
      <c r="L534" s="1">
        <v>356194.3846153846</v>
      </c>
      <c r="M534" s="1">
        <v>171479.0</v>
      </c>
      <c r="Y534" s="1" t="s">
        <v>23</v>
      </c>
      <c r="Z534" s="1" t="s">
        <v>2355</v>
      </c>
    </row>
    <row r="535" ht="15.75" customHeight="1">
      <c r="E535" s="1" t="s">
        <v>2356</v>
      </c>
      <c r="L535" s="1">
        <v>681988.95391</v>
      </c>
      <c r="M535" s="1">
        <v>289075.5</v>
      </c>
      <c r="Y535" s="1" t="s">
        <v>23</v>
      </c>
      <c r="Z535" s="1" t="s">
        <v>2355</v>
      </c>
    </row>
    <row r="536" ht="15.75" customHeight="1">
      <c r="E536" s="1" t="s">
        <v>2357</v>
      </c>
      <c r="L536" s="1">
        <v>3.2433898977941178E7</v>
      </c>
      <c r="M536" s="1">
        <v>2.3594326E7</v>
      </c>
      <c r="N536" s="1" t="s">
        <v>2358</v>
      </c>
      <c r="O536" s="1" t="s">
        <v>2359</v>
      </c>
      <c r="P536" s="1" t="s">
        <v>2360</v>
      </c>
      <c r="Y536" s="1" t="s">
        <v>23</v>
      </c>
      <c r="Z536" s="1" t="s">
        <v>2361</v>
      </c>
    </row>
    <row r="537" ht="15.75" customHeight="1">
      <c r="E537" s="1" t="s">
        <v>2362</v>
      </c>
      <c r="L537" s="1">
        <v>321885.95</v>
      </c>
      <c r="M537" s="1">
        <v>183285.5</v>
      </c>
      <c r="Y537" s="1" t="s">
        <v>23</v>
      </c>
      <c r="Z537" s="1" t="s">
        <v>2363</v>
      </c>
    </row>
    <row r="538" ht="15.75" customHeight="1">
      <c r="E538" s="1" t="s">
        <v>2364</v>
      </c>
      <c r="L538" s="1">
        <v>5184690.405096297</v>
      </c>
      <c r="M538" s="1">
        <v>744215.0</v>
      </c>
      <c r="Y538" s="1" t="s">
        <v>23</v>
      </c>
      <c r="Z538" s="1" t="s">
        <v>2365</v>
      </c>
    </row>
    <row r="539" ht="15.75" customHeight="1">
      <c r="E539" s="1" t="s">
        <v>2366</v>
      </c>
      <c r="L539" s="1">
        <v>504284.04834166664</v>
      </c>
      <c r="M539" s="1">
        <v>284689.0</v>
      </c>
      <c r="Y539" s="1" t="s">
        <v>23</v>
      </c>
      <c r="Z539" s="1" t="s">
        <v>2367</v>
      </c>
    </row>
    <row r="540" ht="15.75" customHeight="1">
      <c r="E540" s="1" t="s">
        <v>2368</v>
      </c>
      <c r="L540" s="1">
        <v>1842392.607009091</v>
      </c>
      <c r="M540" s="1">
        <v>916134.0</v>
      </c>
      <c r="Y540" s="1" t="s">
        <v>23</v>
      </c>
      <c r="Z540" s="1" t="s">
        <v>2369</v>
      </c>
    </row>
    <row r="541" ht="15.75" customHeight="1">
      <c r="E541" s="1" t="s">
        <v>2370</v>
      </c>
      <c r="L541" s="1">
        <v>5155575.779513889</v>
      </c>
      <c r="M541" s="1">
        <v>2326964.0</v>
      </c>
      <c r="Y541" s="1" t="s">
        <v>23</v>
      </c>
      <c r="Z541" s="1" t="s">
        <v>2371</v>
      </c>
    </row>
    <row r="542" ht="15.75" customHeight="1">
      <c r="E542" s="1" t="s">
        <v>2372</v>
      </c>
      <c r="L542" s="1">
        <v>2482457.4712607143</v>
      </c>
      <c r="M542" s="1">
        <v>1088163.5</v>
      </c>
      <c r="Y542" s="1" t="s">
        <v>23</v>
      </c>
      <c r="Z542" s="1" t="s">
        <v>2371</v>
      </c>
    </row>
    <row r="543" ht="15.75" customHeight="1">
      <c r="E543" s="1" t="s">
        <v>2373</v>
      </c>
      <c r="L543" s="1">
        <v>3.710368026E8</v>
      </c>
      <c r="M543" s="1">
        <v>3.19171008E8</v>
      </c>
      <c r="N543" s="1" t="s">
        <v>2374</v>
      </c>
      <c r="O543" s="1" t="s">
        <v>2375</v>
      </c>
      <c r="P543" s="1" t="s">
        <v>2376</v>
      </c>
      <c r="Y543" s="1" t="s">
        <v>23</v>
      </c>
      <c r="Z543" s="1" t="s">
        <v>2377</v>
      </c>
    </row>
    <row r="544" ht="15.75" customHeight="1">
      <c r="E544" s="1" t="s">
        <v>2378</v>
      </c>
      <c r="L544" s="1">
        <v>2.4325685486111112E7</v>
      </c>
      <c r="M544" s="1">
        <v>1.8410352E7</v>
      </c>
      <c r="N544" s="1" t="s">
        <v>2379</v>
      </c>
      <c r="O544" s="1" t="s">
        <v>2380</v>
      </c>
      <c r="P544" s="1" t="s">
        <v>2381</v>
      </c>
      <c r="Y544" s="1" t="s">
        <v>23</v>
      </c>
    </row>
    <row r="545" ht="15.75" customHeight="1">
      <c r="E545" s="1" t="s">
        <v>2382</v>
      </c>
      <c r="L545" s="1">
        <v>8257568.40104</v>
      </c>
      <c r="M545" s="1">
        <v>6472789.0</v>
      </c>
      <c r="N545" s="1" t="s">
        <v>2383</v>
      </c>
      <c r="O545" s="1" t="s">
        <v>2384</v>
      </c>
      <c r="P545" s="1" t="s">
        <v>2385</v>
      </c>
      <c r="Y545" s="1" t="s">
        <v>23</v>
      </c>
      <c r="Z545" s="1" t="s">
        <v>2386</v>
      </c>
    </row>
    <row r="546" ht="15.75" customHeight="1">
      <c r="E546" s="1" t="s">
        <v>2387</v>
      </c>
      <c r="L546" s="1">
        <v>2.060968199722222E8</v>
      </c>
      <c r="M546" s="1">
        <v>1.3844404E8</v>
      </c>
      <c r="N546" s="1" t="s">
        <v>2388</v>
      </c>
      <c r="O546" s="1" t="s">
        <v>2389</v>
      </c>
      <c r="P546" s="1" t="s">
        <v>2390</v>
      </c>
      <c r="Y546" s="1" t="s">
        <v>23</v>
      </c>
      <c r="Z546" s="1" t="s">
        <v>462</v>
      </c>
    </row>
    <row r="547" ht="15.75" customHeight="1">
      <c r="E547" s="1" t="s">
        <v>2391</v>
      </c>
      <c r="L547" s="1">
        <v>2527758.6666666665</v>
      </c>
      <c r="M547" s="1">
        <v>1079816.0</v>
      </c>
      <c r="N547" s="1" t="s">
        <v>2392</v>
      </c>
      <c r="O547" s="1" t="s">
        <v>2393</v>
      </c>
      <c r="P547" s="1" t="s">
        <v>2394</v>
      </c>
      <c r="Y547" s="1" t="s">
        <v>23</v>
      </c>
      <c r="Z547" s="1" t="s">
        <v>2395</v>
      </c>
    </row>
    <row r="548" ht="15.75" customHeight="1">
      <c r="E548" s="1" t="s">
        <v>2396</v>
      </c>
      <c r="L548" s="1">
        <v>3.6740234583333336E7</v>
      </c>
      <c r="M548" s="1">
        <v>2.1656952E7</v>
      </c>
      <c r="N548" s="1" t="s">
        <v>2397</v>
      </c>
      <c r="O548" s="1" t="s">
        <v>2398</v>
      </c>
      <c r="P548" s="1" t="s">
        <v>2399</v>
      </c>
      <c r="Y548" s="1" t="s">
        <v>23</v>
      </c>
      <c r="Z548" s="1" t="s">
        <v>2400</v>
      </c>
    </row>
    <row r="549" ht="15.75" customHeight="1">
      <c r="E549" s="1" t="s">
        <v>2401</v>
      </c>
      <c r="L549" s="1">
        <v>1.405721119722222E8</v>
      </c>
      <c r="M549" s="1">
        <v>3.2963852E7</v>
      </c>
      <c r="Y549" s="1" t="s">
        <v>23</v>
      </c>
      <c r="Z549" s="1" t="s">
        <v>2402</v>
      </c>
    </row>
    <row r="550" ht="15.75" customHeight="1">
      <c r="E550" s="1" t="s">
        <v>2403</v>
      </c>
      <c r="L550" s="1">
        <v>2067692.99415</v>
      </c>
      <c r="M550" s="1">
        <v>280124.98439999996</v>
      </c>
      <c r="N550" s="1" t="s">
        <v>2404</v>
      </c>
      <c r="O550" s="1" t="s">
        <v>2405</v>
      </c>
      <c r="P550" s="1" t="s">
        <v>2406</v>
      </c>
      <c r="Y550" s="1" t="s">
        <v>23</v>
      </c>
    </row>
    <row r="551" ht="15.75" customHeight="1">
      <c r="E551" s="1" t="s">
        <v>2407</v>
      </c>
      <c r="L551" s="1">
        <v>1718355.0</v>
      </c>
      <c r="M551" s="1">
        <v>1233885.5</v>
      </c>
      <c r="N551" s="1" t="s">
        <v>2408</v>
      </c>
      <c r="O551" s="1" t="s">
        <v>2409</v>
      </c>
      <c r="P551" s="1" t="s">
        <v>2410</v>
      </c>
      <c r="Y551" s="1" t="s">
        <v>23</v>
      </c>
      <c r="Z551" s="1" t="s">
        <v>2411</v>
      </c>
    </row>
    <row r="552" ht="15.75" customHeight="1">
      <c r="E552" s="1" t="s">
        <v>2412</v>
      </c>
      <c r="L552" s="1">
        <v>2183672.714285714</v>
      </c>
      <c r="M552" s="1">
        <v>1039760.5</v>
      </c>
      <c r="N552" s="1" t="s">
        <v>2413</v>
      </c>
      <c r="O552" s="1" t="s">
        <v>2414</v>
      </c>
      <c r="P552" s="1" t="s">
        <v>2415</v>
      </c>
      <c r="Y552" s="1" t="s">
        <v>23</v>
      </c>
      <c r="Z552" s="1" t="s">
        <v>2416</v>
      </c>
    </row>
    <row r="553" ht="15.75" customHeight="1">
      <c r="E553" s="1" t="s">
        <v>2417</v>
      </c>
      <c r="L553" s="1">
        <v>1.8940020736544445E7</v>
      </c>
      <c r="M553" s="1">
        <v>9753912.0</v>
      </c>
      <c r="N553" s="1" t="s">
        <v>2315</v>
      </c>
      <c r="O553" s="1" t="s">
        <v>2418</v>
      </c>
      <c r="P553" s="1" t="s">
        <v>2419</v>
      </c>
      <c r="Y553" s="1" t="s">
        <v>23</v>
      </c>
      <c r="Z553" s="1" t="s">
        <v>2420</v>
      </c>
    </row>
    <row r="554" ht="15.75" customHeight="1">
      <c r="E554" s="1" t="s">
        <v>2421</v>
      </c>
      <c r="L554" s="1">
        <v>1930700.7059636363</v>
      </c>
      <c r="M554" s="1">
        <v>602630.0</v>
      </c>
      <c r="N554" s="1" t="s">
        <v>2422</v>
      </c>
      <c r="O554" s="1" t="s">
        <v>2423</v>
      </c>
      <c r="P554" s="1" t="s">
        <v>2424</v>
      </c>
      <c r="Y554" s="1" t="s">
        <v>23</v>
      </c>
      <c r="Z554" s="1" t="s">
        <v>2425</v>
      </c>
    </row>
    <row r="555" ht="15.75" customHeight="1">
      <c r="E555" s="1" t="s">
        <v>2426</v>
      </c>
      <c r="L555" s="1">
        <v>5017210.561318181</v>
      </c>
      <c r="M555" s="1">
        <v>1414356.0</v>
      </c>
      <c r="N555" s="1" t="s">
        <v>2427</v>
      </c>
      <c r="O555" s="1" t="s">
        <v>2428</v>
      </c>
      <c r="P555" s="1" t="s">
        <v>2429</v>
      </c>
      <c r="Y555" s="1" t="s">
        <v>23</v>
      </c>
      <c r="Z555" s="1" t="s">
        <v>2430</v>
      </c>
    </row>
    <row r="556" ht="15.75" customHeight="1">
      <c r="E556" s="1" t="s">
        <v>2431</v>
      </c>
      <c r="L556" s="1">
        <v>2479554.3651368422</v>
      </c>
      <c r="M556" s="1">
        <v>798060.0</v>
      </c>
      <c r="N556" s="1" t="s">
        <v>2432</v>
      </c>
      <c r="O556" s="1" t="s">
        <v>2433</v>
      </c>
      <c r="P556" s="1" t="s">
        <v>2434</v>
      </c>
      <c r="Y556" s="1" t="s">
        <v>23</v>
      </c>
      <c r="Z556" s="1" t="s">
        <v>2435</v>
      </c>
    </row>
    <row r="557" ht="15.75" customHeight="1">
      <c r="E557" s="1" t="s">
        <v>2436</v>
      </c>
      <c r="L557" s="1">
        <v>3093146.9464285714</v>
      </c>
      <c r="M557" s="1">
        <v>2353131.0</v>
      </c>
      <c r="N557" s="1" t="s">
        <v>630</v>
      </c>
      <c r="Y557" s="1" t="s">
        <v>23</v>
      </c>
      <c r="Z557" s="1" t="s">
        <v>2437</v>
      </c>
    </row>
    <row r="558" ht="15.75" customHeight="1">
      <c r="E558" s="1" t="s">
        <v>2438</v>
      </c>
      <c r="L558" s="1">
        <v>6.026104826388889E7</v>
      </c>
      <c r="M558" s="1">
        <v>1.49651725E7</v>
      </c>
      <c r="Y558" s="1" t="s">
        <v>23</v>
      </c>
      <c r="Z558" s="1" t="s">
        <v>2439</v>
      </c>
    </row>
    <row r="559" ht="15.75" customHeight="1">
      <c r="E559" s="1" t="s">
        <v>2440</v>
      </c>
      <c r="L559" s="1">
        <v>707277.0013027778</v>
      </c>
      <c r="M559" s="1">
        <v>453187.5</v>
      </c>
      <c r="Y559" s="1" t="s">
        <v>23</v>
      </c>
    </row>
    <row r="560" ht="15.75" customHeight="1">
      <c r="E560" s="1" t="s">
        <v>2441</v>
      </c>
      <c r="L560" s="1">
        <v>1.6727477533073056E8</v>
      </c>
      <c r="M560" s="1">
        <v>1.1760427E7</v>
      </c>
      <c r="Y560" s="1" t="s">
        <v>23</v>
      </c>
      <c r="Z560" s="1" t="s">
        <v>2442</v>
      </c>
    </row>
    <row r="561" ht="15.75" customHeight="1">
      <c r="E561" s="1" t="s">
        <v>2443</v>
      </c>
      <c r="L561" s="1">
        <v>2.529419577777778E8</v>
      </c>
      <c r="M561" s="1">
        <v>1.90021936E8</v>
      </c>
      <c r="N561" s="1" t="s">
        <v>2444</v>
      </c>
      <c r="O561" s="1" t="s">
        <v>2445</v>
      </c>
      <c r="P561" s="1" t="s">
        <v>2446</v>
      </c>
      <c r="Y561" s="1" t="s">
        <v>23</v>
      </c>
      <c r="Z561" s="1" t="s">
        <v>431</v>
      </c>
    </row>
    <row r="562" ht="15.75" customHeight="1">
      <c r="E562" s="1" t="s">
        <v>2447</v>
      </c>
      <c r="L562" s="1">
        <v>162447.58325</v>
      </c>
      <c r="M562" s="1">
        <v>113890.50390000001</v>
      </c>
      <c r="N562" s="1" t="s">
        <v>2448</v>
      </c>
      <c r="O562" s="1" t="s">
        <v>2449</v>
      </c>
      <c r="P562" s="1" t="s">
        <v>2450</v>
      </c>
      <c r="Y562" s="1" t="s">
        <v>23</v>
      </c>
    </row>
    <row r="563" ht="15.75" customHeight="1">
      <c r="E563" s="1" t="s">
        <v>2451</v>
      </c>
      <c r="L563" s="1">
        <v>2.0475307833333332E7</v>
      </c>
      <c r="M563" s="1">
        <v>1.7829941E7</v>
      </c>
      <c r="N563" s="1" t="s">
        <v>2452</v>
      </c>
      <c r="O563" s="1" t="s">
        <v>2453</v>
      </c>
      <c r="P563" s="1" t="s">
        <v>2454</v>
      </c>
      <c r="Y563" s="1" t="s">
        <v>23</v>
      </c>
      <c r="Z563" s="1" t="s">
        <v>294</v>
      </c>
    </row>
    <row r="564" ht="15.75" customHeight="1">
      <c r="E564" s="1" t="s">
        <v>2455</v>
      </c>
      <c r="L564" s="1">
        <v>759431.39688</v>
      </c>
      <c r="M564" s="1">
        <v>487463.98439999996</v>
      </c>
      <c r="N564" s="1" t="s">
        <v>2456</v>
      </c>
      <c r="O564" s="1" t="s">
        <v>2457</v>
      </c>
      <c r="P564" s="1" t="s">
        <v>2458</v>
      </c>
      <c r="Y564" s="1" t="s">
        <v>23</v>
      </c>
      <c r="Z564" s="1" t="s">
        <v>2459</v>
      </c>
    </row>
    <row r="565" ht="15.75" customHeight="1">
      <c r="E565" s="1" t="s">
        <v>2460</v>
      </c>
      <c r="L565" s="1">
        <v>584212.5</v>
      </c>
      <c r="M565" s="1">
        <v>125924.0</v>
      </c>
      <c r="N565" s="1" t="s">
        <v>2461</v>
      </c>
      <c r="O565" s="1" t="s">
        <v>2462</v>
      </c>
      <c r="P565" s="1" t="s">
        <v>2463</v>
      </c>
      <c r="Y565" s="1" t="s">
        <v>23</v>
      </c>
    </row>
    <row r="566" ht="15.75" customHeight="1">
      <c r="E566" s="1" t="s">
        <v>2464</v>
      </c>
      <c r="L566" s="1">
        <v>1.1512219888888888E7</v>
      </c>
      <c r="M566" s="1">
        <v>8238743.5</v>
      </c>
      <c r="Y566" s="1" t="s">
        <v>23</v>
      </c>
      <c r="Z566" s="1" t="s">
        <v>2465</v>
      </c>
    </row>
    <row r="567" ht="15.75" customHeight="1">
      <c r="E567" s="1" t="s">
        <v>2466</v>
      </c>
      <c r="L567" s="1">
        <v>1296411.0740027777</v>
      </c>
      <c r="M567" s="1">
        <v>889464.5</v>
      </c>
      <c r="N567" s="1" t="s">
        <v>2467</v>
      </c>
      <c r="O567" s="1" t="s">
        <v>2468</v>
      </c>
      <c r="P567" s="1" t="s">
        <v>2469</v>
      </c>
      <c r="Y567" s="1" t="s">
        <v>23</v>
      </c>
      <c r="Z567" s="1" t="s">
        <v>2470</v>
      </c>
    </row>
    <row r="568" ht="15.75" customHeight="1">
      <c r="E568" s="1" t="s">
        <v>2471</v>
      </c>
      <c r="L568" s="1">
        <v>3.80739545E7</v>
      </c>
      <c r="M568" s="1">
        <v>2.9930849E7</v>
      </c>
      <c r="N568" s="1" t="s">
        <v>1843</v>
      </c>
      <c r="O568" s="1" t="s">
        <v>2472</v>
      </c>
      <c r="P568" s="1" t="s">
        <v>2473</v>
      </c>
      <c r="Y568" s="1" t="s">
        <v>23</v>
      </c>
      <c r="Z568" s="1" t="s">
        <v>2474</v>
      </c>
    </row>
    <row r="569" ht="15.75" customHeight="1">
      <c r="E569" s="1" t="s">
        <v>2475</v>
      </c>
      <c r="L569" s="1">
        <v>4050541.7357142856</v>
      </c>
      <c r="M569" s="1">
        <v>2370316.0</v>
      </c>
      <c r="N569" s="1" t="s">
        <v>2476</v>
      </c>
      <c r="O569" s="1" t="s">
        <v>2477</v>
      </c>
      <c r="P569" s="1" t="s">
        <v>2478</v>
      </c>
      <c r="Y569" s="1" t="s">
        <v>23</v>
      </c>
      <c r="Z569" s="1" t="s">
        <v>2479</v>
      </c>
    </row>
    <row r="570" ht="15.75" customHeight="1">
      <c r="E570" s="1" t="s">
        <v>2480</v>
      </c>
      <c r="L570" s="1">
        <v>1540362.5033500001</v>
      </c>
      <c r="M570" s="1">
        <v>736281.5</v>
      </c>
      <c r="N570" s="1" t="s">
        <v>1188</v>
      </c>
      <c r="O570" s="1" t="s">
        <v>2481</v>
      </c>
      <c r="P570" s="1" t="s">
        <v>2482</v>
      </c>
      <c r="Y570" s="1" t="s">
        <v>23</v>
      </c>
      <c r="Z570" s="1" t="s">
        <v>2483</v>
      </c>
    </row>
    <row r="571" ht="15.75" customHeight="1">
      <c r="E571" s="1" t="s">
        <v>2484</v>
      </c>
      <c r="L571" s="1">
        <v>4576112.756944444</v>
      </c>
      <c r="M571" s="1">
        <v>1723066.4375</v>
      </c>
      <c r="N571" s="1" t="s">
        <v>630</v>
      </c>
      <c r="O571" s="1" t="s">
        <v>2485</v>
      </c>
      <c r="P571" s="1" t="s">
        <v>2486</v>
      </c>
      <c r="Y571" s="1" t="s">
        <v>23</v>
      </c>
      <c r="Z571" s="1" t="s">
        <v>2487</v>
      </c>
    </row>
    <row r="572" ht="15.75" customHeight="1">
      <c r="E572" s="1" t="s">
        <v>2488</v>
      </c>
      <c r="L572" s="1">
        <v>2.93148869E8</v>
      </c>
      <c r="M572" s="1">
        <v>1.32417792E8</v>
      </c>
      <c r="Y572" s="1" t="s">
        <v>23</v>
      </c>
      <c r="Z572" s="1" t="s">
        <v>2489</v>
      </c>
    </row>
    <row r="573" ht="15.75" customHeight="1">
      <c r="E573" s="1" t="s">
        <v>2490</v>
      </c>
      <c r="L573" s="1">
        <v>4.955309536111111E7</v>
      </c>
      <c r="M573" s="1">
        <v>2.6657353E7</v>
      </c>
      <c r="Y573" s="1" t="s">
        <v>23</v>
      </c>
      <c r="Z573" s="1" t="s">
        <v>2491</v>
      </c>
    </row>
    <row r="574" ht="15.75" customHeight="1">
      <c r="E574" s="1" t="s">
        <v>2492</v>
      </c>
      <c r="L574" s="1">
        <v>1329815.6346041667</v>
      </c>
      <c r="M574" s="1">
        <v>313774.0</v>
      </c>
      <c r="Y574" s="1" t="s">
        <v>23</v>
      </c>
    </row>
    <row r="575" ht="15.75" customHeight="1">
      <c r="E575" s="1" t="s">
        <v>2493</v>
      </c>
      <c r="L575" s="1">
        <v>1031009.6206896552</v>
      </c>
      <c r="M575" s="1">
        <v>267227.0</v>
      </c>
      <c r="Y575" s="1" t="s">
        <v>23</v>
      </c>
      <c r="Z575" s="1" t="s">
        <v>2494</v>
      </c>
    </row>
    <row r="576" ht="15.75" customHeight="1">
      <c r="E576" s="1" t="s">
        <v>2495</v>
      </c>
      <c r="L576" s="1">
        <v>6945673.611111111</v>
      </c>
      <c r="M576" s="1">
        <v>4435705.5</v>
      </c>
      <c r="Y576" s="1" t="s">
        <v>23</v>
      </c>
    </row>
    <row r="577" ht="15.75" customHeight="1">
      <c r="E577" s="1" t="s">
        <v>2496</v>
      </c>
      <c r="L577" s="1">
        <v>1781669.7625</v>
      </c>
      <c r="M577" s="1">
        <v>1115863.0</v>
      </c>
      <c r="N577" s="1" t="s">
        <v>2497</v>
      </c>
      <c r="O577" s="1" t="s">
        <v>2498</v>
      </c>
      <c r="P577" s="1" t="s">
        <v>2499</v>
      </c>
      <c r="Y577" s="1" t="s">
        <v>23</v>
      </c>
      <c r="Z577" s="1" t="s">
        <v>2500</v>
      </c>
    </row>
    <row r="578" ht="15.75" customHeight="1">
      <c r="E578" s="1" t="s">
        <v>2501</v>
      </c>
      <c r="L578" s="1">
        <v>1352800.8965999999</v>
      </c>
      <c r="M578" s="1">
        <v>749927.6875</v>
      </c>
      <c r="N578" s="1" t="s">
        <v>2502</v>
      </c>
      <c r="O578" s="1" t="s">
        <v>2503</v>
      </c>
      <c r="P578" s="1" t="s">
        <v>2504</v>
      </c>
      <c r="Y578" s="1" t="s">
        <v>23</v>
      </c>
      <c r="Z578" s="1" t="s">
        <v>2505</v>
      </c>
    </row>
    <row r="579" ht="15.75" customHeight="1">
      <c r="E579" s="1" t="s">
        <v>2506</v>
      </c>
      <c r="L579" s="1">
        <v>177686.711876</v>
      </c>
      <c r="M579" s="1">
        <v>110892.3984</v>
      </c>
      <c r="N579" s="1" t="s">
        <v>2502</v>
      </c>
      <c r="O579" s="1" t="s">
        <v>2507</v>
      </c>
      <c r="P579" s="1" t="s">
        <v>2508</v>
      </c>
      <c r="Y579" s="1" t="s">
        <v>23</v>
      </c>
      <c r="Z579" s="1" t="s">
        <v>2509</v>
      </c>
    </row>
    <row r="580" ht="15.75" customHeight="1">
      <c r="E580" s="1" t="s">
        <v>2510</v>
      </c>
      <c r="L580" s="1">
        <v>1374201.2526055556</v>
      </c>
      <c r="M580" s="1">
        <v>896583.0</v>
      </c>
      <c r="Y580" s="1" t="s">
        <v>23</v>
      </c>
      <c r="Z580" s="1" t="s">
        <v>2511</v>
      </c>
    </row>
    <row r="581" ht="15.75" customHeight="1">
      <c r="E581" s="1" t="s">
        <v>2512</v>
      </c>
      <c r="L581" s="1">
        <v>2.497687154411765E7</v>
      </c>
      <c r="M581" s="1">
        <v>7943198.0</v>
      </c>
      <c r="Y581" s="1" t="s">
        <v>23</v>
      </c>
      <c r="Z581" s="1" t="s">
        <v>2513</v>
      </c>
    </row>
    <row r="582" ht="15.75" customHeight="1">
      <c r="E582" s="1" t="s">
        <v>2514</v>
      </c>
      <c r="L582" s="1">
        <v>1128091.8333333333</v>
      </c>
      <c r="M582" s="1">
        <v>1006610.0</v>
      </c>
      <c r="N582" s="1" t="s">
        <v>2111</v>
      </c>
      <c r="O582" s="1" t="s">
        <v>2515</v>
      </c>
      <c r="P582" s="1" t="s">
        <v>2516</v>
      </c>
      <c r="Y582" s="1" t="s">
        <v>23</v>
      </c>
      <c r="Z582" s="1" t="s">
        <v>399</v>
      </c>
    </row>
    <row r="583" ht="15.75" customHeight="1">
      <c r="E583" s="1" t="s">
        <v>2517</v>
      </c>
      <c r="L583" s="1">
        <v>1698524.4848484849</v>
      </c>
      <c r="M583" s="1">
        <v>932916.0</v>
      </c>
      <c r="N583" s="1" t="s">
        <v>2518</v>
      </c>
      <c r="O583" s="1" t="s">
        <v>2519</v>
      </c>
      <c r="P583" s="1" t="s">
        <v>2520</v>
      </c>
      <c r="Y583" s="1" t="s">
        <v>23</v>
      </c>
    </row>
    <row r="584" ht="15.75" customHeight="1">
      <c r="E584" s="1" t="s">
        <v>2521</v>
      </c>
      <c r="L584" s="1">
        <v>2576956.4791666665</v>
      </c>
      <c r="M584" s="1">
        <v>1566074.5</v>
      </c>
      <c r="N584" s="1" t="s">
        <v>2522</v>
      </c>
      <c r="O584" s="1" t="s">
        <v>2523</v>
      </c>
      <c r="P584" s="1" t="s">
        <v>2524</v>
      </c>
      <c r="Y584" s="1" t="s">
        <v>23</v>
      </c>
    </row>
    <row r="585" ht="15.75" customHeight="1">
      <c r="E585" s="1" t="s">
        <v>2525</v>
      </c>
      <c r="L585" s="1">
        <v>4960477.013888889</v>
      </c>
      <c r="M585" s="1">
        <v>3844029.5</v>
      </c>
      <c r="N585" s="1" t="s">
        <v>2120</v>
      </c>
      <c r="O585" s="1" t="s">
        <v>2526</v>
      </c>
      <c r="P585" s="1" t="s">
        <v>2527</v>
      </c>
      <c r="Y585" s="1" t="s">
        <v>23</v>
      </c>
    </row>
    <row r="586" ht="15.75" customHeight="1">
      <c r="E586" s="1" t="s">
        <v>2528</v>
      </c>
      <c r="L586" s="1">
        <v>3880616.9166666665</v>
      </c>
      <c r="M586" s="1">
        <v>2642936.5</v>
      </c>
      <c r="N586" s="1" t="s">
        <v>2529</v>
      </c>
      <c r="O586" s="1" t="s">
        <v>2530</v>
      </c>
      <c r="P586" s="1" t="s">
        <v>2531</v>
      </c>
      <c r="Y586" s="1" t="s">
        <v>23</v>
      </c>
    </row>
    <row r="587" ht="15.75" customHeight="1">
      <c r="E587" s="1" t="s">
        <v>2532</v>
      </c>
      <c r="L587" s="1">
        <v>2985069.880514706</v>
      </c>
      <c r="M587" s="1">
        <v>2412529.5</v>
      </c>
      <c r="N587" s="1" t="s">
        <v>2529</v>
      </c>
      <c r="O587" s="1" t="s">
        <v>2533</v>
      </c>
      <c r="P587" s="1" t="s">
        <v>2534</v>
      </c>
      <c r="Y587" s="1" t="s">
        <v>23</v>
      </c>
    </row>
    <row r="588" ht="15.75" customHeight="1">
      <c r="E588" s="1" t="s">
        <v>2535</v>
      </c>
      <c r="L588" s="1">
        <v>2115309.7417527777</v>
      </c>
      <c r="M588" s="1">
        <v>1378733.5</v>
      </c>
      <c r="N588" s="1" t="s">
        <v>2212</v>
      </c>
      <c r="O588" s="1" t="s">
        <v>2536</v>
      </c>
      <c r="P588" s="1" t="s">
        <v>2537</v>
      </c>
      <c r="Y588" s="1" t="s">
        <v>23</v>
      </c>
      <c r="Z588" s="1" t="s">
        <v>2538</v>
      </c>
    </row>
    <row r="589" ht="15.75" customHeight="1">
      <c r="E589" s="1" t="s">
        <v>2539</v>
      </c>
      <c r="L589" s="1">
        <v>2743113.5</v>
      </c>
      <c r="M589" s="1">
        <v>1294659.9375</v>
      </c>
      <c r="N589" s="1" t="s">
        <v>2540</v>
      </c>
      <c r="O589" s="1" t="s">
        <v>2541</v>
      </c>
      <c r="P589" s="1" t="s">
        <v>2542</v>
      </c>
      <c r="Y589" s="1" t="s">
        <v>23</v>
      </c>
      <c r="Z589" s="1" t="s">
        <v>2543</v>
      </c>
    </row>
    <row r="590" ht="15.75" customHeight="1">
      <c r="E590" s="1" t="s">
        <v>2544</v>
      </c>
      <c r="L590" s="1">
        <v>3317619.029513889</v>
      </c>
      <c r="M590" s="1">
        <v>2693807.0</v>
      </c>
      <c r="N590" s="1" t="s">
        <v>1948</v>
      </c>
      <c r="O590" s="1" t="s">
        <v>2545</v>
      </c>
      <c r="P590" s="1" t="s">
        <v>2546</v>
      </c>
      <c r="Y590" s="1" t="s">
        <v>23</v>
      </c>
      <c r="Z590" s="1" t="s">
        <v>2547</v>
      </c>
    </row>
    <row r="591" ht="15.75" customHeight="1">
      <c r="E591" s="1" t="s">
        <v>2548</v>
      </c>
      <c r="L591" s="1">
        <v>4.3264034416666664E7</v>
      </c>
      <c r="M591" s="1">
        <v>1.35961245E7</v>
      </c>
      <c r="Y591" s="1" t="s">
        <v>23</v>
      </c>
      <c r="Z591" s="1" t="s">
        <v>2549</v>
      </c>
    </row>
    <row r="592" ht="15.75" customHeight="1">
      <c r="E592" s="1" t="s">
        <v>2550</v>
      </c>
      <c r="L592" s="1">
        <v>122022.85416666667</v>
      </c>
      <c r="M592" s="1">
        <v>70327.0</v>
      </c>
      <c r="Y592" s="1" t="s">
        <v>23</v>
      </c>
      <c r="Z592" s="1" t="s">
        <v>2551</v>
      </c>
    </row>
    <row r="593" ht="15.75" customHeight="1">
      <c r="E593" s="1" t="s">
        <v>2552</v>
      </c>
      <c r="L593" s="1">
        <v>2596880.4857142856</v>
      </c>
      <c r="M593" s="1">
        <v>1785879.0</v>
      </c>
      <c r="N593" s="1" t="s">
        <v>2212</v>
      </c>
      <c r="O593" s="1" t="s">
        <v>2553</v>
      </c>
      <c r="P593" s="1" t="s">
        <v>2554</v>
      </c>
      <c r="Y593" s="1" t="s">
        <v>23</v>
      </c>
    </row>
    <row r="594" ht="15.75" customHeight="1">
      <c r="E594" s="1" t="s">
        <v>2555</v>
      </c>
      <c r="L594" s="1">
        <v>2496836.7916666665</v>
      </c>
      <c r="M594" s="1">
        <v>1932409.0</v>
      </c>
      <c r="N594" s="1" t="s">
        <v>2556</v>
      </c>
      <c r="O594" s="1" t="s">
        <v>2557</v>
      </c>
      <c r="P594" s="1" t="s">
        <v>2558</v>
      </c>
      <c r="Y594" s="1" t="s">
        <v>23</v>
      </c>
      <c r="Z594" s="1" t="s">
        <v>2559</v>
      </c>
    </row>
    <row r="595" ht="15.75" customHeight="1">
      <c r="E595" s="1" t="s">
        <v>2560</v>
      </c>
      <c r="L595" s="1">
        <v>3.440741395833333E8</v>
      </c>
      <c r="M595" s="1">
        <v>1.81553888E8</v>
      </c>
      <c r="N595" s="1" t="s">
        <v>2561</v>
      </c>
      <c r="O595" s="1" t="s">
        <v>2562</v>
      </c>
      <c r="P595" s="1" t="s">
        <v>2563</v>
      </c>
      <c r="Y595" s="1" t="s">
        <v>23</v>
      </c>
      <c r="Z595" s="1" t="s">
        <v>2564</v>
      </c>
    </row>
    <row r="596" ht="15.75" customHeight="1">
      <c r="E596" s="1" t="s">
        <v>2565</v>
      </c>
      <c r="L596" s="1">
        <v>246849.38888888888</v>
      </c>
      <c r="M596" s="1">
        <v>154634.5</v>
      </c>
      <c r="N596" s="1" t="s">
        <v>2566</v>
      </c>
      <c r="O596" s="1" t="s">
        <v>2567</v>
      </c>
      <c r="P596" s="1" t="s">
        <v>2568</v>
      </c>
      <c r="Y596" s="1" t="s">
        <v>23</v>
      </c>
      <c r="Z596" s="1" t="s">
        <v>2569</v>
      </c>
    </row>
    <row r="597" ht="15.75" customHeight="1">
      <c r="E597" s="1" t="s">
        <v>2570</v>
      </c>
      <c r="L597" s="1">
        <v>368734.354782353</v>
      </c>
      <c r="M597" s="1">
        <v>335402.5</v>
      </c>
      <c r="N597" s="1" t="s">
        <v>2571</v>
      </c>
      <c r="O597" s="1" t="s">
        <v>2572</v>
      </c>
      <c r="P597" s="1" t="s">
        <v>2573</v>
      </c>
      <c r="Y597" s="1" t="s">
        <v>23</v>
      </c>
      <c r="Z597" s="1" t="s">
        <v>2574</v>
      </c>
    </row>
    <row r="598" ht="15.75" customHeight="1">
      <c r="E598" s="1" t="s">
        <v>2575</v>
      </c>
      <c r="L598" s="1">
        <v>8123163.312621875</v>
      </c>
      <c r="M598" s="1">
        <v>305815.0</v>
      </c>
      <c r="Y598" s="1" t="s">
        <v>23</v>
      </c>
    </row>
    <row r="599" ht="15.75" customHeight="1">
      <c r="E599" s="1" t="s">
        <v>2576</v>
      </c>
      <c r="L599" s="1">
        <v>3556800.70766129</v>
      </c>
      <c r="M599" s="1">
        <v>1803754.125</v>
      </c>
      <c r="N599" s="1" t="s">
        <v>2577</v>
      </c>
      <c r="O599" s="1" t="s">
        <v>2578</v>
      </c>
      <c r="P599" s="1" t="s">
        <v>2579</v>
      </c>
      <c r="Y599" s="1" t="s">
        <v>23</v>
      </c>
      <c r="Z599" s="1" t="s">
        <v>2580</v>
      </c>
    </row>
    <row r="600" ht="15.75" customHeight="1">
      <c r="E600" s="1" t="s">
        <v>2581</v>
      </c>
      <c r="L600" s="1">
        <v>8.54971091388889E7</v>
      </c>
      <c r="M600" s="1">
        <v>7.5146392E7</v>
      </c>
      <c r="N600" s="1" t="s">
        <v>2582</v>
      </c>
      <c r="O600" s="1" t="s">
        <v>2583</v>
      </c>
      <c r="P600" s="1" t="s">
        <v>2584</v>
      </c>
      <c r="Y600" s="1" t="s">
        <v>23</v>
      </c>
      <c r="Z600" s="1" t="s">
        <v>2585</v>
      </c>
    </row>
    <row r="601" ht="15.75" customHeight="1">
      <c r="E601" s="1" t="s">
        <v>2586</v>
      </c>
      <c r="L601" s="1">
        <v>948647.5213121212</v>
      </c>
      <c r="M601" s="1">
        <v>364984.0</v>
      </c>
      <c r="N601" s="1" t="s">
        <v>2587</v>
      </c>
      <c r="O601" s="1" t="s">
        <v>2588</v>
      </c>
      <c r="P601" s="1" t="s">
        <v>2589</v>
      </c>
      <c r="Y601" s="1" t="s">
        <v>23</v>
      </c>
      <c r="Z601" s="1" t="s">
        <v>2590</v>
      </c>
    </row>
    <row r="602" ht="15.75" customHeight="1">
      <c r="E602" s="1" t="s">
        <v>2591</v>
      </c>
      <c r="L602" s="1">
        <v>9835535.493055556</v>
      </c>
      <c r="M602" s="1">
        <v>8250415.5</v>
      </c>
      <c r="N602" s="1" t="s">
        <v>2592</v>
      </c>
      <c r="O602" s="1" t="s">
        <v>2593</v>
      </c>
      <c r="P602" s="1" t="s">
        <v>2594</v>
      </c>
      <c r="Y602" s="1" t="s">
        <v>23</v>
      </c>
      <c r="Z602" s="1" t="s">
        <v>2595</v>
      </c>
    </row>
    <row r="603" ht="15.75" customHeight="1">
      <c r="E603" s="1" t="s">
        <v>2596</v>
      </c>
      <c r="L603" s="1">
        <v>6248162.854166667</v>
      </c>
      <c r="M603" s="1">
        <v>5663623.5</v>
      </c>
      <c r="N603" s="1" t="s">
        <v>2597</v>
      </c>
      <c r="O603" s="1" t="s">
        <v>2598</v>
      </c>
      <c r="P603" s="1" t="s">
        <v>2599</v>
      </c>
      <c r="Y603" s="1" t="s">
        <v>23</v>
      </c>
      <c r="Z603" s="1" t="s">
        <v>2600</v>
      </c>
    </row>
    <row r="604" ht="15.75" customHeight="1">
      <c r="E604" s="1" t="s">
        <v>2601</v>
      </c>
      <c r="L604" s="1">
        <v>841824.9138428572</v>
      </c>
      <c r="M604" s="1">
        <v>612342.0</v>
      </c>
      <c r="N604" s="1" t="s">
        <v>2602</v>
      </c>
      <c r="O604" s="1" t="s">
        <v>2603</v>
      </c>
      <c r="P604" s="1" t="s">
        <v>2604</v>
      </c>
      <c r="Y604" s="1" t="s">
        <v>23</v>
      </c>
      <c r="Z604" s="1" t="s">
        <v>2605</v>
      </c>
    </row>
    <row r="605" ht="15.75" customHeight="1">
      <c r="E605" s="1" t="s">
        <v>2606</v>
      </c>
      <c r="L605" s="1">
        <v>7.933006672211389E7</v>
      </c>
      <c r="M605" s="1">
        <v>4.6509376E7</v>
      </c>
      <c r="N605" s="1" t="s">
        <v>2607</v>
      </c>
      <c r="O605" s="1" t="s">
        <v>2608</v>
      </c>
      <c r="P605" s="1" t="s">
        <v>2609</v>
      </c>
      <c r="Y605" s="1" t="s">
        <v>23</v>
      </c>
      <c r="Z605" s="1" t="s">
        <v>2610</v>
      </c>
    </row>
    <row r="606" ht="15.75" customHeight="1">
      <c r="E606" s="1" t="s">
        <v>2611</v>
      </c>
      <c r="L606" s="1">
        <v>1989293.0026055558</v>
      </c>
      <c r="M606" s="1">
        <v>1641034.5</v>
      </c>
      <c r="N606" s="1" t="s">
        <v>2612</v>
      </c>
      <c r="O606" s="1" t="s">
        <v>2613</v>
      </c>
      <c r="P606" s="1" t="s">
        <v>2614</v>
      </c>
      <c r="Y606" s="1" t="s">
        <v>23</v>
      </c>
      <c r="Z606" s="1" t="s">
        <v>2615</v>
      </c>
    </row>
    <row r="607" ht="15.75" customHeight="1">
      <c r="E607" s="1" t="s">
        <v>2616</v>
      </c>
      <c r="L607" s="1">
        <v>2733352.8709828574</v>
      </c>
      <c r="M607" s="1">
        <v>773838.0</v>
      </c>
      <c r="N607" s="1" t="s">
        <v>2169</v>
      </c>
      <c r="O607" s="1" t="s">
        <v>2617</v>
      </c>
      <c r="P607" s="1" t="s">
        <v>2618</v>
      </c>
      <c r="Y607" s="1" t="s">
        <v>23</v>
      </c>
      <c r="Z607" s="1" t="s">
        <v>2619</v>
      </c>
    </row>
    <row r="608" ht="15.75" customHeight="1">
      <c r="E608" s="1" t="s">
        <v>2620</v>
      </c>
      <c r="L608" s="1">
        <v>4483367.888888889</v>
      </c>
      <c r="M608" s="1">
        <v>3964164.25</v>
      </c>
      <c r="N608" s="1" t="s">
        <v>1433</v>
      </c>
      <c r="O608" s="1" t="s">
        <v>2621</v>
      </c>
      <c r="P608" s="1" t="s">
        <v>2622</v>
      </c>
      <c r="Y608" s="1" t="s">
        <v>23</v>
      </c>
    </row>
    <row r="609" ht="15.75" customHeight="1">
      <c r="E609" s="1" t="s">
        <v>2623</v>
      </c>
      <c r="L609" s="1">
        <v>163358.19844</v>
      </c>
      <c r="M609" s="1">
        <v>121839.49609999999</v>
      </c>
      <c r="Y609" s="1" t="s">
        <v>23</v>
      </c>
    </row>
    <row r="610" ht="15.75" customHeight="1">
      <c r="E610" s="1" t="s">
        <v>2624</v>
      </c>
      <c r="L610" s="1">
        <v>4007484.1905416674</v>
      </c>
      <c r="M610" s="1">
        <v>1057620.5</v>
      </c>
      <c r="N610" s="1" t="s">
        <v>2169</v>
      </c>
      <c r="O610" s="1" t="s">
        <v>2625</v>
      </c>
      <c r="P610" s="1" t="s">
        <v>2626</v>
      </c>
      <c r="Y610" s="1" t="s">
        <v>23</v>
      </c>
      <c r="Z610" s="1" t="s">
        <v>2627</v>
      </c>
    </row>
    <row r="611" ht="15.75" customHeight="1">
      <c r="E611" s="1" t="s">
        <v>2628</v>
      </c>
      <c r="L611" s="1">
        <v>7374083.416666667</v>
      </c>
      <c r="M611" s="1">
        <v>4442135.0</v>
      </c>
      <c r="N611" s="1" t="s">
        <v>2629</v>
      </c>
      <c r="O611" s="1" t="s">
        <v>2630</v>
      </c>
      <c r="P611" s="1" t="s">
        <v>2631</v>
      </c>
      <c r="Y611" s="1" t="s">
        <v>23</v>
      </c>
      <c r="Z611" s="1" t="s">
        <v>2632</v>
      </c>
    </row>
    <row r="612" ht="15.75" customHeight="1">
      <c r="E612" s="1" t="s">
        <v>2633</v>
      </c>
      <c r="L612" s="1">
        <v>2887217.026911111</v>
      </c>
      <c r="M612" s="1">
        <v>2263042.5</v>
      </c>
      <c r="N612" s="1" t="s">
        <v>2634</v>
      </c>
      <c r="O612" s="1" t="s">
        <v>2635</v>
      </c>
      <c r="P612" s="1" t="s">
        <v>2636</v>
      </c>
      <c r="Y612" s="1" t="s">
        <v>23</v>
      </c>
    </row>
    <row r="613" ht="15.75" customHeight="1">
      <c r="E613" s="1" t="s">
        <v>2637</v>
      </c>
      <c r="L613" s="1">
        <v>3341405.4288194445</v>
      </c>
      <c r="M613" s="1">
        <v>2623655.5</v>
      </c>
      <c r="N613" s="1" t="s">
        <v>2638</v>
      </c>
      <c r="O613" s="1" t="s">
        <v>2639</v>
      </c>
      <c r="P613" s="1" t="s">
        <v>2640</v>
      </c>
      <c r="Y613" s="1" t="s">
        <v>23</v>
      </c>
      <c r="Z613" s="1" t="s">
        <v>2641</v>
      </c>
    </row>
    <row r="614" ht="15.75" customHeight="1">
      <c r="E614" s="1" t="s">
        <v>2642</v>
      </c>
      <c r="L614" s="1">
        <v>1464374.8196428572</v>
      </c>
      <c r="M614" s="1">
        <v>959937.9375</v>
      </c>
      <c r="N614" s="1" t="s">
        <v>2643</v>
      </c>
      <c r="O614" s="1" t="s">
        <v>2644</v>
      </c>
      <c r="P614" s="1" t="s">
        <v>2645</v>
      </c>
      <c r="Y614" s="1" t="s">
        <v>23</v>
      </c>
      <c r="Z614" s="1" t="s">
        <v>2646</v>
      </c>
    </row>
    <row r="615" ht="15.75" customHeight="1">
      <c r="E615" s="1" t="s">
        <v>2647</v>
      </c>
      <c r="L615" s="1">
        <v>4596460.975694444</v>
      </c>
      <c r="M615" s="1">
        <v>1483566.0</v>
      </c>
      <c r="N615" s="1" t="s">
        <v>2648</v>
      </c>
      <c r="O615" s="1" t="s">
        <v>2649</v>
      </c>
      <c r="P615" s="1" t="s">
        <v>2650</v>
      </c>
      <c r="Y615" s="1" t="s">
        <v>23</v>
      </c>
      <c r="Z615" s="1" t="s">
        <v>2651</v>
      </c>
    </row>
    <row r="616" ht="15.75" customHeight="1">
      <c r="E616" s="1" t="s">
        <v>2652</v>
      </c>
      <c r="L616" s="1">
        <v>7676993.142857143</v>
      </c>
      <c r="M616" s="1">
        <v>4399199.0</v>
      </c>
      <c r="N616" s="1" t="s">
        <v>2653</v>
      </c>
      <c r="O616" s="1" t="s">
        <v>2654</v>
      </c>
      <c r="P616" s="1" t="s">
        <v>2655</v>
      </c>
      <c r="Y616" s="1" t="s">
        <v>23</v>
      </c>
    </row>
    <row r="617" ht="15.75" customHeight="1">
      <c r="E617" s="1" t="s">
        <v>2656</v>
      </c>
      <c r="L617" s="1">
        <v>1.430233161597222E8</v>
      </c>
      <c r="M617" s="1">
        <v>5.038686E7</v>
      </c>
      <c r="N617" s="1" t="s">
        <v>2657</v>
      </c>
      <c r="O617" s="1" t="s">
        <v>2658</v>
      </c>
      <c r="P617" s="1" t="s">
        <v>2659</v>
      </c>
      <c r="Y617" s="1" t="s">
        <v>23</v>
      </c>
      <c r="Z617" s="1" t="s">
        <v>2660</v>
      </c>
    </row>
    <row r="618" ht="15.75" customHeight="1">
      <c r="E618" s="1" t="s">
        <v>2661</v>
      </c>
      <c r="L618" s="1">
        <v>2849908.7586805555</v>
      </c>
      <c r="M618" s="1">
        <v>1689471.0</v>
      </c>
      <c r="N618" s="1" t="s">
        <v>2032</v>
      </c>
      <c r="O618" s="1" t="s">
        <v>2662</v>
      </c>
      <c r="P618" s="1" t="s">
        <v>2663</v>
      </c>
      <c r="Y618" s="1" t="s">
        <v>23</v>
      </c>
      <c r="Z618" s="1" t="s">
        <v>2664</v>
      </c>
    </row>
    <row r="619" ht="15.75" customHeight="1">
      <c r="E619" s="1" t="s">
        <v>2665</v>
      </c>
      <c r="L619" s="1">
        <v>5168214.720588235</v>
      </c>
      <c r="M619" s="1">
        <v>763324.0</v>
      </c>
      <c r="N619" s="1" t="s">
        <v>2666</v>
      </c>
      <c r="O619" s="1" t="s">
        <v>2667</v>
      </c>
      <c r="P619" s="1" t="s">
        <v>2668</v>
      </c>
      <c r="Y619" s="1" t="s">
        <v>23</v>
      </c>
      <c r="Z619" s="1" t="s">
        <v>2669</v>
      </c>
    </row>
    <row r="620" ht="15.75" customHeight="1">
      <c r="E620" s="1" t="s">
        <v>2670</v>
      </c>
      <c r="L620" s="1">
        <v>1.3008336145833334E7</v>
      </c>
      <c r="M620" s="1">
        <v>3985277.0</v>
      </c>
      <c r="N620" s="1" t="s">
        <v>2671</v>
      </c>
      <c r="O620" s="1" t="s">
        <v>2672</v>
      </c>
      <c r="P620" s="1" t="s">
        <v>2673</v>
      </c>
      <c r="Y620" s="1" t="s">
        <v>23</v>
      </c>
    </row>
    <row r="621" ht="15.75" customHeight="1">
      <c r="E621" s="1" t="s">
        <v>2674</v>
      </c>
      <c r="L621" s="1">
        <v>1.848151984285714E7</v>
      </c>
      <c r="M621" s="1">
        <v>4391765.0</v>
      </c>
      <c r="N621" s="1" t="s">
        <v>901</v>
      </c>
      <c r="O621" s="1" t="s">
        <v>2675</v>
      </c>
      <c r="P621" s="1" t="s">
        <v>2676</v>
      </c>
      <c r="Y621" s="1" t="s">
        <v>23</v>
      </c>
    </row>
    <row r="622" ht="15.75" customHeight="1">
      <c r="E622" s="1" t="s">
        <v>2677</v>
      </c>
      <c r="L622" s="1">
        <v>728699.5520833334</v>
      </c>
      <c r="M622" s="1">
        <v>474010.5</v>
      </c>
      <c r="N622" s="1" t="s">
        <v>2678</v>
      </c>
      <c r="O622" s="1" t="s">
        <v>2679</v>
      </c>
      <c r="P622" s="1" t="s">
        <v>2680</v>
      </c>
      <c r="Y622" s="1" t="s">
        <v>23</v>
      </c>
      <c r="Z622" s="1" t="s">
        <v>2681</v>
      </c>
    </row>
    <row r="623" ht="15.75" customHeight="1">
      <c r="E623" s="1" t="s">
        <v>2682</v>
      </c>
      <c r="L623" s="1">
        <v>1243556.2713533333</v>
      </c>
      <c r="M623" s="1">
        <v>438691.0</v>
      </c>
      <c r="N623" s="1" t="s">
        <v>2683</v>
      </c>
      <c r="O623" s="1" t="s">
        <v>2684</v>
      </c>
      <c r="P623" s="1" t="s">
        <v>2685</v>
      </c>
      <c r="Y623" s="1" t="s">
        <v>23</v>
      </c>
      <c r="Z623" s="1" t="s">
        <v>2686</v>
      </c>
    </row>
    <row r="624" ht="15.75" customHeight="1">
      <c r="E624" s="1" t="s">
        <v>2687</v>
      </c>
      <c r="L624" s="1">
        <v>2664863.695537143</v>
      </c>
      <c r="M624" s="1">
        <v>1057815.0</v>
      </c>
      <c r="N624" s="1" t="s">
        <v>1159</v>
      </c>
      <c r="O624" s="1" t="s">
        <v>2688</v>
      </c>
      <c r="P624" s="1" t="s">
        <v>2689</v>
      </c>
      <c r="Y624" s="1" t="s">
        <v>23</v>
      </c>
      <c r="Z624" s="1" t="s">
        <v>2690</v>
      </c>
    </row>
    <row r="625" ht="15.75" customHeight="1">
      <c r="E625" s="1" t="s">
        <v>2691</v>
      </c>
      <c r="L625" s="1">
        <v>5146201.491319444</v>
      </c>
      <c r="M625" s="1">
        <v>3199400.0</v>
      </c>
      <c r="N625" s="1" t="s">
        <v>2120</v>
      </c>
      <c r="O625" s="1" t="s">
        <v>2692</v>
      </c>
      <c r="P625" s="1" t="s">
        <v>2693</v>
      </c>
      <c r="Y625" s="1" t="s">
        <v>23</v>
      </c>
      <c r="Z625" s="1" t="s">
        <v>2694</v>
      </c>
    </row>
    <row r="626" ht="15.75" customHeight="1">
      <c r="E626" s="1" t="s">
        <v>2695</v>
      </c>
      <c r="L626" s="1">
        <v>4269179.563933333</v>
      </c>
      <c r="M626" s="1">
        <v>775746.5</v>
      </c>
      <c r="N626" s="1" t="s">
        <v>2696</v>
      </c>
      <c r="O626" s="1" t="s">
        <v>2697</v>
      </c>
      <c r="P626" s="1" t="s">
        <v>2698</v>
      </c>
      <c r="Y626" s="1" t="s">
        <v>23</v>
      </c>
      <c r="Z626" s="1" t="s">
        <v>2699</v>
      </c>
    </row>
    <row r="627" ht="15.75" customHeight="1">
      <c r="E627" s="1" t="s">
        <v>2700</v>
      </c>
      <c r="L627" s="1">
        <v>1797555.4589874998</v>
      </c>
      <c r="M627" s="1">
        <v>293955.0</v>
      </c>
      <c r="Y627" s="1" t="s">
        <v>23</v>
      </c>
    </row>
    <row r="628" ht="15.75" customHeight="1">
      <c r="E628" s="1" t="s">
        <v>2701</v>
      </c>
      <c r="L628" s="1">
        <v>630881.2812514286</v>
      </c>
      <c r="M628" s="1">
        <v>523593.0</v>
      </c>
      <c r="Y628" s="1" t="s">
        <v>23</v>
      </c>
    </row>
    <row r="629" ht="15.75" customHeight="1">
      <c r="E629" s="1" t="s">
        <v>2702</v>
      </c>
      <c r="L629" s="1">
        <v>3496736.203125</v>
      </c>
      <c r="M629" s="1">
        <v>2344142.5</v>
      </c>
      <c r="N629" s="1" t="s">
        <v>2120</v>
      </c>
      <c r="O629" s="1" t="s">
        <v>2703</v>
      </c>
      <c r="P629" s="1" t="s">
        <v>2704</v>
      </c>
      <c r="Y629" s="1" t="s">
        <v>23</v>
      </c>
    </row>
    <row r="630" ht="15.75" customHeight="1">
      <c r="E630" s="1" t="s">
        <v>2705</v>
      </c>
      <c r="L630" s="1">
        <v>685408.1475457144</v>
      </c>
      <c r="M630" s="1">
        <v>470842.0313</v>
      </c>
      <c r="Y630" s="1" t="s">
        <v>23</v>
      </c>
    </row>
    <row r="631" ht="15.75" customHeight="1">
      <c r="E631" s="1" t="s">
        <v>2706</v>
      </c>
      <c r="L631" s="1">
        <v>292258.7719346154</v>
      </c>
      <c r="M631" s="1">
        <v>176901.5</v>
      </c>
      <c r="Y631" s="1" t="s">
        <v>23</v>
      </c>
    </row>
    <row r="632" ht="15.75" customHeight="1">
      <c r="E632" s="1" t="s">
        <v>2707</v>
      </c>
      <c r="L632" s="1">
        <v>6385279.013888889</v>
      </c>
      <c r="M632" s="1">
        <v>4574646.5</v>
      </c>
      <c r="N632" s="1" t="s">
        <v>2708</v>
      </c>
      <c r="O632" s="1" t="s">
        <v>2709</v>
      </c>
      <c r="P632" s="1" t="s">
        <v>2710</v>
      </c>
      <c r="Y632" s="1" t="s">
        <v>23</v>
      </c>
      <c r="Z632" s="1" t="s">
        <v>2711</v>
      </c>
    </row>
    <row r="633" ht="15.75" customHeight="1">
      <c r="E633" s="1" t="s">
        <v>2712</v>
      </c>
      <c r="L633" s="1">
        <v>1658564.723525</v>
      </c>
      <c r="M633" s="1">
        <v>1445625.0</v>
      </c>
      <c r="N633" s="1" t="s">
        <v>2713</v>
      </c>
      <c r="O633" s="1" t="s">
        <v>2714</v>
      </c>
      <c r="P633" s="1" t="s">
        <v>2715</v>
      </c>
      <c r="Y633" s="1" t="s">
        <v>23</v>
      </c>
      <c r="Z633" s="1" t="s">
        <v>2716</v>
      </c>
    </row>
    <row r="634" ht="15.75" customHeight="1">
      <c r="E634" s="1" t="s">
        <v>2717</v>
      </c>
      <c r="L634" s="1">
        <v>705722.4446638889</v>
      </c>
      <c r="M634" s="1">
        <v>660624.0</v>
      </c>
      <c r="N634" s="1" t="s">
        <v>2718</v>
      </c>
      <c r="O634" s="1" t="s">
        <v>2719</v>
      </c>
      <c r="P634" s="1" t="s">
        <v>2720</v>
      </c>
      <c r="Y634" s="1" t="s">
        <v>23</v>
      </c>
    </row>
    <row r="635" ht="15.75" customHeight="1">
      <c r="E635" s="1" t="s">
        <v>2721</v>
      </c>
      <c r="L635" s="1">
        <v>944681.5766454545</v>
      </c>
      <c r="M635" s="1">
        <v>367642.0</v>
      </c>
      <c r="N635" s="1" t="s">
        <v>2722</v>
      </c>
      <c r="O635" s="1" t="s">
        <v>2723</v>
      </c>
      <c r="P635" s="1" t="s">
        <v>2724</v>
      </c>
      <c r="Y635" s="1" t="s">
        <v>23</v>
      </c>
      <c r="Z635" s="1" t="s">
        <v>2725</v>
      </c>
    </row>
    <row r="636" ht="15.75" customHeight="1">
      <c r="E636" s="1" t="s">
        <v>2726</v>
      </c>
      <c r="L636" s="1">
        <v>507432.89638421056</v>
      </c>
      <c r="M636" s="1">
        <v>364575.0</v>
      </c>
      <c r="Y636" s="1" t="s">
        <v>23</v>
      </c>
    </row>
    <row r="637" ht="15.75" customHeight="1">
      <c r="E637" s="1" t="s">
        <v>2727</v>
      </c>
      <c r="L637" s="1">
        <v>1.054601481060606E7</v>
      </c>
      <c r="M637" s="1">
        <v>3337234.0</v>
      </c>
      <c r="N637" s="1" t="s">
        <v>2728</v>
      </c>
      <c r="O637" s="1" t="s">
        <v>2729</v>
      </c>
      <c r="P637" s="1" t="s">
        <v>2730</v>
      </c>
      <c r="Y637" s="1" t="s">
        <v>23</v>
      </c>
    </row>
    <row r="638" ht="15.75" customHeight="1">
      <c r="E638" s="1" t="s">
        <v>2731</v>
      </c>
      <c r="L638" s="1">
        <v>1702344.7743055555</v>
      </c>
      <c r="M638" s="1">
        <v>943323.5</v>
      </c>
      <c r="N638" s="1" t="s">
        <v>2732</v>
      </c>
      <c r="O638" s="1" t="s">
        <v>2733</v>
      </c>
      <c r="P638" s="1" t="s">
        <v>2734</v>
      </c>
      <c r="Y638" s="1" t="s">
        <v>23</v>
      </c>
      <c r="Z638" s="1" t="s">
        <v>2735</v>
      </c>
    </row>
    <row r="639" ht="15.75" customHeight="1">
      <c r="E639" s="1" t="s">
        <v>2736</v>
      </c>
      <c r="L639" s="1">
        <v>427293.80625</v>
      </c>
      <c r="M639" s="1">
        <v>370932.0</v>
      </c>
      <c r="Y639" s="1" t="s">
        <v>23</v>
      </c>
      <c r="Z639" s="1" t="s">
        <v>2737</v>
      </c>
    </row>
    <row r="640" ht="15.75" customHeight="1">
      <c r="E640" s="1" t="s">
        <v>2738</v>
      </c>
      <c r="L640" s="1">
        <v>2080333.197265625</v>
      </c>
      <c r="M640" s="1">
        <v>1920829.0</v>
      </c>
      <c r="N640" s="1" t="s">
        <v>2739</v>
      </c>
      <c r="O640" s="1" t="s">
        <v>2740</v>
      </c>
      <c r="P640" s="1" t="s">
        <v>2741</v>
      </c>
      <c r="Y640" s="1" t="s">
        <v>23</v>
      </c>
      <c r="Z640" s="1" t="s">
        <v>2742</v>
      </c>
    </row>
    <row r="641" ht="15.75" customHeight="1">
      <c r="E641" s="1" t="s">
        <v>2743</v>
      </c>
      <c r="L641" s="1">
        <v>1.2218852105555555E8</v>
      </c>
      <c r="M641" s="1">
        <v>1.19857124E8</v>
      </c>
      <c r="N641" s="1" t="s">
        <v>2744</v>
      </c>
      <c r="O641" s="1" t="s">
        <v>2745</v>
      </c>
      <c r="P641" s="1" t="s">
        <v>2746</v>
      </c>
      <c r="Y641" s="1" t="s">
        <v>23</v>
      </c>
      <c r="Z641" s="1" t="s">
        <v>2747</v>
      </c>
    </row>
    <row r="642" ht="15.75" customHeight="1">
      <c r="E642" s="1" t="s">
        <v>2748</v>
      </c>
      <c r="L642" s="1">
        <v>8486044.404411765</v>
      </c>
      <c r="M642" s="1">
        <v>6100891.75</v>
      </c>
      <c r="N642" s="1" t="s">
        <v>2749</v>
      </c>
      <c r="O642" s="1" t="s">
        <v>2750</v>
      </c>
      <c r="P642" s="1" t="s">
        <v>2751</v>
      </c>
      <c r="Y642" s="1" t="s">
        <v>23</v>
      </c>
      <c r="Z642" s="1" t="s">
        <v>2752</v>
      </c>
    </row>
    <row r="643" ht="15.75" customHeight="1">
      <c r="E643" s="1" t="s">
        <v>2753</v>
      </c>
      <c r="L643" s="1">
        <v>530636.92994</v>
      </c>
      <c r="M643" s="1">
        <v>362447.0</v>
      </c>
      <c r="Y643" s="1" t="s">
        <v>23</v>
      </c>
      <c r="Z643" s="1" t="s">
        <v>2754</v>
      </c>
    </row>
    <row r="644" ht="15.75" customHeight="1">
      <c r="E644" s="1" t="s">
        <v>2755</v>
      </c>
      <c r="L644" s="1">
        <v>2008874.2</v>
      </c>
      <c r="M644" s="1">
        <v>1104787.5</v>
      </c>
      <c r="Y644" s="1" t="s">
        <v>23</v>
      </c>
      <c r="Z644" s="1" t="s">
        <v>2756</v>
      </c>
    </row>
    <row r="645" ht="15.75" customHeight="1">
      <c r="E645" s="1" t="s">
        <v>2757</v>
      </c>
      <c r="L645" s="1">
        <v>827338.46875</v>
      </c>
      <c r="M645" s="1">
        <v>347843.0</v>
      </c>
      <c r="N645" s="1" t="s">
        <v>2758</v>
      </c>
      <c r="O645" s="1" t="s">
        <v>2759</v>
      </c>
      <c r="P645" s="1" t="s">
        <v>2760</v>
      </c>
      <c r="Y645" s="1" t="s">
        <v>23</v>
      </c>
    </row>
    <row r="646" ht="15.75" customHeight="1">
      <c r="E646" s="1" t="s">
        <v>2761</v>
      </c>
      <c r="L646" s="1">
        <v>1790207.9453115384</v>
      </c>
      <c r="M646" s="1">
        <v>752639.96875</v>
      </c>
      <c r="N646" s="1" t="s">
        <v>2762</v>
      </c>
      <c r="O646" s="1" t="s">
        <v>2763</v>
      </c>
      <c r="P646" s="1" t="s">
        <v>2764</v>
      </c>
      <c r="Y646" s="1" t="s">
        <v>23</v>
      </c>
    </row>
    <row r="647" ht="15.75" customHeight="1">
      <c r="E647" s="1" t="s">
        <v>2765</v>
      </c>
      <c r="L647" s="1">
        <v>3468376.029513889</v>
      </c>
      <c r="M647" s="1">
        <v>1962948.5</v>
      </c>
      <c r="Y647" s="1" t="s">
        <v>23</v>
      </c>
    </row>
    <row r="648" ht="15.75" customHeight="1">
      <c r="E648" s="1" t="s">
        <v>2766</v>
      </c>
      <c r="L648" s="1">
        <v>1924365.1985294118</v>
      </c>
      <c r="M648" s="1">
        <v>1827470.5</v>
      </c>
      <c r="N648" s="1" t="s">
        <v>1078</v>
      </c>
      <c r="O648" s="1" t="s">
        <v>2767</v>
      </c>
      <c r="P648" s="1" t="s">
        <v>2768</v>
      </c>
      <c r="Y648" s="1" t="s">
        <v>23</v>
      </c>
      <c r="Z648" s="1" t="s">
        <v>415</v>
      </c>
    </row>
    <row r="649" ht="15.75" customHeight="1">
      <c r="E649" s="1" t="s">
        <v>2769</v>
      </c>
      <c r="L649" s="1">
        <v>569422.6111111111</v>
      </c>
      <c r="M649" s="1">
        <v>280552.0</v>
      </c>
      <c r="N649" s="1" t="s">
        <v>1309</v>
      </c>
      <c r="O649" s="1" t="s">
        <v>2770</v>
      </c>
      <c r="P649" s="1" t="s">
        <v>2771</v>
      </c>
      <c r="Y649" s="1" t="s">
        <v>23</v>
      </c>
      <c r="Z649" s="1" t="s">
        <v>2772</v>
      </c>
    </row>
    <row r="650" ht="15.75" customHeight="1">
      <c r="E650" s="1" t="s">
        <v>2773</v>
      </c>
      <c r="L650" s="1">
        <v>1332309.1805555555</v>
      </c>
      <c r="M650" s="1">
        <v>818535.0</v>
      </c>
      <c r="N650" s="1" t="s">
        <v>1225</v>
      </c>
      <c r="O650" s="1" t="s">
        <v>2774</v>
      </c>
      <c r="P650" s="1" t="s">
        <v>2775</v>
      </c>
      <c r="Y650" s="1" t="s">
        <v>23</v>
      </c>
    </row>
    <row r="651" ht="15.75" customHeight="1">
      <c r="E651" s="1" t="s">
        <v>2776</v>
      </c>
      <c r="L651" s="1">
        <v>4607046.492424242</v>
      </c>
      <c r="M651" s="1">
        <v>2071029.0</v>
      </c>
      <c r="N651" s="1" t="s">
        <v>2777</v>
      </c>
      <c r="O651" s="1" t="s">
        <v>2778</v>
      </c>
      <c r="P651" s="1" t="s">
        <v>2779</v>
      </c>
      <c r="Y651" s="1" t="s">
        <v>23</v>
      </c>
    </row>
    <row r="652" ht="15.75" customHeight="1">
      <c r="E652" s="1" t="s">
        <v>2780</v>
      </c>
      <c r="L652" s="1">
        <v>727554.8210272727</v>
      </c>
      <c r="M652" s="1">
        <v>407819.0</v>
      </c>
      <c r="N652" s="1" t="s">
        <v>2781</v>
      </c>
      <c r="O652" s="1" t="s">
        <v>2782</v>
      </c>
      <c r="P652" s="1" t="s">
        <v>2783</v>
      </c>
      <c r="Y652" s="1" t="s">
        <v>23</v>
      </c>
    </row>
    <row r="653" ht="15.75" customHeight="1">
      <c r="E653" s="1" t="s">
        <v>2784</v>
      </c>
      <c r="L653" s="1">
        <v>1794315.3981838708</v>
      </c>
      <c r="M653" s="1">
        <v>492317.0</v>
      </c>
      <c r="N653" s="1" t="s">
        <v>2785</v>
      </c>
      <c r="O653" s="1" t="s">
        <v>2786</v>
      </c>
      <c r="P653" s="1" t="s">
        <v>2787</v>
      </c>
      <c r="Y653" s="1" t="s">
        <v>23</v>
      </c>
      <c r="Z653" s="1" t="s">
        <v>2788</v>
      </c>
    </row>
    <row r="654" ht="15.75" customHeight="1">
      <c r="E654" s="1" t="s">
        <v>2789</v>
      </c>
      <c r="L654" s="1">
        <v>329124.8341133334</v>
      </c>
      <c r="M654" s="1">
        <v>183517.0</v>
      </c>
      <c r="N654" s="1" t="s">
        <v>2790</v>
      </c>
      <c r="O654" s="1" t="s">
        <v>2791</v>
      </c>
      <c r="P654" s="1" t="s">
        <v>2792</v>
      </c>
      <c r="Y654" s="1" t="s">
        <v>23</v>
      </c>
    </row>
    <row r="655" ht="15.75" customHeight="1">
      <c r="E655" s="1" t="s">
        <v>2793</v>
      </c>
      <c r="L655" s="1">
        <v>3.5848673364583336E7</v>
      </c>
      <c r="M655" s="1">
        <v>1.17427755E7</v>
      </c>
      <c r="Y655" s="1" t="s">
        <v>23</v>
      </c>
      <c r="Z655" s="1" t="s">
        <v>2794</v>
      </c>
    </row>
    <row r="656" ht="15.75" customHeight="1">
      <c r="E656" s="1" t="s">
        <v>2795</v>
      </c>
      <c r="L656" s="1">
        <v>2087689.2784727274</v>
      </c>
      <c r="M656" s="1">
        <v>693331.0</v>
      </c>
      <c r="N656" s="1" t="s">
        <v>2796</v>
      </c>
      <c r="O656" s="1" t="s">
        <v>2797</v>
      </c>
      <c r="P656" s="1" t="s">
        <v>2798</v>
      </c>
      <c r="Y656" s="1" t="s">
        <v>23</v>
      </c>
    </row>
    <row r="657" ht="15.75" customHeight="1">
      <c r="E657" s="1" t="s">
        <v>2799</v>
      </c>
      <c r="L657" s="1">
        <v>7798272.192708333</v>
      </c>
      <c r="M657" s="1">
        <v>1996851.0</v>
      </c>
      <c r="Y657" s="1" t="s">
        <v>23</v>
      </c>
      <c r="Z657" s="1" t="s">
        <v>2800</v>
      </c>
    </row>
    <row r="658" ht="15.75" customHeight="1">
      <c r="E658" s="1" t="s">
        <v>2801</v>
      </c>
      <c r="L658" s="1">
        <v>4.575332910069445E7</v>
      </c>
      <c r="M658" s="1">
        <v>1.08233095E7</v>
      </c>
      <c r="N658" s="1" t="s">
        <v>1324</v>
      </c>
      <c r="O658" s="1" t="s">
        <v>2802</v>
      </c>
      <c r="P658" s="1" t="s">
        <v>2803</v>
      </c>
      <c r="Y658" s="1" t="s">
        <v>23</v>
      </c>
      <c r="Z658" s="1" t="s">
        <v>2804</v>
      </c>
    </row>
    <row r="659" ht="15.75" customHeight="1">
      <c r="E659" s="1" t="s">
        <v>2805</v>
      </c>
      <c r="L659" s="1">
        <v>1944842.8169642857</v>
      </c>
      <c r="M659" s="1">
        <v>1032956.5</v>
      </c>
      <c r="Y659" s="1" t="s">
        <v>23</v>
      </c>
    </row>
    <row r="660" ht="15.75" customHeight="1">
      <c r="E660" s="1" t="s">
        <v>2806</v>
      </c>
      <c r="L660" s="1">
        <v>853386.3337666667</v>
      </c>
      <c r="M660" s="1">
        <v>304768.5</v>
      </c>
      <c r="N660" s="1" t="s">
        <v>2807</v>
      </c>
      <c r="O660" s="1" t="s">
        <v>2808</v>
      </c>
      <c r="P660" s="1" t="s">
        <v>2809</v>
      </c>
      <c r="Y660" s="1" t="s">
        <v>23</v>
      </c>
      <c r="Z660" s="1" t="s">
        <v>2810</v>
      </c>
    </row>
    <row r="661" ht="15.75" customHeight="1">
      <c r="E661" s="1" t="s">
        <v>2811</v>
      </c>
      <c r="L661" s="1">
        <v>4327295.701388889</v>
      </c>
      <c r="M661" s="1">
        <v>2313417.125</v>
      </c>
      <c r="Y661" s="1" t="s">
        <v>23</v>
      </c>
    </row>
    <row r="662" ht="15.75" customHeight="1">
      <c r="E662" s="1" t="s">
        <v>2812</v>
      </c>
      <c r="L662" s="1">
        <v>1537339.3628057144</v>
      </c>
      <c r="M662" s="1">
        <v>822679.0</v>
      </c>
      <c r="N662" s="1" t="s">
        <v>2813</v>
      </c>
      <c r="O662" s="1" t="s">
        <v>2814</v>
      </c>
      <c r="P662" s="1" t="s">
        <v>2815</v>
      </c>
      <c r="Y662" s="1" t="s">
        <v>23</v>
      </c>
    </row>
    <row r="663" ht="15.75" customHeight="1">
      <c r="E663" s="1" t="s">
        <v>2816</v>
      </c>
      <c r="L663" s="1">
        <v>5473889.888888889</v>
      </c>
      <c r="M663" s="1">
        <v>1912949.5</v>
      </c>
      <c r="Y663" s="1" t="s">
        <v>23</v>
      </c>
    </row>
    <row r="664" ht="15.75" customHeight="1">
      <c r="E664" s="1" t="s">
        <v>2817</v>
      </c>
      <c r="L664" s="1">
        <v>1.5058594555555556E7</v>
      </c>
      <c r="M664" s="1">
        <v>9546646.0</v>
      </c>
      <c r="Y664" s="1" t="s">
        <v>23</v>
      </c>
      <c r="Z664" s="1" t="s">
        <v>2818</v>
      </c>
    </row>
    <row r="665" ht="15.75" customHeight="1">
      <c r="E665" s="1" t="s">
        <v>2819</v>
      </c>
      <c r="L665" s="1">
        <v>5.6859433041666664E7</v>
      </c>
      <c r="M665" s="1">
        <v>3.1009194E7</v>
      </c>
      <c r="Y665" s="1" t="s">
        <v>23</v>
      </c>
      <c r="Z665" s="1" t="s">
        <v>2820</v>
      </c>
    </row>
    <row r="666" ht="15.75" customHeight="1">
      <c r="E666" s="1" t="s">
        <v>2821</v>
      </c>
      <c r="L666" s="1">
        <v>1194072.9130434783</v>
      </c>
      <c r="M666" s="1">
        <v>524782.0</v>
      </c>
      <c r="N666" s="1" t="s">
        <v>2822</v>
      </c>
      <c r="O666" s="1" t="s">
        <v>2823</v>
      </c>
      <c r="P666" s="1" t="s">
        <v>2824</v>
      </c>
      <c r="Y666" s="1" t="s">
        <v>23</v>
      </c>
    </row>
    <row r="667" ht="15.75" customHeight="1">
      <c r="E667" s="1" t="s">
        <v>2825</v>
      </c>
      <c r="L667" s="1">
        <v>1048724.6206931034</v>
      </c>
      <c r="M667" s="1">
        <v>752236.0</v>
      </c>
      <c r="Y667" s="1" t="s">
        <v>23</v>
      </c>
    </row>
    <row r="668" ht="15.75" customHeight="1">
      <c r="E668" s="1" t="s">
        <v>2826</v>
      </c>
      <c r="L668" s="1">
        <v>1894692.407228125</v>
      </c>
      <c r="M668" s="1">
        <v>1430489.0</v>
      </c>
      <c r="N668" s="1" t="s">
        <v>2827</v>
      </c>
      <c r="O668" s="1" t="s">
        <v>2828</v>
      </c>
      <c r="P668" s="1" t="s">
        <v>2829</v>
      </c>
      <c r="Y668" s="1" t="s">
        <v>23</v>
      </c>
    </row>
    <row r="669" ht="15.75" customHeight="1">
      <c r="E669" s="1" t="s">
        <v>2830</v>
      </c>
      <c r="L669" s="1">
        <v>360742.6784321429</v>
      </c>
      <c r="M669" s="1">
        <v>243650.0</v>
      </c>
      <c r="N669" s="1" t="s">
        <v>2831</v>
      </c>
      <c r="O669" s="1" t="s">
        <v>2832</v>
      </c>
      <c r="P669" s="1" t="s">
        <v>2833</v>
      </c>
      <c r="Y669" s="1" t="s">
        <v>23</v>
      </c>
    </row>
    <row r="670" ht="15.75" customHeight="1">
      <c r="E670" s="1" t="s">
        <v>2834</v>
      </c>
      <c r="L670" s="1">
        <v>2157528.3602444446</v>
      </c>
      <c r="M670" s="1">
        <v>1214030.0</v>
      </c>
      <c r="Y670" s="1" t="s">
        <v>23</v>
      </c>
    </row>
    <row r="671" ht="15.75" customHeight="1">
      <c r="E671" s="1" t="s">
        <v>2835</v>
      </c>
      <c r="L671" s="1">
        <v>1.8014006416666668E7</v>
      </c>
      <c r="M671" s="1">
        <v>1.0874782E7</v>
      </c>
      <c r="Y671" s="1" t="s">
        <v>23</v>
      </c>
      <c r="Z671" s="1" t="s">
        <v>2669</v>
      </c>
    </row>
    <row r="672" ht="15.75" customHeight="1">
      <c r="E672" s="1" t="s">
        <v>2836</v>
      </c>
      <c r="L672" s="1">
        <v>745478.4204903225</v>
      </c>
      <c r="M672" s="1">
        <v>253862.0</v>
      </c>
      <c r="N672" s="1" t="s">
        <v>2837</v>
      </c>
      <c r="O672" s="1" t="s">
        <v>2838</v>
      </c>
      <c r="P672" s="1" t="s">
        <v>2839</v>
      </c>
      <c r="Y672" s="1" t="s">
        <v>23</v>
      </c>
    </row>
    <row r="673" ht="15.75" customHeight="1">
      <c r="E673" s="1" t="s">
        <v>2840</v>
      </c>
      <c r="L673" s="1">
        <v>4259631.798611111</v>
      </c>
      <c r="M673" s="1">
        <v>1322926.5</v>
      </c>
      <c r="Y673" s="1" t="s">
        <v>23</v>
      </c>
    </row>
    <row r="674" ht="15.75" customHeight="1">
      <c r="E674" s="1" t="s">
        <v>2841</v>
      </c>
      <c r="L674" s="1">
        <v>2.2763402158333334E8</v>
      </c>
      <c r="M674" s="1">
        <v>1.96217816E8</v>
      </c>
      <c r="Y674" s="1" t="s">
        <v>23</v>
      </c>
    </row>
    <row r="675" ht="15.75" customHeight="1">
      <c r="E675" s="1" t="s">
        <v>2842</v>
      </c>
      <c r="L675" s="1">
        <v>3.5022627727509096E7</v>
      </c>
      <c r="M675" s="1">
        <v>3000346.0</v>
      </c>
      <c r="Y675" s="1" t="s">
        <v>23</v>
      </c>
    </row>
    <row r="676" ht="15.75" customHeight="1">
      <c r="E676" s="1" t="s">
        <v>2843</v>
      </c>
      <c r="L676" s="1">
        <v>4602050.604166667</v>
      </c>
      <c r="M676" s="1">
        <v>2591759.5</v>
      </c>
      <c r="Y676" s="1" t="s">
        <v>23</v>
      </c>
      <c r="Z676" s="1" t="s">
        <v>2844</v>
      </c>
    </row>
    <row r="677" ht="15.75" customHeight="1">
      <c r="E677" s="1" t="s">
        <v>2845</v>
      </c>
      <c r="L677" s="1">
        <v>230295.40031200004</v>
      </c>
      <c r="M677" s="1">
        <v>187812.0</v>
      </c>
      <c r="Y677" s="1" t="s">
        <v>23</v>
      </c>
    </row>
    <row r="678" ht="15.75" customHeight="1">
      <c r="E678" s="1" t="s">
        <v>2846</v>
      </c>
      <c r="L678" s="1">
        <v>2162090.0357870967</v>
      </c>
      <c r="M678" s="1">
        <v>1822338.0</v>
      </c>
      <c r="Y678" s="1" t="s">
        <v>23</v>
      </c>
    </row>
    <row r="679" ht="15.75" customHeight="1">
      <c r="E679" s="1" t="s">
        <v>2847</v>
      </c>
      <c r="L679" s="1">
        <v>418359.36434545455</v>
      </c>
      <c r="M679" s="1">
        <v>213388.0</v>
      </c>
      <c r="Y679" s="1" t="s">
        <v>23</v>
      </c>
    </row>
    <row r="680" ht="15.75" customHeight="1">
      <c r="E680" s="1" t="s">
        <v>2848</v>
      </c>
      <c r="L680" s="1">
        <v>65362.625</v>
      </c>
      <c r="M680" s="1">
        <v>62919.5</v>
      </c>
      <c r="Y680" s="1" t="s">
        <v>23</v>
      </c>
      <c r="Z680" s="1" t="s">
        <v>2849</v>
      </c>
    </row>
    <row r="681" ht="15.75" customHeight="1">
      <c r="E681" s="1" t="s">
        <v>2850</v>
      </c>
      <c r="L681" s="1">
        <v>1.1584887197222222E8</v>
      </c>
      <c r="M681" s="1">
        <v>7.4511344E7</v>
      </c>
      <c r="N681" s="1" t="s">
        <v>2851</v>
      </c>
      <c r="O681" s="1" t="s">
        <v>2852</v>
      </c>
      <c r="P681" s="1" t="s">
        <v>2853</v>
      </c>
      <c r="Y681" s="1" t="s">
        <v>23</v>
      </c>
      <c r="Z681" s="1" t="s">
        <v>2854</v>
      </c>
    </row>
    <row r="682" ht="15.75" customHeight="1">
      <c r="E682" s="1" t="s">
        <v>2855</v>
      </c>
      <c r="L682" s="1">
        <v>6321536.819711538</v>
      </c>
      <c r="M682" s="1">
        <v>2036928.0</v>
      </c>
      <c r="N682" s="1" t="s">
        <v>1586</v>
      </c>
      <c r="O682" s="1" t="s">
        <v>2856</v>
      </c>
      <c r="P682" s="1" t="s">
        <v>2857</v>
      </c>
      <c r="Y682" s="1" t="s">
        <v>23</v>
      </c>
      <c r="Z682" s="1" t="s">
        <v>2858</v>
      </c>
    </row>
    <row r="683" ht="15.75" customHeight="1">
      <c r="E683" s="1" t="s">
        <v>2859</v>
      </c>
      <c r="L683" s="1">
        <v>3.593454279111111E9</v>
      </c>
      <c r="M683" s="1">
        <v>8.74187648E8</v>
      </c>
      <c r="Y683" s="1" t="s">
        <v>23</v>
      </c>
    </row>
    <row r="684" ht="15.75" customHeight="1">
      <c r="E684" s="1" t="s">
        <v>2860</v>
      </c>
      <c r="L684" s="1">
        <v>2.1559317826388888E7</v>
      </c>
      <c r="M684" s="1">
        <v>1.7177342E7</v>
      </c>
      <c r="N684" s="1" t="s">
        <v>2861</v>
      </c>
      <c r="O684" s="1" t="s">
        <v>2862</v>
      </c>
      <c r="P684" s="1" t="s">
        <v>2863</v>
      </c>
      <c r="Y684" s="1" t="s">
        <v>23</v>
      </c>
      <c r="Z684" s="1" t="s">
        <v>2864</v>
      </c>
    </row>
    <row r="685" ht="15.75" customHeight="1">
      <c r="E685" s="1" t="s">
        <v>2865</v>
      </c>
      <c r="L685" s="1">
        <v>375374.0</v>
      </c>
      <c r="M685" s="1">
        <v>153204.0</v>
      </c>
      <c r="Y685" s="1" t="s">
        <v>23</v>
      </c>
      <c r="Z685" s="1" t="s">
        <v>2866</v>
      </c>
    </row>
    <row r="686" ht="15.75" customHeight="1">
      <c r="E686" s="1" t="s">
        <v>2867</v>
      </c>
      <c r="L686" s="1">
        <v>1.1215732911057692E7</v>
      </c>
      <c r="M686" s="1">
        <v>2976541.5</v>
      </c>
      <c r="Y686" s="1" t="s">
        <v>23</v>
      </c>
      <c r="Z686" s="1" t="s">
        <v>2868</v>
      </c>
    </row>
    <row r="687" ht="15.75" customHeight="1">
      <c r="E687" s="1" t="s">
        <v>2869</v>
      </c>
      <c r="L687" s="1">
        <v>749639.3571428572</v>
      </c>
      <c r="M687" s="1">
        <v>221788.0</v>
      </c>
      <c r="N687" s="1" t="s">
        <v>2870</v>
      </c>
      <c r="O687" s="1" t="s">
        <v>2871</v>
      </c>
      <c r="P687" s="1" t="s">
        <v>2872</v>
      </c>
      <c r="Y687" s="1" t="s">
        <v>23</v>
      </c>
    </row>
    <row r="688" ht="15.75" customHeight="1">
      <c r="E688" s="1" t="s">
        <v>2873</v>
      </c>
      <c r="L688" s="1">
        <v>614645.2165142857</v>
      </c>
      <c r="M688" s="1">
        <v>428410.0</v>
      </c>
      <c r="Y688" s="1" t="s">
        <v>23</v>
      </c>
      <c r="Z688" s="1" t="s">
        <v>2874</v>
      </c>
    </row>
    <row r="689" ht="15.75" customHeight="1">
      <c r="E689" s="1" t="s">
        <v>2875</v>
      </c>
      <c r="L689" s="1">
        <v>1230918.92895625</v>
      </c>
      <c r="M689" s="1">
        <v>644671.0</v>
      </c>
      <c r="Y689" s="1" t="s">
        <v>23</v>
      </c>
      <c r="Z689" s="1" t="s">
        <v>2876</v>
      </c>
    </row>
    <row r="690" ht="15.75" customHeight="1">
      <c r="E690" s="1" t="s">
        <v>2877</v>
      </c>
      <c r="L690" s="1">
        <v>4212094.255208333</v>
      </c>
      <c r="M690" s="1">
        <v>2345355.0</v>
      </c>
      <c r="Y690" s="1" t="s">
        <v>23</v>
      </c>
      <c r="Z690" s="1" t="s">
        <v>2876</v>
      </c>
    </row>
    <row r="691" ht="15.75" customHeight="1">
      <c r="E691" s="1" t="s">
        <v>2878</v>
      </c>
      <c r="L691" s="1">
        <v>863565.8729071429</v>
      </c>
      <c r="M691" s="1">
        <v>477200.5</v>
      </c>
      <c r="Y691" s="1" t="s">
        <v>23</v>
      </c>
      <c r="Z691" s="1" t="s">
        <v>2879</v>
      </c>
    </row>
    <row r="692" ht="15.75" customHeight="1">
      <c r="E692" s="1" t="s">
        <v>2880</v>
      </c>
      <c r="L692" s="1">
        <v>1.720641575E7</v>
      </c>
      <c r="M692" s="1">
        <v>1.05626495E7</v>
      </c>
      <c r="N692" s="1" t="s">
        <v>2881</v>
      </c>
      <c r="O692" s="1" t="s">
        <v>2882</v>
      </c>
      <c r="P692" s="1" t="s">
        <v>2883</v>
      </c>
      <c r="Y692" s="1" t="s">
        <v>23</v>
      </c>
      <c r="Z692" s="1" t="s">
        <v>2884</v>
      </c>
    </row>
    <row r="693" ht="15.75" customHeight="1">
      <c r="E693" s="1" t="s">
        <v>2885</v>
      </c>
      <c r="L693" s="1">
        <v>4.082767782638889E7</v>
      </c>
      <c r="M693" s="1">
        <v>2.3878038E7</v>
      </c>
      <c r="N693" s="1" t="s">
        <v>2886</v>
      </c>
      <c r="O693" s="1" t="s">
        <v>2887</v>
      </c>
      <c r="P693" s="1" t="s">
        <v>2888</v>
      </c>
      <c r="Y693" s="1" t="s">
        <v>23</v>
      </c>
      <c r="Z693" s="1" t="s">
        <v>2889</v>
      </c>
    </row>
    <row r="694" ht="15.75" customHeight="1">
      <c r="E694" s="1" t="s">
        <v>2890</v>
      </c>
      <c r="L694" s="1">
        <v>1025871.0</v>
      </c>
      <c r="M694" s="1">
        <v>838758.5</v>
      </c>
      <c r="N694" s="1" t="s">
        <v>2891</v>
      </c>
      <c r="O694" s="1" t="s">
        <v>2892</v>
      </c>
      <c r="P694" s="1" t="s">
        <v>2893</v>
      </c>
      <c r="Y694" s="1" t="s">
        <v>23</v>
      </c>
      <c r="Z694" s="1" t="s">
        <v>2894</v>
      </c>
    </row>
    <row r="695" ht="15.75" customHeight="1">
      <c r="E695" s="1" t="s">
        <v>2895</v>
      </c>
      <c r="L695" s="1">
        <v>385644.04598636366</v>
      </c>
      <c r="M695" s="1">
        <v>183907.0</v>
      </c>
      <c r="N695" s="1" t="s">
        <v>2896</v>
      </c>
      <c r="O695" s="1" t="s">
        <v>2897</v>
      </c>
      <c r="P695" s="1" t="s">
        <v>2898</v>
      </c>
      <c r="Y695" s="1" t="s">
        <v>23</v>
      </c>
    </row>
    <row r="696" ht="15.75" customHeight="1">
      <c r="E696" s="1" t="s">
        <v>2899</v>
      </c>
      <c r="L696" s="1">
        <v>827687.9037290323</v>
      </c>
      <c r="M696" s="1">
        <v>548740.0</v>
      </c>
      <c r="N696" s="1" t="s">
        <v>2900</v>
      </c>
      <c r="Y696" s="1" t="s">
        <v>23</v>
      </c>
      <c r="Z696" s="1" t="s">
        <v>2901</v>
      </c>
    </row>
    <row r="697" ht="15.75" customHeight="1">
      <c r="E697" s="1" t="s">
        <v>2902</v>
      </c>
      <c r="L697" s="1">
        <v>3959568.998813043</v>
      </c>
      <c r="M697" s="1">
        <v>979372.0625</v>
      </c>
      <c r="Y697" s="1" t="s">
        <v>23</v>
      </c>
    </row>
    <row r="698" ht="15.75" customHeight="1">
      <c r="E698" s="1" t="s">
        <v>2903</v>
      </c>
      <c r="L698" s="1">
        <v>2.1389556951111112E9</v>
      </c>
      <c r="M698" s="1">
        <v>6.5187664E8</v>
      </c>
      <c r="Y698" s="1" t="s">
        <v>23</v>
      </c>
      <c r="Z698" s="1" t="s">
        <v>2904</v>
      </c>
    </row>
    <row r="699" ht="15.75" customHeight="1">
      <c r="E699" s="1" t="s">
        <v>2905</v>
      </c>
      <c r="L699" s="1">
        <v>6779738.587022222</v>
      </c>
      <c r="M699" s="1">
        <v>3259673.0</v>
      </c>
      <c r="Y699" s="1" t="s">
        <v>23</v>
      </c>
    </row>
    <row r="700" ht="15.75" customHeight="1">
      <c r="E700" s="1" t="s">
        <v>2906</v>
      </c>
      <c r="L700" s="1">
        <v>8.300476923333334E8</v>
      </c>
      <c r="M700" s="1">
        <v>3.35358496E8</v>
      </c>
      <c r="Y700" s="1" t="s">
        <v>23</v>
      </c>
      <c r="Z700" s="1" t="s">
        <v>2907</v>
      </c>
    </row>
    <row r="701" ht="15.75" customHeight="1">
      <c r="E701" s="1" t="s">
        <v>2908</v>
      </c>
      <c r="L701" s="1">
        <v>811039.3328636364</v>
      </c>
      <c r="M701" s="1">
        <v>507731.0</v>
      </c>
      <c r="N701" s="1" t="s">
        <v>2909</v>
      </c>
      <c r="O701" s="1" t="s">
        <v>2910</v>
      </c>
      <c r="P701" s="1" t="s">
        <v>2911</v>
      </c>
      <c r="Y701" s="1" t="s">
        <v>23</v>
      </c>
      <c r="Z701" s="1" t="s">
        <v>2912</v>
      </c>
    </row>
    <row r="702" ht="15.75" customHeight="1">
      <c r="E702" s="1" t="s">
        <v>2913</v>
      </c>
      <c r="L702" s="1">
        <v>3339090.219183333</v>
      </c>
      <c r="M702" s="1">
        <v>880518.0</v>
      </c>
      <c r="Y702" s="1" t="s">
        <v>23</v>
      </c>
    </row>
    <row r="703" ht="15.75" customHeight="1">
      <c r="E703" s="1" t="s">
        <v>2914</v>
      </c>
      <c r="L703" s="1">
        <v>667702.7020833333</v>
      </c>
      <c r="M703" s="1">
        <v>370282.0</v>
      </c>
      <c r="Y703" s="1" t="s">
        <v>23</v>
      </c>
      <c r="Z703" s="1" t="s">
        <v>2915</v>
      </c>
    </row>
    <row r="704" ht="15.75" customHeight="1">
      <c r="E704" s="1" t="s">
        <v>2916</v>
      </c>
      <c r="L704" s="1">
        <v>4691347.229166667</v>
      </c>
      <c r="M704" s="1">
        <v>1443210.9375</v>
      </c>
      <c r="N704" s="1" t="s">
        <v>2917</v>
      </c>
      <c r="O704" s="1" t="s">
        <v>2918</v>
      </c>
      <c r="P704" s="1" t="s">
        <v>2919</v>
      </c>
      <c r="Y704" s="1" t="s">
        <v>23</v>
      </c>
    </row>
    <row r="705" ht="15.75" customHeight="1">
      <c r="E705" s="1" t="s">
        <v>2920</v>
      </c>
      <c r="L705" s="1">
        <v>2.0136576361111112E7</v>
      </c>
      <c r="M705" s="1">
        <v>4215118.0</v>
      </c>
      <c r="N705" s="1" t="s">
        <v>2921</v>
      </c>
      <c r="O705" s="1" t="s">
        <v>2922</v>
      </c>
      <c r="P705" s="1" t="s">
        <v>2923</v>
      </c>
      <c r="Y705" s="1" t="s">
        <v>23</v>
      </c>
    </row>
    <row r="706" ht="15.75" customHeight="1">
      <c r="E706" s="1" t="s">
        <v>2924</v>
      </c>
      <c r="L706" s="1">
        <v>4862138.516132259</v>
      </c>
      <c r="M706" s="1">
        <v>977758.0625</v>
      </c>
      <c r="Y706" s="1" t="s">
        <v>23</v>
      </c>
      <c r="Z706" s="1" t="s">
        <v>2925</v>
      </c>
    </row>
    <row r="707" ht="15.75" customHeight="1">
      <c r="E707" s="1" t="s">
        <v>2926</v>
      </c>
      <c r="L707" s="1">
        <v>606699.346875</v>
      </c>
      <c r="M707" s="1">
        <v>252708.0</v>
      </c>
      <c r="N707" s="1" t="s">
        <v>2927</v>
      </c>
      <c r="O707" s="1" t="s">
        <v>2928</v>
      </c>
      <c r="P707" s="1" t="s">
        <v>2929</v>
      </c>
      <c r="Y707" s="1" t="s">
        <v>23</v>
      </c>
    </row>
    <row r="708" ht="15.75" customHeight="1">
      <c r="E708" s="1" t="s">
        <v>2930</v>
      </c>
      <c r="L708" s="1">
        <v>666022.3207263158</v>
      </c>
      <c r="M708" s="1">
        <v>321717.0</v>
      </c>
      <c r="Y708" s="1" t="s">
        <v>23</v>
      </c>
      <c r="Z708" s="1" t="s">
        <v>2931</v>
      </c>
    </row>
    <row r="709" ht="15.75" customHeight="1">
      <c r="E709" s="1" t="s">
        <v>2932</v>
      </c>
      <c r="L709" s="1">
        <v>1359318.9031257145</v>
      </c>
      <c r="M709" s="1">
        <v>697443.0</v>
      </c>
      <c r="Y709" s="1" t="s">
        <v>23</v>
      </c>
      <c r="Z709" s="1" t="s">
        <v>2931</v>
      </c>
    </row>
    <row r="710" ht="15.75" customHeight="1">
      <c r="E710" s="1" t="s">
        <v>2933</v>
      </c>
      <c r="L710" s="1">
        <v>453716.2601913044</v>
      </c>
      <c r="M710" s="1">
        <v>260242.0</v>
      </c>
      <c r="Y710" s="1" t="s">
        <v>23</v>
      </c>
      <c r="Z710" s="1" t="s">
        <v>2934</v>
      </c>
    </row>
    <row r="711" ht="15.75" customHeight="1">
      <c r="E711" s="1" t="s">
        <v>2935</v>
      </c>
      <c r="L711" s="1">
        <v>6.97702343888889E7</v>
      </c>
      <c r="M711" s="1">
        <v>4.9528608E7</v>
      </c>
      <c r="N711" s="1" t="s">
        <v>2936</v>
      </c>
      <c r="O711" s="1" t="s">
        <v>2937</v>
      </c>
      <c r="P711" s="1" t="s">
        <v>2938</v>
      </c>
      <c r="Y711" s="1" t="s">
        <v>23</v>
      </c>
      <c r="Z711" s="1" t="s">
        <v>306</v>
      </c>
    </row>
    <row r="712" ht="15.75" customHeight="1">
      <c r="E712" s="1" t="s">
        <v>2939</v>
      </c>
      <c r="L712" s="1">
        <v>640237.517362963</v>
      </c>
      <c r="M712" s="1">
        <v>346164.0</v>
      </c>
      <c r="N712" s="1" t="s">
        <v>2940</v>
      </c>
      <c r="O712" s="1" t="s">
        <v>2941</v>
      </c>
      <c r="P712" s="1" t="s">
        <v>2942</v>
      </c>
      <c r="Y712" s="1" t="s">
        <v>23</v>
      </c>
      <c r="Z712" s="1" t="s">
        <v>2943</v>
      </c>
    </row>
    <row r="713" ht="15.75" customHeight="1">
      <c r="E713" s="1" t="s">
        <v>2944</v>
      </c>
      <c r="L713" s="1">
        <v>3874964.472222222</v>
      </c>
      <c r="M713" s="1">
        <v>1854846.5</v>
      </c>
      <c r="N713" s="1" t="s">
        <v>2945</v>
      </c>
      <c r="O713" s="1" t="s">
        <v>2946</v>
      </c>
      <c r="P713" s="1" t="s">
        <v>2947</v>
      </c>
      <c r="Y713" s="1" t="s">
        <v>23</v>
      </c>
      <c r="Z713" s="1" t="s">
        <v>2948</v>
      </c>
    </row>
    <row r="714" ht="15.75" customHeight="1">
      <c r="E714" s="1" t="s">
        <v>2949</v>
      </c>
      <c r="L714" s="1">
        <v>7.997388402777778E7</v>
      </c>
      <c r="M714" s="1">
        <v>3.4203182E7</v>
      </c>
      <c r="Y714" s="1" t="s">
        <v>23</v>
      </c>
      <c r="Z714" s="1" t="s">
        <v>2950</v>
      </c>
    </row>
    <row r="715" ht="15.75" customHeight="1">
      <c r="E715" s="1" t="s">
        <v>2951</v>
      </c>
      <c r="L715" s="1">
        <v>419593.00097500003</v>
      </c>
      <c r="M715" s="1">
        <v>155399.4961</v>
      </c>
      <c r="Y715" s="1" t="s">
        <v>23</v>
      </c>
      <c r="Z715" s="1" t="s">
        <v>2952</v>
      </c>
    </row>
    <row r="716" ht="15.75" customHeight="1">
      <c r="E716" s="1" t="s">
        <v>2953</v>
      </c>
      <c r="L716" s="1">
        <v>1.8706724048611112E7</v>
      </c>
      <c r="M716" s="1">
        <v>8319670.0</v>
      </c>
      <c r="N716" s="1" t="s">
        <v>2954</v>
      </c>
      <c r="O716" s="1" t="s">
        <v>2955</v>
      </c>
      <c r="P716" s="1" t="s">
        <v>2956</v>
      </c>
      <c r="Y716" s="1" t="s">
        <v>23</v>
      </c>
      <c r="Z716" s="1" t="s">
        <v>2957</v>
      </c>
    </row>
    <row r="717" ht="15.75" customHeight="1">
      <c r="E717" s="1" t="s">
        <v>2958</v>
      </c>
      <c r="L717" s="1">
        <v>4374422.080903846</v>
      </c>
      <c r="M717" s="1">
        <v>332496.5</v>
      </c>
      <c r="N717" s="1" t="s">
        <v>2959</v>
      </c>
      <c r="O717" s="1" t="s">
        <v>2960</v>
      </c>
      <c r="P717" s="1" t="s">
        <v>2961</v>
      </c>
      <c r="Y717" s="1" t="s">
        <v>23</v>
      </c>
      <c r="Z717" s="1" t="s">
        <v>2962</v>
      </c>
    </row>
    <row r="718" ht="15.75" customHeight="1">
      <c r="E718" s="1" t="s">
        <v>2963</v>
      </c>
      <c r="L718" s="1">
        <v>1.2690311985714287E7</v>
      </c>
      <c r="M718" s="1">
        <v>9177188.0</v>
      </c>
      <c r="N718" s="1" t="s">
        <v>2964</v>
      </c>
      <c r="O718" s="1" t="s">
        <v>2965</v>
      </c>
      <c r="P718" s="1" t="s">
        <v>2966</v>
      </c>
      <c r="Y718" s="1" t="s">
        <v>23</v>
      </c>
      <c r="Z718" s="1" t="s">
        <v>2967</v>
      </c>
    </row>
    <row r="719" ht="15.75" customHeight="1">
      <c r="E719" s="1" t="s">
        <v>2968</v>
      </c>
      <c r="L719" s="1">
        <v>132435.749390625</v>
      </c>
      <c r="M719" s="1">
        <v>92244.5</v>
      </c>
      <c r="Y719" s="1" t="s">
        <v>23</v>
      </c>
    </row>
    <row r="720" ht="15.75" customHeight="1">
      <c r="E720" s="1" t="s">
        <v>2969</v>
      </c>
      <c r="L720" s="1">
        <v>87839.26061304349</v>
      </c>
      <c r="M720" s="1">
        <v>62594.9961</v>
      </c>
      <c r="N720" s="1" t="s">
        <v>2970</v>
      </c>
      <c r="O720" s="1" t="s">
        <v>2971</v>
      </c>
      <c r="P720" s="1" t="s">
        <v>2972</v>
      </c>
      <c r="Y720" s="1" t="s">
        <v>23</v>
      </c>
      <c r="Z720" s="1" t="s">
        <v>2973</v>
      </c>
    </row>
    <row r="721" ht="15.75" customHeight="1">
      <c r="E721" s="1" t="s">
        <v>2974</v>
      </c>
      <c r="L721" s="1">
        <v>3899805.802127586</v>
      </c>
      <c r="M721" s="1">
        <v>685927.0</v>
      </c>
      <c r="N721" s="1" t="s">
        <v>2718</v>
      </c>
      <c r="O721" s="1" t="s">
        <v>2975</v>
      </c>
      <c r="P721" s="1" t="s">
        <v>2976</v>
      </c>
      <c r="Y721" s="1" t="s">
        <v>23</v>
      </c>
      <c r="Z721" s="1" t="s">
        <v>2977</v>
      </c>
    </row>
    <row r="722" ht="15.75" customHeight="1">
      <c r="E722" s="1" t="s">
        <v>2978</v>
      </c>
      <c r="L722" s="1">
        <v>301301.60818928573</v>
      </c>
      <c r="M722" s="1">
        <v>93622.5</v>
      </c>
      <c r="N722" s="1" t="s">
        <v>2979</v>
      </c>
      <c r="O722" s="1" t="s">
        <v>2980</v>
      </c>
      <c r="P722" s="1" t="s">
        <v>2981</v>
      </c>
      <c r="Y722" s="1" t="s">
        <v>23</v>
      </c>
    </row>
    <row r="723" ht="15.75" customHeight="1">
      <c r="E723" s="1" t="s">
        <v>2982</v>
      </c>
      <c r="L723" s="1">
        <v>4.547853735555556E8</v>
      </c>
      <c r="M723" s="1">
        <v>3.5011736E8</v>
      </c>
      <c r="N723" s="1" t="s">
        <v>2983</v>
      </c>
      <c r="O723" s="1" t="s">
        <v>2984</v>
      </c>
      <c r="P723" s="1" t="s">
        <v>2985</v>
      </c>
      <c r="Y723" s="1" t="s">
        <v>23</v>
      </c>
      <c r="Z723" s="1" t="s">
        <v>439</v>
      </c>
    </row>
    <row r="724" ht="15.75" customHeight="1">
      <c r="E724" s="1" t="s">
        <v>2986</v>
      </c>
      <c r="L724" s="1">
        <v>1785381.611111111</v>
      </c>
      <c r="M724" s="1">
        <v>1143460.5</v>
      </c>
      <c r="N724" s="1" t="s">
        <v>2987</v>
      </c>
      <c r="O724" s="1" t="s">
        <v>2988</v>
      </c>
      <c r="P724" s="1" t="s">
        <v>2989</v>
      </c>
      <c r="Y724" s="1" t="s">
        <v>23</v>
      </c>
    </row>
    <row r="725" ht="15.75" customHeight="1">
      <c r="E725" s="1" t="s">
        <v>2990</v>
      </c>
      <c r="L725" s="1">
        <v>2304290.5590305557</v>
      </c>
      <c r="M725" s="1">
        <v>1494481.5</v>
      </c>
      <c r="N725" s="1" t="s">
        <v>2991</v>
      </c>
      <c r="O725" s="1" t="s">
        <v>2992</v>
      </c>
      <c r="P725" s="1" t="s">
        <v>2993</v>
      </c>
      <c r="Y725" s="1" t="s">
        <v>23</v>
      </c>
      <c r="Z725" s="1" t="s">
        <v>2994</v>
      </c>
    </row>
    <row r="726" ht="15.75" customHeight="1">
      <c r="E726" s="1" t="s">
        <v>2995</v>
      </c>
      <c r="L726" s="1">
        <v>7957790.332466667</v>
      </c>
      <c r="M726" s="1">
        <v>1842763.0</v>
      </c>
      <c r="Y726" s="1" t="s">
        <v>23</v>
      </c>
      <c r="Z726" s="1" t="s">
        <v>2996</v>
      </c>
    </row>
    <row r="727" ht="15.75" customHeight="1">
      <c r="E727" s="1" t="s">
        <v>2997</v>
      </c>
      <c r="L727" s="1">
        <v>636913.3867205883</v>
      </c>
      <c r="M727" s="1">
        <v>319875.0</v>
      </c>
      <c r="N727" s="1" t="s">
        <v>1108</v>
      </c>
      <c r="Y727" s="1" t="s">
        <v>23</v>
      </c>
      <c r="Z727" s="1" t="s">
        <v>2998</v>
      </c>
    </row>
    <row r="728" ht="15.75" customHeight="1">
      <c r="E728" s="1" t="s">
        <v>2999</v>
      </c>
      <c r="L728" s="1">
        <v>605570.4108470589</v>
      </c>
      <c r="M728" s="1">
        <v>236186.9844</v>
      </c>
      <c r="N728" s="1" t="s">
        <v>3000</v>
      </c>
      <c r="O728" s="1" t="s">
        <v>3001</v>
      </c>
      <c r="P728" s="1" t="s">
        <v>3002</v>
      </c>
      <c r="Y728" s="1" t="s">
        <v>23</v>
      </c>
    </row>
    <row r="729" ht="15.75" customHeight="1">
      <c r="E729" s="1" t="s">
        <v>3003</v>
      </c>
      <c r="L729" s="1">
        <v>3032227.119047619</v>
      </c>
      <c r="M729" s="1">
        <v>417190.0</v>
      </c>
      <c r="N729" s="1" t="s">
        <v>3004</v>
      </c>
      <c r="O729" s="1" t="s">
        <v>3005</v>
      </c>
      <c r="P729" s="1" t="s">
        <v>3006</v>
      </c>
      <c r="Y729" s="1" t="s">
        <v>23</v>
      </c>
    </row>
    <row r="730" ht="15.75" customHeight="1">
      <c r="E730" s="1" t="s">
        <v>3007</v>
      </c>
      <c r="L730" s="1">
        <v>2.0930226246527776E7</v>
      </c>
      <c r="M730" s="1">
        <v>1.1941766E7</v>
      </c>
      <c r="N730" s="1" t="s">
        <v>3008</v>
      </c>
      <c r="O730" s="1" t="s">
        <v>3009</v>
      </c>
      <c r="P730" s="1" t="s">
        <v>3010</v>
      </c>
      <c r="Y730" s="1" t="s">
        <v>23</v>
      </c>
      <c r="Z730" s="1" t="s">
        <v>3011</v>
      </c>
    </row>
    <row r="731" ht="15.75" customHeight="1">
      <c r="E731" s="1" t="s">
        <v>3012</v>
      </c>
      <c r="L731" s="1">
        <v>2858274.738052941</v>
      </c>
      <c r="M731" s="1">
        <v>585585.5</v>
      </c>
      <c r="N731" s="1" t="s">
        <v>3013</v>
      </c>
      <c r="O731" s="1" t="s">
        <v>3014</v>
      </c>
      <c r="P731" s="1" t="s">
        <v>3015</v>
      </c>
      <c r="Y731" s="1" t="s">
        <v>23</v>
      </c>
      <c r="Z731" s="1" t="s">
        <v>3016</v>
      </c>
    </row>
    <row r="732" ht="15.75" customHeight="1">
      <c r="E732" s="1" t="s">
        <v>3017</v>
      </c>
      <c r="L732" s="1">
        <v>1257714.7526055556</v>
      </c>
      <c r="M732" s="1">
        <v>972657.53125</v>
      </c>
      <c r="N732" s="1" t="s">
        <v>1553</v>
      </c>
      <c r="O732" s="1" t="s">
        <v>3018</v>
      </c>
      <c r="P732" s="1" t="s">
        <v>3019</v>
      </c>
      <c r="Y732" s="1" t="s">
        <v>23</v>
      </c>
      <c r="Z732" s="1" t="s">
        <v>3020</v>
      </c>
    </row>
    <row r="733" ht="15.75" customHeight="1">
      <c r="E733" s="1" t="s">
        <v>3021</v>
      </c>
      <c r="L733" s="1">
        <v>1.2176073260416666E7</v>
      </c>
      <c r="M733" s="1">
        <v>3246573.5</v>
      </c>
      <c r="N733" s="1" t="s">
        <v>3022</v>
      </c>
      <c r="O733" s="1" t="s">
        <v>3023</v>
      </c>
      <c r="P733" s="1" t="s">
        <v>3024</v>
      </c>
      <c r="Y733" s="1" t="s">
        <v>23</v>
      </c>
      <c r="Z733" s="1" t="s">
        <v>3025</v>
      </c>
    </row>
    <row r="734" ht="15.75" customHeight="1">
      <c r="E734" s="1" t="s">
        <v>3026</v>
      </c>
      <c r="L734" s="1">
        <v>808577.6294685715</v>
      </c>
      <c r="M734" s="1">
        <v>719777.0</v>
      </c>
      <c r="N734" s="1" t="s">
        <v>2744</v>
      </c>
      <c r="O734" s="1" t="s">
        <v>3027</v>
      </c>
      <c r="P734" s="1" t="s">
        <v>3028</v>
      </c>
      <c r="Y734" s="1" t="s">
        <v>23</v>
      </c>
      <c r="Z734" s="1" t="s">
        <v>3029</v>
      </c>
    </row>
    <row r="735" ht="15.75" customHeight="1">
      <c r="E735" s="1" t="s">
        <v>3030</v>
      </c>
      <c r="L735" s="1">
        <v>1060712.7508942857</v>
      </c>
      <c r="M735" s="1">
        <v>840786.0</v>
      </c>
      <c r="Y735" s="1" t="s">
        <v>23</v>
      </c>
      <c r="Z735" s="1" t="s">
        <v>3031</v>
      </c>
    </row>
    <row r="736" ht="15.75" customHeight="1">
      <c r="E736" s="1" t="s">
        <v>3032</v>
      </c>
      <c r="L736" s="1">
        <v>353914.55555555556</v>
      </c>
      <c r="M736" s="1">
        <v>242911.0156</v>
      </c>
      <c r="N736" s="1" t="s">
        <v>3033</v>
      </c>
      <c r="O736" s="1" t="s">
        <v>3034</v>
      </c>
      <c r="P736" s="1" t="s">
        <v>3035</v>
      </c>
      <c r="Y736" s="1" t="s">
        <v>23</v>
      </c>
    </row>
    <row r="737" ht="15.75" customHeight="1">
      <c r="E737" s="1" t="s">
        <v>3036</v>
      </c>
      <c r="L737" s="1">
        <v>2380817.8333333335</v>
      </c>
      <c r="M737" s="1">
        <v>2058896.0</v>
      </c>
      <c r="N737" s="1" t="s">
        <v>3037</v>
      </c>
      <c r="O737" s="1" t="s">
        <v>3038</v>
      </c>
      <c r="P737" s="1" t="s">
        <v>3039</v>
      </c>
      <c r="Y737" s="1" t="s">
        <v>23</v>
      </c>
    </row>
    <row r="738" ht="15.75" customHeight="1">
      <c r="E738" s="1" t="s">
        <v>3040</v>
      </c>
      <c r="L738" s="1">
        <v>5.4714911583333336E7</v>
      </c>
      <c r="M738" s="1">
        <v>4.0683874E7</v>
      </c>
      <c r="N738" s="1" t="s">
        <v>2777</v>
      </c>
      <c r="O738" s="1" t="s">
        <v>3041</v>
      </c>
      <c r="P738" s="1" t="s">
        <v>3042</v>
      </c>
      <c r="Y738" s="1" t="s">
        <v>23</v>
      </c>
      <c r="Z738" s="1" t="s">
        <v>3043</v>
      </c>
    </row>
    <row r="739" ht="15.75" customHeight="1">
      <c r="E739" s="1" t="s">
        <v>3044</v>
      </c>
      <c r="L739" s="1">
        <v>5173551.685714286</v>
      </c>
      <c r="M739" s="1">
        <v>2273664.0</v>
      </c>
      <c r="N739" s="1" t="s">
        <v>3045</v>
      </c>
      <c r="O739" s="1" t="s">
        <v>3046</v>
      </c>
      <c r="P739" s="1" t="s">
        <v>3047</v>
      </c>
      <c r="Y739" s="1" t="s">
        <v>23</v>
      </c>
      <c r="Z739" s="1" t="s">
        <v>3048</v>
      </c>
    </row>
    <row r="740" ht="15.75" customHeight="1">
      <c r="E740" s="1" t="s">
        <v>3049</v>
      </c>
      <c r="L740" s="1">
        <v>1462318.1692666665</v>
      </c>
      <c r="M740" s="1">
        <v>184020.50780000002</v>
      </c>
      <c r="Y740" s="1" t="s">
        <v>23</v>
      </c>
    </row>
    <row r="741" ht="15.75" customHeight="1">
      <c r="E741" s="1" t="s">
        <v>3050</v>
      </c>
      <c r="L741" s="1">
        <v>6992542.739224138</v>
      </c>
      <c r="M741" s="1">
        <v>3167057.0</v>
      </c>
      <c r="Y741" s="1" t="s">
        <v>23</v>
      </c>
    </row>
    <row r="742" ht="15.75" customHeight="1">
      <c r="E742" s="1" t="s">
        <v>3051</v>
      </c>
      <c r="L742" s="1">
        <v>189682.19268076925</v>
      </c>
      <c r="M742" s="1">
        <v>104429.00390000001</v>
      </c>
      <c r="Y742" s="1" t="s">
        <v>23</v>
      </c>
    </row>
    <row r="743" ht="15.75" customHeight="1">
      <c r="E743" s="1" t="s">
        <v>3052</v>
      </c>
      <c r="L743" s="1">
        <v>4094270.5120967743</v>
      </c>
      <c r="M743" s="1">
        <v>1658656.0</v>
      </c>
      <c r="N743" s="1" t="s">
        <v>3053</v>
      </c>
      <c r="O743" s="1" t="s">
        <v>3054</v>
      </c>
      <c r="P743" s="1" t="s">
        <v>3055</v>
      </c>
      <c r="Y743" s="1" t="s">
        <v>23</v>
      </c>
      <c r="Z743" s="1" t="s">
        <v>3056</v>
      </c>
    </row>
    <row r="744" ht="15.75" customHeight="1">
      <c r="E744" s="1" t="s">
        <v>3057</v>
      </c>
      <c r="L744" s="1">
        <v>4.066765453333333E8</v>
      </c>
      <c r="M744" s="1">
        <v>3.49242432E8</v>
      </c>
      <c r="N744" s="1" t="s">
        <v>3058</v>
      </c>
      <c r="O744" s="1" t="s">
        <v>3059</v>
      </c>
      <c r="P744" s="1" t="s">
        <v>3060</v>
      </c>
      <c r="Y744" s="1" t="s">
        <v>23</v>
      </c>
      <c r="Z744" s="1" t="s">
        <v>427</v>
      </c>
    </row>
    <row r="745" ht="15.75" customHeight="1">
      <c r="E745" s="1" t="s">
        <v>3061</v>
      </c>
      <c r="L745" s="1">
        <v>912064.8119222223</v>
      </c>
      <c r="M745" s="1">
        <v>852373.0</v>
      </c>
      <c r="N745" s="1" t="s">
        <v>3062</v>
      </c>
      <c r="O745" s="1" t="s">
        <v>3063</v>
      </c>
      <c r="P745" s="1" t="s">
        <v>3064</v>
      </c>
      <c r="Y745" s="1" t="s">
        <v>23</v>
      </c>
      <c r="Z745" s="1" t="s">
        <v>3065</v>
      </c>
    </row>
    <row r="746" ht="15.75" customHeight="1">
      <c r="E746" s="1" t="s">
        <v>3066</v>
      </c>
      <c r="L746" s="1">
        <v>3902957.7714285715</v>
      </c>
      <c r="M746" s="1">
        <v>1482855.0</v>
      </c>
      <c r="Y746" s="1" t="s">
        <v>23</v>
      </c>
    </row>
    <row r="747" ht="15.75" customHeight="1">
      <c r="E747" s="1" t="s">
        <v>3067</v>
      </c>
      <c r="L747" s="1">
        <v>459392.82282500004</v>
      </c>
      <c r="M747" s="1">
        <v>276889.0</v>
      </c>
      <c r="N747" s="1" t="s">
        <v>2212</v>
      </c>
      <c r="O747" s="1" t="s">
        <v>3068</v>
      </c>
      <c r="P747" s="1" t="s">
        <v>3069</v>
      </c>
      <c r="Y747" s="1" t="s">
        <v>23</v>
      </c>
      <c r="Z747" s="1" t="s">
        <v>3070</v>
      </c>
    </row>
    <row r="748" ht="15.75" customHeight="1">
      <c r="E748" s="1" t="s">
        <v>3071</v>
      </c>
      <c r="L748" s="1">
        <v>309192.99981818185</v>
      </c>
      <c r="M748" s="1">
        <v>131293.0</v>
      </c>
      <c r="N748" s="1" t="s">
        <v>3072</v>
      </c>
      <c r="O748" s="1" t="s">
        <v>3073</v>
      </c>
      <c r="P748" s="1" t="s">
        <v>3074</v>
      </c>
      <c r="Y748" s="1" t="s">
        <v>23</v>
      </c>
      <c r="Z748" s="1" t="s">
        <v>3075</v>
      </c>
    </row>
    <row r="749" ht="15.75" customHeight="1">
      <c r="E749" s="1" t="s">
        <v>3076</v>
      </c>
      <c r="L749" s="1">
        <v>1746127.4641916668</v>
      </c>
      <c r="M749" s="1">
        <v>255713.50780000002</v>
      </c>
      <c r="N749" s="1" t="s">
        <v>3077</v>
      </c>
      <c r="O749" s="1" t="s">
        <v>3078</v>
      </c>
      <c r="P749" s="1" t="s">
        <v>3079</v>
      </c>
      <c r="Y749" s="1" t="s">
        <v>23</v>
      </c>
      <c r="Z749" s="1" t="s">
        <v>3080</v>
      </c>
    </row>
    <row r="750" ht="15.75" customHeight="1">
      <c r="E750" s="1" t="s">
        <v>3081</v>
      </c>
      <c r="L750" s="1">
        <v>1596898.3854194444</v>
      </c>
      <c r="M750" s="1">
        <v>1456072.5625</v>
      </c>
      <c r="N750" s="1" t="s">
        <v>3082</v>
      </c>
      <c r="O750" s="1" t="s">
        <v>3083</v>
      </c>
      <c r="P750" s="1" t="s">
        <v>3084</v>
      </c>
      <c r="Y750" s="1" t="s">
        <v>23</v>
      </c>
      <c r="Z750" s="1" t="s">
        <v>3085</v>
      </c>
    </row>
    <row r="751" ht="15.75" customHeight="1">
      <c r="E751" s="1" t="s">
        <v>3086</v>
      </c>
      <c r="L751" s="1">
        <v>120380.02832352942</v>
      </c>
      <c r="M751" s="1">
        <v>94653.0</v>
      </c>
      <c r="N751" s="1" t="s">
        <v>3087</v>
      </c>
      <c r="Y751" s="1" t="s">
        <v>23</v>
      </c>
      <c r="Z751" s="1" t="s">
        <v>3088</v>
      </c>
    </row>
    <row r="752" ht="15.75" customHeight="1">
      <c r="E752" s="1" t="s">
        <v>3089</v>
      </c>
      <c r="L752" s="1">
        <v>9.143329302941176E7</v>
      </c>
      <c r="M752" s="1">
        <v>3.2752871E7</v>
      </c>
      <c r="N752" s="1" t="s">
        <v>3090</v>
      </c>
      <c r="O752" s="1" t="s">
        <v>3091</v>
      </c>
      <c r="P752" s="1" t="s">
        <v>3092</v>
      </c>
      <c r="Y752" s="1" t="s">
        <v>23</v>
      </c>
      <c r="Z752" s="1" t="s">
        <v>470</v>
      </c>
    </row>
    <row r="753" ht="15.75" customHeight="1">
      <c r="E753" s="1" t="s">
        <v>3093</v>
      </c>
      <c r="L753" s="1">
        <v>3047220.5964285713</v>
      </c>
      <c r="M753" s="1">
        <v>2647734.0</v>
      </c>
      <c r="N753" s="1" t="s">
        <v>3094</v>
      </c>
      <c r="O753" s="1" t="s">
        <v>3095</v>
      </c>
      <c r="P753" s="1" t="s">
        <v>3096</v>
      </c>
      <c r="Y753" s="1" t="s">
        <v>23</v>
      </c>
      <c r="Z753" s="1" t="s">
        <v>3097</v>
      </c>
    </row>
    <row r="754" ht="15.75" customHeight="1">
      <c r="E754" s="1" t="s">
        <v>3098</v>
      </c>
      <c r="L754" s="1">
        <v>9179753.714285715</v>
      </c>
      <c r="M754" s="1">
        <v>1.0012406E7</v>
      </c>
      <c r="N754" s="1" t="s">
        <v>3099</v>
      </c>
      <c r="O754" s="1" t="s">
        <v>3100</v>
      </c>
      <c r="P754" s="1" t="s">
        <v>3101</v>
      </c>
      <c r="Y754" s="1" t="s">
        <v>23</v>
      </c>
      <c r="Z754" s="1" t="s">
        <v>3102</v>
      </c>
    </row>
    <row r="755" ht="15.75" customHeight="1">
      <c r="E755" s="1" t="s">
        <v>3103</v>
      </c>
      <c r="L755" s="1">
        <v>2.3371657305555556E7</v>
      </c>
      <c r="M755" s="1">
        <v>2.4642657E7</v>
      </c>
      <c r="N755" s="1" t="s">
        <v>3104</v>
      </c>
      <c r="Y755" s="1" t="s">
        <v>23</v>
      </c>
      <c r="Z755" s="1" t="s">
        <v>3105</v>
      </c>
    </row>
    <row r="756" ht="15.75" customHeight="1">
      <c r="E756" s="1" t="s">
        <v>3106</v>
      </c>
      <c r="L756" s="1">
        <v>2703387.8948863638</v>
      </c>
      <c r="M756" s="1">
        <v>1717625.0</v>
      </c>
      <c r="Y756" s="1" t="s">
        <v>23</v>
      </c>
      <c r="Z756" s="1" t="s">
        <v>3107</v>
      </c>
    </row>
    <row r="757" ht="15.75" customHeight="1">
      <c r="E757" s="1" t="s">
        <v>3108</v>
      </c>
      <c r="L757" s="1">
        <v>5292599.388888889</v>
      </c>
      <c r="M757" s="1">
        <v>1560047.5</v>
      </c>
      <c r="N757" s="1" t="s">
        <v>1304</v>
      </c>
      <c r="O757" s="1" t="s">
        <v>3109</v>
      </c>
      <c r="P757" s="1" t="s">
        <v>3110</v>
      </c>
      <c r="Y757" s="1" t="s">
        <v>23</v>
      </c>
    </row>
    <row r="758" ht="15.75" customHeight="1">
      <c r="E758" s="1" t="s">
        <v>3111</v>
      </c>
      <c r="L758" s="1">
        <v>1216236.4607142857</v>
      </c>
      <c r="M758" s="1">
        <v>1205410.0</v>
      </c>
      <c r="N758" s="1" t="s">
        <v>3112</v>
      </c>
      <c r="O758" s="1" t="s">
        <v>3113</v>
      </c>
      <c r="P758" s="1" t="s">
        <v>3114</v>
      </c>
      <c r="Y758" s="1" t="s">
        <v>23</v>
      </c>
      <c r="Z758" s="1" t="s">
        <v>3115</v>
      </c>
    </row>
    <row r="759" ht="15.75" customHeight="1">
      <c r="E759" s="1" t="s">
        <v>3116</v>
      </c>
      <c r="L759" s="1">
        <v>1.1257247711805556E7</v>
      </c>
      <c r="M759" s="1">
        <v>7486591.5</v>
      </c>
      <c r="N759" s="1" t="s">
        <v>3117</v>
      </c>
      <c r="O759" s="1" t="s">
        <v>3118</v>
      </c>
      <c r="P759" s="1" t="s">
        <v>3119</v>
      </c>
      <c r="Y759" s="1" t="s">
        <v>23</v>
      </c>
      <c r="Z759" s="1" t="s">
        <v>3120</v>
      </c>
    </row>
    <row r="760" ht="15.75" customHeight="1">
      <c r="E760" s="1" t="s">
        <v>3121</v>
      </c>
      <c r="L760" s="1">
        <v>2.48659155E7</v>
      </c>
      <c r="M760" s="1">
        <v>2.48659155E7</v>
      </c>
      <c r="Y760" s="1" t="s">
        <v>23</v>
      </c>
      <c r="Z760" s="1" t="s">
        <v>3122</v>
      </c>
    </row>
    <row r="761" ht="15.75" customHeight="1">
      <c r="E761" s="1" t="s">
        <v>3123</v>
      </c>
      <c r="L761" s="1">
        <v>4421029.671874286</v>
      </c>
      <c r="M761" s="1">
        <v>1325274.0</v>
      </c>
      <c r="N761" s="1" t="s">
        <v>3124</v>
      </c>
      <c r="O761" s="1" t="s">
        <v>3125</v>
      </c>
      <c r="P761" s="1" t="s">
        <v>3126</v>
      </c>
      <c r="Y761" s="1" t="s">
        <v>23</v>
      </c>
      <c r="Z761" s="1" t="s">
        <v>3127</v>
      </c>
    </row>
    <row r="762" ht="15.75" customHeight="1">
      <c r="E762" s="1" t="s">
        <v>3128</v>
      </c>
      <c r="L762" s="1">
        <v>168690.51616551724</v>
      </c>
      <c r="M762" s="1">
        <v>101489.0</v>
      </c>
      <c r="N762" s="1" t="s">
        <v>3129</v>
      </c>
      <c r="O762" s="1" t="s">
        <v>3130</v>
      </c>
      <c r="P762" s="1" t="s">
        <v>3131</v>
      </c>
      <c r="Y762" s="1" t="s">
        <v>23</v>
      </c>
      <c r="Z762" s="1" t="s">
        <v>3132</v>
      </c>
    </row>
    <row r="763" ht="15.75" customHeight="1">
      <c r="E763" s="1" t="s">
        <v>3133</v>
      </c>
      <c r="L763" s="1">
        <v>2245914.635111765</v>
      </c>
      <c r="M763" s="1">
        <v>688256.5</v>
      </c>
      <c r="Y763" s="1" t="s">
        <v>23</v>
      </c>
      <c r="Z763" s="1" t="s">
        <v>3134</v>
      </c>
    </row>
    <row r="764" ht="15.75" customHeight="1">
      <c r="E764" s="1" t="s">
        <v>3135</v>
      </c>
      <c r="L764" s="1">
        <v>3959579.5625</v>
      </c>
      <c r="M764" s="1">
        <v>1173270.0</v>
      </c>
      <c r="N764" s="1" t="s">
        <v>3136</v>
      </c>
      <c r="O764" s="1" t="s">
        <v>3137</v>
      </c>
      <c r="P764" s="1" t="s">
        <v>3138</v>
      </c>
      <c r="Y764" s="1" t="s">
        <v>23</v>
      </c>
    </row>
    <row r="765" ht="15.75" customHeight="1">
      <c r="E765" s="1" t="s">
        <v>3139</v>
      </c>
      <c r="L765" s="1">
        <v>3802698.3068583333</v>
      </c>
      <c r="M765" s="1">
        <v>1532686.5</v>
      </c>
      <c r="N765" s="1" t="s">
        <v>3140</v>
      </c>
      <c r="O765" s="1" t="s">
        <v>3141</v>
      </c>
      <c r="P765" s="1" t="s">
        <v>3142</v>
      </c>
      <c r="Y765" s="1" t="s">
        <v>23</v>
      </c>
      <c r="Z765" s="1" t="s">
        <v>3143</v>
      </c>
    </row>
    <row r="766" ht="15.75" customHeight="1">
      <c r="E766" s="1" t="s">
        <v>3144</v>
      </c>
      <c r="L766" s="1">
        <v>3310266.0554000004</v>
      </c>
      <c r="M766" s="1">
        <v>968451.53125</v>
      </c>
      <c r="N766" s="1" t="s">
        <v>1510</v>
      </c>
      <c r="Y766" s="1" t="s">
        <v>23</v>
      </c>
      <c r="Z766" s="1" t="s">
        <v>3145</v>
      </c>
    </row>
    <row r="767" ht="15.75" customHeight="1">
      <c r="E767" s="1" t="s">
        <v>3146</v>
      </c>
      <c r="L767" s="1">
        <v>2.3711744416666668E7</v>
      </c>
      <c r="M767" s="1">
        <v>1.801688E7</v>
      </c>
      <c r="N767" s="1" t="s">
        <v>1507</v>
      </c>
      <c r="Y767" s="1" t="s">
        <v>23</v>
      </c>
      <c r="Z767" s="1" t="s">
        <v>3147</v>
      </c>
    </row>
    <row r="768" ht="15.75" customHeight="1">
      <c r="E768" s="1" t="s">
        <v>3148</v>
      </c>
      <c r="L768" s="1">
        <v>7542592.21875</v>
      </c>
      <c r="M768" s="1">
        <v>3684816.625</v>
      </c>
      <c r="Y768" s="1" t="s">
        <v>23</v>
      </c>
    </row>
    <row r="769" ht="15.75" customHeight="1">
      <c r="E769" s="1" t="s">
        <v>3149</v>
      </c>
      <c r="L769" s="1">
        <v>1439875.09375</v>
      </c>
      <c r="M769" s="1">
        <v>895198.0</v>
      </c>
      <c r="N769" s="1" t="s">
        <v>1507</v>
      </c>
      <c r="O769" s="1" t="s">
        <v>3150</v>
      </c>
      <c r="P769" s="1" t="s">
        <v>3151</v>
      </c>
      <c r="Y769" s="1" t="s">
        <v>23</v>
      </c>
    </row>
    <row r="770" ht="15.75" customHeight="1">
      <c r="E770" s="1" t="s">
        <v>3152</v>
      </c>
      <c r="L770" s="1">
        <v>783889.5692</v>
      </c>
      <c r="M770" s="1">
        <v>421333.0</v>
      </c>
      <c r="Y770" s="1" t="s">
        <v>23</v>
      </c>
    </row>
    <row r="771" ht="15.75" customHeight="1">
      <c r="E771" s="1" t="s">
        <v>3153</v>
      </c>
      <c r="L771" s="1">
        <v>2552045.5</v>
      </c>
      <c r="M771" s="1">
        <v>2552045.5</v>
      </c>
      <c r="N771" s="1" t="s">
        <v>3154</v>
      </c>
      <c r="O771" s="1" t="s">
        <v>3155</v>
      </c>
      <c r="P771" s="1" t="s">
        <v>3156</v>
      </c>
      <c r="Y771" s="1" t="s">
        <v>23</v>
      </c>
      <c r="Z771" s="1" t="s">
        <v>3157</v>
      </c>
    </row>
    <row r="772" ht="15.75" customHeight="1">
      <c r="E772" s="1" t="s">
        <v>3158</v>
      </c>
      <c r="L772" s="1">
        <v>632044.0900764706</v>
      </c>
      <c r="M772" s="1">
        <v>292377.0</v>
      </c>
      <c r="N772" s="1" t="s">
        <v>3159</v>
      </c>
      <c r="O772" s="1" t="s">
        <v>3160</v>
      </c>
      <c r="P772" s="1" t="s">
        <v>3161</v>
      </c>
      <c r="Y772" s="1" t="s">
        <v>23</v>
      </c>
      <c r="Z772" s="1" t="s">
        <v>3162</v>
      </c>
    </row>
    <row r="773" ht="15.75" customHeight="1">
      <c r="E773" s="1" t="s">
        <v>3163</v>
      </c>
      <c r="L773" s="1">
        <v>7797596.173714706</v>
      </c>
      <c r="M773" s="1">
        <v>6010862.0</v>
      </c>
      <c r="N773" s="1" t="s">
        <v>1240</v>
      </c>
      <c r="O773" s="1" t="s">
        <v>3164</v>
      </c>
      <c r="P773" s="1" t="s">
        <v>3165</v>
      </c>
      <c r="Y773" s="1" t="s">
        <v>23</v>
      </c>
      <c r="Z773" s="1" t="s">
        <v>3166</v>
      </c>
    </row>
    <row r="774" ht="15.75" customHeight="1">
      <c r="E774" s="1" t="s">
        <v>3167</v>
      </c>
      <c r="L774" s="1">
        <v>3112283.8447580645</v>
      </c>
      <c r="M774" s="1">
        <v>1912620.0</v>
      </c>
      <c r="N774" s="1" t="s">
        <v>1429</v>
      </c>
      <c r="O774" s="1" t="s">
        <v>3168</v>
      </c>
      <c r="P774" s="1" t="s">
        <v>3169</v>
      </c>
      <c r="Y774" s="1" t="s">
        <v>23</v>
      </c>
      <c r="Z774" s="1" t="s">
        <v>3170</v>
      </c>
    </row>
    <row r="775" ht="15.75" customHeight="1">
      <c r="E775" s="1" t="s">
        <v>3171</v>
      </c>
      <c r="L775" s="1">
        <v>352647.6148</v>
      </c>
      <c r="M775" s="1">
        <v>152059.5</v>
      </c>
      <c r="N775" s="1" t="s">
        <v>3172</v>
      </c>
      <c r="O775" s="1" t="s">
        <v>3173</v>
      </c>
      <c r="P775" s="1" t="s">
        <v>3174</v>
      </c>
      <c r="Y775" s="1" t="s">
        <v>23</v>
      </c>
      <c r="Z775" s="1" t="s">
        <v>3175</v>
      </c>
    </row>
    <row r="776" ht="15.75" customHeight="1">
      <c r="E776" s="1" t="s">
        <v>3176</v>
      </c>
      <c r="L776" s="1">
        <v>867832.8637194445</v>
      </c>
      <c r="M776" s="1">
        <v>592698.0</v>
      </c>
      <c r="Y776" s="1" t="s">
        <v>23</v>
      </c>
      <c r="Z776" s="1" t="s">
        <v>3177</v>
      </c>
    </row>
    <row r="777" ht="15.75" customHeight="1">
      <c r="E777" s="1" t="s">
        <v>3178</v>
      </c>
      <c r="L777" s="1">
        <v>345644.1331521739</v>
      </c>
      <c r="M777" s="1">
        <v>149523.0</v>
      </c>
      <c r="N777" s="1" t="s">
        <v>3179</v>
      </c>
      <c r="O777" s="1" t="s">
        <v>3180</v>
      </c>
      <c r="P777" s="1" t="s">
        <v>3181</v>
      </c>
      <c r="Y777" s="1" t="s">
        <v>23</v>
      </c>
      <c r="Z777" s="1" t="s">
        <v>3182</v>
      </c>
    </row>
    <row r="778" ht="15.75" customHeight="1">
      <c r="E778" s="1" t="s">
        <v>3183</v>
      </c>
      <c r="L778" s="1">
        <v>199875.5</v>
      </c>
      <c r="M778" s="1">
        <v>199875.5</v>
      </c>
      <c r="Y778" s="1" t="s">
        <v>23</v>
      </c>
    </row>
    <row r="779" ht="15.75" customHeight="1">
      <c r="E779" s="1" t="s">
        <v>3184</v>
      </c>
      <c r="L779" s="1">
        <v>1715615.681425</v>
      </c>
      <c r="M779" s="1">
        <v>1525157.0</v>
      </c>
      <c r="N779" s="1" t="s">
        <v>3185</v>
      </c>
      <c r="O779" s="1" t="s">
        <v>3186</v>
      </c>
      <c r="P779" s="1" t="s">
        <v>3187</v>
      </c>
      <c r="Y779" s="1" t="s">
        <v>23</v>
      </c>
      <c r="Z779" s="1" t="s">
        <v>3188</v>
      </c>
    </row>
    <row r="780" ht="15.75" customHeight="1">
      <c r="E780" s="1" t="s">
        <v>3189</v>
      </c>
      <c r="L780" s="1">
        <v>8.222818477777778E7</v>
      </c>
      <c r="M780" s="1">
        <v>6.6481528E7</v>
      </c>
      <c r="N780" s="1" t="s">
        <v>3190</v>
      </c>
      <c r="O780" s="1" t="s">
        <v>3191</v>
      </c>
      <c r="P780" s="1" t="s">
        <v>3192</v>
      </c>
      <c r="Y780" s="1" t="s">
        <v>23</v>
      </c>
      <c r="Z780" s="1" t="s">
        <v>391</v>
      </c>
    </row>
    <row r="781" ht="15.75" customHeight="1">
      <c r="E781" s="1" t="s">
        <v>3193</v>
      </c>
      <c r="L781" s="1">
        <v>581685.0017857143</v>
      </c>
      <c r="M781" s="1">
        <v>582165.0</v>
      </c>
      <c r="N781" s="1" t="s">
        <v>3194</v>
      </c>
      <c r="O781" s="1" t="s">
        <v>3195</v>
      </c>
      <c r="P781" s="1" t="s">
        <v>3196</v>
      </c>
      <c r="Y781" s="1" t="s">
        <v>23</v>
      </c>
      <c r="Z781" s="1" t="s">
        <v>362</v>
      </c>
    </row>
    <row r="782" ht="15.75" customHeight="1">
      <c r="E782" s="1" t="s">
        <v>3197</v>
      </c>
      <c r="L782" s="1">
        <v>435283.0344827586</v>
      </c>
      <c r="M782" s="1">
        <v>172004.0</v>
      </c>
      <c r="N782" s="1" t="s">
        <v>3198</v>
      </c>
      <c r="O782" s="1" t="s">
        <v>3199</v>
      </c>
      <c r="P782" s="1" t="s">
        <v>3200</v>
      </c>
      <c r="Y782" s="1" t="s">
        <v>23</v>
      </c>
      <c r="Z782" s="1" t="s">
        <v>3201</v>
      </c>
    </row>
    <row r="783" ht="15.75" customHeight="1">
      <c r="E783" s="1" t="s">
        <v>3202</v>
      </c>
      <c r="L783" s="1">
        <v>2963108.6666666665</v>
      </c>
      <c r="M783" s="1">
        <v>941121.0</v>
      </c>
      <c r="N783" s="1" t="s">
        <v>3203</v>
      </c>
      <c r="O783" s="1" t="s">
        <v>3204</v>
      </c>
      <c r="P783" s="1" t="s">
        <v>3205</v>
      </c>
      <c r="Y783" s="1" t="s">
        <v>23</v>
      </c>
      <c r="Z783" s="1" t="s">
        <v>3206</v>
      </c>
    </row>
    <row r="784" ht="15.75" customHeight="1">
      <c r="E784" s="1" t="s">
        <v>3207</v>
      </c>
      <c r="L784" s="1">
        <v>9859638.384615384</v>
      </c>
      <c r="M784" s="1">
        <v>630281.0</v>
      </c>
      <c r="N784" s="1" t="s">
        <v>3208</v>
      </c>
      <c r="O784" s="1" t="s">
        <v>3209</v>
      </c>
      <c r="P784" s="1" t="s">
        <v>3210</v>
      </c>
      <c r="Y784" s="1" t="s">
        <v>23</v>
      </c>
      <c r="Z784" s="1" t="s">
        <v>3211</v>
      </c>
    </row>
    <row r="785" ht="15.75" customHeight="1">
      <c r="E785" s="1" t="s">
        <v>3212</v>
      </c>
      <c r="L785" s="1">
        <v>8143550.614130435</v>
      </c>
      <c r="M785" s="1">
        <v>545441.0</v>
      </c>
      <c r="N785" s="1" t="s">
        <v>3213</v>
      </c>
      <c r="O785" s="1" t="s">
        <v>3214</v>
      </c>
      <c r="P785" s="1" t="s">
        <v>3215</v>
      </c>
      <c r="Y785" s="1" t="s">
        <v>23</v>
      </c>
      <c r="Z785" s="1" t="s">
        <v>3216</v>
      </c>
    </row>
    <row r="786" ht="15.75" customHeight="1">
      <c r="E786" s="1" t="s">
        <v>3217</v>
      </c>
      <c r="L786" s="1">
        <v>3891710.2885071426</v>
      </c>
      <c r="M786" s="1">
        <v>329656.0</v>
      </c>
      <c r="N786" s="1" t="s">
        <v>3218</v>
      </c>
      <c r="O786" s="1" t="s">
        <v>3219</v>
      </c>
      <c r="P786" s="1" t="s">
        <v>3220</v>
      </c>
      <c r="Y786" s="1" t="s">
        <v>23</v>
      </c>
      <c r="Z786" s="1" t="s">
        <v>3221</v>
      </c>
    </row>
    <row r="787" ht="15.75" customHeight="1">
      <c r="E787" s="1" t="s">
        <v>3222</v>
      </c>
      <c r="L787" s="1">
        <v>7986745.4375</v>
      </c>
      <c r="M787" s="1">
        <v>208747.5</v>
      </c>
      <c r="N787" s="1" t="s">
        <v>3223</v>
      </c>
      <c r="O787" s="1" t="s">
        <v>3224</v>
      </c>
      <c r="P787" s="1" t="s">
        <v>3225</v>
      </c>
      <c r="Y787" s="1" t="s">
        <v>23</v>
      </c>
    </row>
    <row r="788" ht="15.75" customHeight="1">
      <c r="E788" s="1" t="s">
        <v>3226</v>
      </c>
      <c r="L788" s="1">
        <v>3213274.446985714</v>
      </c>
      <c r="M788" s="1">
        <v>1366660.5</v>
      </c>
      <c r="N788" s="1" t="s">
        <v>3227</v>
      </c>
      <c r="O788" s="1" t="s">
        <v>3228</v>
      </c>
      <c r="P788" s="1" t="s">
        <v>3229</v>
      </c>
      <c r="Y788" s="1" t="s">
        <v>23</v>
      </c>
      <c r="Z788" s="1" t="s">
        <v>3230</v>
      </c>
    </row>
    <row r="789" ht="15.75" customHeight="1">
      <c r="E789" s="1" t="s">
        <v>3231</v>
      </c>
      <c r="L789" s="1">
        <v>5.6500359333333336E7</v>
      </c>
      <c r="M789" s="1">
        <v>3.6972472E7</v>
      </c>
      <c r="N789" s="1" t="s">
        <v>3232</v>
      </c>
      <c r="O789" s="1" t="s">
        <v>3233</v>
      </c>
      <c r="P789" s="1" t="s">
        <v>3234</v>
      </c>
      <c r="Y789" s="1" t="s">
        <v>23</v>
      </c>
      <c r="Z789" s="1" t="s">
        <v>3235</v>
      </c>
    </row>
    <row r="790" ht="15.75" customHeight="1">
      <c r="E790" s="1" t="s">
        <v>3236</v>
      </c>
      <c r="L790" s="1">
        <v>2000272.58154375</v>
      </c>
      <c r="M790" s="1">
        <v>624355.5</v>
      </c>
      <c r="Y790" s="1" t="s">
        <v>23</v>
      </c>
    </row>
    <row r="791" ht="15.75" customHeight="1">
      <c r="E791" s="1" t="s">
        <v>3237</v>
      </c>
      <c r="L791" s="1">
        <v>665343.387023077</v>
      </c>
      <c r="M791" s="1">
        <v>149251.0</v>
      </c>
      <c r="Y791" s="1" t="s">
        <v>23</v>
      </c>
      <c r="Z791" s="1" t="s">
        <v>3238</v>
      </c>
    </row>
    <row r="792" ht="15.75" customHeight="1">
      <c r="E792" s="1" t="s">
        <v>3239</v>
      </c>
      <c r="L792" s="1">
        <v>573472.947368421</v>
      </c>
      <c r="M792" s="1">
        <v>410606.0</v>
      </c>
      <c r="Y792" s="1" t="s">
        <v>23</v>
      </c>
      <c r="Z792" s="1" t="s">
        <v>3240</v>
      </c>
    </row>
    <row r="793" ht="15.75" customHeight="1">
      <c r="E793" s="1" t="s">
        <v>3241</v>
      </c>
      <c r="L793" s="1">
        <v>784498.40625</v>
      </c>
      <c r="M793" s="1">
        <v>183386.5039</v>
      </c>
      <c r="Y793" s="1" t="s">
        <v>23</v>
      </c>
    </row>
    <row r="794" ht="15.75" customHeight="1">
      <c r="E794" s="1" t="s">
        <v>3242</v>
      </c>
      <c r="L794" s="1">
        <v>536510.75</v>
      </c>
      <c r="M794" s="1">
        <v>217145.0</v>
      </c>
      <c r="Y794" s="1" t="s">
        <v>23</v>
      </c>
    </row>
    <row r="795" ht="15.75" customHeight="1">
      <c r="E795" s="1" t="s">
        <v>3243</v>
      </c>
      <c r="L795" s="1">
        <v>1967442.6487296296</v>
      </c>
      <c r="M795" s="1">
        <v>377259.0</v>
      </c>
      <c r="Y795" s="1" t="s">
        <v>23</v>
      </c>
      <c r="Z795" s="1" t="s">
        <v>3244</v>
      </c>
    </row>
    <row r="796" ht="15.75" customHeight="1">
      <c r="E796" s="1" t="s">
        <v>3245</v>
      </c>
      <c r="L796" s="1">
        <v>686376.62305</v>
      </c>
      <c r="M796" s="1">
        <v>352196.98439999996</v>
      </c>
      <c r="Y796" s="1" t="s">
        <v>23</v>
      </c>
    </row>
    <row r="797" ht="15.75" customHeight="1">
      <c r="E797" s="1" t="s">
        <v>3246</v>
      </c>
      <c r="L797" s="1">
        <v>880145.0721153846</v>
      </c>
      <c r="M797" s="1">
        <v>292716.0</v>
      </c>
      <c r="Y797" s="1" t="s">
        <v>23</v>
      </c>
      <c r="Z797" s="1" t="s">
        <v>3247</v>
      </c>
    </row>
    <row r="798" ht="15.75" customHeight="1">
      <c r="E798" s="1" t="s">
        <v>3248</v>
      </c>
      <c r="L798" s="1">
        <v>4784929.5174114285</v>
      </c>
      <c r="M798" s="1">
        <v>491629.0</v>
      </c>
      <c r="Y798" s="1" t="s">
        <v>23</v>
      </c>
      <c r="Z798" s="1" t="s">
        <v>3249</v>
      </c>
    </row>
    <row r="799" ht="15.75" customHeight="1">
      <c r="E799" s="1" t="s">
        <v>3250</v>
      </c>
      <c r="L799" s="1">
        <v>425683.7</v>
      </c>
      <c r="M799" s="1">
        <v>208258.0</v>
      </c>
      <c r="Y799" s="1" t="s">
        <v>23</v>
      </c>
    </row>
    <row r="800" ht="15.75" customHeight="1">
      <c r="E800" s="1" t="s">
        <v>3251</v>
      </c>
      <c r="L800" s="1">
        <v>1541955.7831173914</v>
      </c>
      <c r="M800" s="1">
        <v>391287.0</v>
      </c>
      <c r="Y800" s="1" t="s">
        <v>23</v>
      </c>
    </row>
    <row r="801" ht="15.75" customHeight="1">
      <c r="E801" s="1" t="s">
        <v>3252</v>
      </c>
      <c r="L801" s="1">
        <v>6.923920655555555E7</v>
      </c>
      <c r="M801" s="1">
        <v>5.2429556E7</v>
      </c>
      <c r="N801" s="1" t="s">
        <v>1178</v>
      </c>
      <c r="O801" s="1" t="s">
        <v>3253</v>
      </c>
      <c r="P801" s="1" t="s">
        <v>3254</v>
      </c>
      <c r="Y801" s="1" t="s">
        <v>23</v>
      </c>
      <c r="Z801" s="1" t="s">
        <v>3255</v>
      </c>
    </row>
    <row r="802" ht="15.75" customHeight="1">
      <c r="E802" s="1" t="s">
        <v>3256</v>
      </c>
      <c r="L802" s="1">
        <v>1.2442995669642856E7</v>
      </c>
      <c r="M802" s="1">
        <v>5586417.0</v>
      </c>
      <c r="N802" s="1" t="s">
        <v>3257</v>
      </c>
      <c r="O802" s="1" t="s">
        <v>3258</v>
      </c>
      <c r="P802" s="1" t="s">
        <v>3259</v>
      </c>
      <c r="Y802" s="1" t="s">
        <v>23</v>
      </c>
      <c r="Z802" s="1" t="s">
        <v>3260</v>
      </c>
    </row>
    <row r="803" ht="15.75" customHeight="1">
      <c r="E803" s="1" t="s">
        <v>3261</v>
      </c>
      <c r="L803" s="1">
        <v>1.2515664435555556E9</v>
      </c>
      <c r="M803" s="1">
        <v>4.82047248E8</v>
      </c>
      <c r="Y803" s="1" t="s">
        <v>23</v>
      </c>
      <c r="Z803" s="1" t="s">
        <v>3262</v>
      </c>
    </row>
    <row r="804" ht="15.75" customHeight="1">
      <c r="E804" s="1" t="s">
        <v>3263</v>
      </c>
      <c r="L804" s="1">
        <v>1.236883817142857E7</v>
      </c>
      <c r="M804" s="1">
        <v>3311297.0</v>
      </c>
      <c r="N804" s="1" t="s">
        <v>3264</v>
      </c>
      <c r="O804" s="1" t="s">
        <v>3265</v>
      </c>
      <c r="P804" s="1" t="s">
        <v>3266</v>
      </c>
      <c r="Y804" s="1" t="s">
        <v>23</v>
      </c>
      <c r="Z804" s="1" t="s">
        <v>3267</v>
      </c>
    </row>
    <row r="805" ht="15.75" customHeight="1">
      <c r="E805" s="1" t="s">
        <v>3268</v>
      </c>
      <c r="L805" s="1">
        <v>6.4255670777777776E7</v>
      </c>
      <c r="M805" s="1">
        <v>4.4431392E7</v>
      </c>
      <c r="N805" s="1" t="s">
        <v>3269</v>
      </c>
      <c r="O805" s="1" t="s">
        <v>3270</v>
      </c>
      <c r="P805" s="1" t="s">
        <v>3271</v>
      </c>
      <c r="Y805" s="1" t="s">
        <v>23</v>
      </c>
      <c r="Z805" s="1" t="s">
        <v>3272</v>
      </c>
    </row>
    <row r="806" ht="15.75" customHeight="1">
      <c r="E806" s="1" t="s">
        <v>3273</v>
      </c>
      <c r="L806" s="1">
        <v>4967945.6544657145</v>
      </c>
      <c r="M806" s="1">
        <v>502916.0</v>
      </c>
      <c r="Y806" s="1" t="s">
        <v>23</v>
      </c>
      <c r="Z806" s="1" t="s">
        <v>3274</v>
      </c>
    </row>
    <row r="807" ht="15.75" customHeight="1">
      <c r="E807" s="1" t="s">
        <v>3275</v>
      </c>
      <c r="L807" s="1">
        <v>3077789.4965305557</v>
      </c>
      <c r="M807" s="1">
        <v>1201425.5</v>
      </c>
      <c r="Y807" s="1" t="s">
        <v>23</v>
      </c>
      <c r="Z807" s="1" t="s">
        <v>3276</v>
      </c>
    </row>
    <row r="808" ht="15.75" customHeight="1">
      <c r="E808" s="1" t="s">
        <v>3277</v>
      </c>
      <c r="L808" s="1">
        <v>336412.146875</v>
      </c>
      <c r="M808" s="1">
        <v>192245.0</v>
      </c>
      <c r="Y808" s="1" t="s">
        <v>23</v>
      </c>
    </row>
    <row r="809" ht="15.75" customHeight="1">
      <c r="E809" s="1" t="s">
        <v>3278</v>
      </c>
      <c r="L809" s="1">
        <v>322809.573128</v>
      </c>
      <c r="M809" s="1">
        <v>215586.0</v>
      </c>
      <c r="Y809" s="1" t="s">
        <v>23</v>
      </c>
    </row>
    <row r="810" ht="15.75" customHeight="1">
      <c r="E810" s="1" t="s">
        <v>3279</v>
      </c>
      <c r="L810" s="1">
        <v>631288.5036076923</v>
      </c>
      <c r="M810" s="1">
        <v>599993.0</v>
      </c>
      <c r="N810" s="1" t="s">
        <v>1958</v>
      </c>
      <c r="O810" s="1" t="s">
        <v>3280</v>
      </c>
      <c r="P810" s="1" t="s">
        <v>3281</v>
      </c>
      <c r="Y810" s="1" t="s">
        <v>23</v>
      </c>
      <c r="Z810" s="1" t="s">
        <v>3282</v>
      </c>
    </row>
    <row r="811" ht="15.75" customHeight="1">
      <c r="E811" s="1" t="s">
        <v>3283</v>
      </c>
      <c r="L811" s="1">
        <v>2665732.5</v>
      </c>
      <c r="M811" s="1">
        <v>2665732.5</v>
      </c>
      <c r="Y811" s="1" t="s">
        <v>23</v>
      </c>
    </row>
    <row r="812" ht="15.75" customHeight="1">
      <c r="E812" s="1" t="s">
        <v>3284</v>
      </c>
      <c r="L812" s="1">
        <v>3497319.264758333</v>
      </c>
      <c r="M812" s="1">
        <v>2483433.625</v>
      </c>
      <c r="Y812" s="1" t="s">
        <v>23</v>
      </c>
      <c r="Z812" s="1" t="s">
        <v>3285</v>
      </c>
    </row>
    <row r="813" ht="15.75" customHeight="1">
      <c r="E813" s="1" t="s">
        <v>3286</v>
      </c>
      <c r="L813" s="1">
        <v>4.308615000555556E8</v>
      </c>
      <c r="M813" s="1">
        <v>5.542664E7</v>
      </c>
      <c r="N813" s="1" t="s">
        <v>3287</v>
      </c>
      <c r="Y813" s="1" t="s">
        <v>23</v>
      </c>
      <c r="Z813" s="1" t="s">
        <v>3288</v>
      </c>
    </row>
    <row r="814" ht="15.75" customHeight="1">
      <c r="E814" s="1" t="s">
        <v>3289</v>
      </c>
      <c r="L814" s="1">
        <v>7.670273719444445E7</v>
      </c>
      <c r="M814" s="1">
        <v>6.1415574E7</v>
      </c>
      <c r="N814" s="1" t="s">
        <v>3290</v>
      </c>
      <c r="O814" s="1" t="s">
        <v>3291</v>
      </c>
      <c r="P814" s="1" t="s">
        <v>3292</v>
      </c>
      <c r="Y814" s="1" t="s">
        <v>23</v>
      </c>
      <c r="Z814" s="1" t="s">
        <v>3293</v>
      </c>
    </row>
    <row r="815" ht="15.75" customHeight="1">
      <c r="E815" s="1" t="s">
        <v>3294</v>
      </c>
      <c r="L815" s="1">
        <v>537001.996352174</v>
      </c>
      <c r="M815" s="1">
        <v>200477.0</v>
      </c>
      <c r="N815" s="1" t="s">
        <v>3295</v>
      </c>
      <c r="O815" s="1" t="s">
        <v>3296</v>
      </c>
      <c r="P815" s="1" t="s">
        <v>3297</v>
      </c>
      <c r="Y815" s="1" t="s">
        <v>23</v>
      </c>
      <c r="Z815" s="1" t="s">
        <v>3298</v>
      </c>
    </row>
    <row r="816" ht="15.75" customHeight="1">
      <c r="E816" s="1" t="s">
        <v>3299</v>
      </c>
      <c r="L816" s="1">
        <v>3.3204304527777776E7</v>
      </c>
      <c r="M816" s="1">
        <v>1.2889975E7</v>
      </c>
      <c r="N816" s="1" t="s">
        <v>3300</v>
      </c>
      <c r="O816" s="1" t="s">
        <v>3301</v>
      </c>
      <c r="P816" s="1" t="s">
        <v>3302</v>
      </c>
      <c r="Y816" s="1" t="s">
        <v>23</v>
      </c>
      <c r="Z816" s="1" t="s">
        <v>381</v>
      </c>
    </row>
    <row r="817" ht="15.75" customHeight="1">
      <c r="E817" s="1" t="s">
        <v>3303</v>
      </c>
      <c r="L817" s="1">
        <v>3907492.58082069</v>
      </c>
      <c r="M817" s="1">
        <v>1687067.0</v>
      </c>
      <c r="N817" s="1" t="s">
        <v>3304</v>
      </c>
      <c r="O817" s="1" t="s">
        <v>3305</v>
      </c>
      <c r="P817" s="1" t="s">
        <v>3306</v>
      </c>
      <c r="Y817" s="1" t="s">
        <v>23</v>
      </c>
      <c r="Z817" s="1" t="s">
        <v>3307</v>
      </c>
    </row>
    <row r="818" ht="15.75" customHeight="1">
      <c r="E818" s="1" t="s">
        <v>3308</v>
      </c>
      <c r="L818" s="1">
        <v>3135895.39961</v>
      </c>
      <c r="M818" s="1">
        <v>578879.5</v>
      </c>
      <c r="Y818" s="1" t="s">
        <v>23</v>
      </c>
    </row>
    <row r="819" ht="15.75" customHeight="1">
      <c r="E819" s="1" t="s">
        <v>3309</v>
      </c>
      <c r="L819" s="1">
        <v>1.176756856985294E7</v>
      </c>
      <c r="M819" s="1">
        <v>3626478.0</v>
      </c>
      <c r="N819" s="1" t="s">
        <v>3310</v>
      </c>
      <c r="O819" s="1" t="s">
        <v>3311</v>
      </c>
      <c r="P819" s="1" t="s">
        <v>3312</v>
      </c>
      <c r="Y819" s="1" t="s">
        <v>23</v>
      </c>
      <c r="Z819" s="1" t="s">
        <v>3313</v>
      </c>
    </row>
    <row r="820" ht="15.75" customHeight="1">
      <c r="E820" s="1" t="s">
        <v>3314</v>
      </c>
      <c r="L820" s="1">
        <v>2069617.4375</v>
      </c>
      <c r="M820" s="1">
        <v>588583.0</v>
      </c>
      <c r="N820" s="1" t="s">
        <v>3315</v>
      </c>
      <c r="O820" s="1" t="s">
        <v>3316</v>
      </c>
      <c r="P820" s="1" t="s">
        <v>3317</v>
      </c>
      <c r="Y820" s="1" t="s">
        <v>23</v>
      </c>
    </row>
    <row r="821" ht="15.75" customHeight="1">
      <c r="E821" s="1" t="s">
        <v>3318</v>
      </c>
      <c r="L821" s="1">
        <v>9845009.267857144</v>
      </c>
      <c r="M821" s="1">
        <v>2636393.5</v>
      </c>
      <c r="N821" s="1" t="s">
        <v>3304</v>
      </c>
      <c r="O821" s="1" t="s">
        <v>3319</v>
      </c>
      <c r="P821" s="1" t="s">
        <v>3320</v>
      </c>
      <c r="Y821" s="1" t="s">
        <v>23</v>
      </c>
      <c r="Z821" s="1" t="s">
        <v>3321</v>
      </c>
    </row>
    <row r="822" ht="15.75" customHeight="1">
      <c r="E822" s="1" t="s">
        <v>3322</v>
      </c>
      <c r="L822" s="1">
        <v>846613.0013764706</v>
      </c>
      <c r="M822" s="1">
        <v>290838.0</v>
      </c>
      <c r="N822" s="1" t="s">
        <v>3304</v>
      </c>
      <c r="O822" s="1" t="s">
        <v>3323</v>
      </c>
      <c r="P822" s="1" t="s">
        <v>3324</v>
      </c>
      <c r="Y822" s="1" t="s">
        <v>23</v>
      </c>
    </row>
    <row r="823" ht="15.75" customHeight="1">
      <c r="E823" s="1" t="s">
        <v>3325</v>
      </c>
      <c r="L823" s="1">
        <v>673650.6420454546</v>
      </c>
      <c r="M823" s="1">
        <v>437445.0</v>
      </c>
      <c r="N823" s="1" t="s">
        <v>3326</v>
      </c>
      <c r="O823" s="1" t="s">
        <v>3327</v>
      </c>
      <c r="P823" s="1" t="s">
        <v>3328</v>
      </c>
      <c r="Y823" s="1" t="s">
        <v>23</v>
      </c>
      <c r="Z823" s="1" t="s">
        <v>3329</v>
      </c>
    </row>
    <row r="824" ht="15.75" customHeight="1">
      <c r="E824" s="1" t="s">
        <v>3330</v>
      </c>
      <c r="L824" s="1">
        <v>3563756.9067242425</v>
      </c>
      <c r="M824" s="1">
        <v>704513.0</v>
      </c>
      <c r="N824" s="1" t="s">
        <v>2379</v>
      </c>
      <c r="O824" s="1" t="s">
        <v>2380</v>
      </c>
      <c r="P824" s="1" t="s">
        <v>2381</v>
      </c>
      <c r="Y824" s="1" t="s">
        <v>23</v>
      </c>
      <c r="Z824" s="1" t="s">
        <v>3331</v>
      </c>
    </row>
    <row r="825" ht="15.75" customHeight="1">
      <c r="E825" s="1" t="s">
        <v>3332</v>
      </c>
      <c r="L825" s="1">
        <v>494124.5330882353</v>
      </c>
      <c r="M825" s="1">
        <v>100175.0</v>
      </c>
      <c r="N825" s="1" t="s">
        <v>3304</v>
      </c>
      <c r="O825" s="1" t="s">
        <v>3333</v>
      </c>
      <c r="P825" s="1" t="s">
        <v>3334</v>
      </c>
      <c r="Y825" s="1" t="s">
        <v>23</v>
      </c>
      <c r="Z825" s="1" t="s">
        <v>3335</v>
      </c>
    </row>
    <row r="826" ht="15.75" customHeight="1">
      <c r="E826" s="1" t="s">
        <v>3336</v>
      </c>
      <c r="L826" s="1">
        <v>857143.7803600001</v>
      </c>
      <c r="M826" s="1">
        <v>710703.0625</v>
      </c>
      <c r="Y826" s="1" t="s">
        <v>23</v>
      </c>
      <c r="Z826" s="1" t="s">
        <v>3337</v>
      </c>
    </row>
    <row r="827" ht="15.75" customHeight="1">
      <c r="E827" s="1" t="s">
        <v>3338</v>
      </c>
      <c r="L827" s="1">
        <v>2.603595615277778E8</v>
      </c>
      <c r="M827" s="1">
        <v>2.02916144E8</v>
      </c>
      <c r="Y827" s="1" t="s">
        <v>23</v>
      </c>
      <c r="Z827" s="1" t="s">
        <v>3339</v>
      </c>
    </row>
    <row r="828" ht="15.75" customHeight="1">
      <c r="E828" s="1" t="s">
        <v>3340</v>
      </c>
      <c r="L828" s="1">
        <v>752168.144347619</v>
      </c>
      <c r="M828" s="1">
        <v>574060.0</v>
      </c>
      <c r="N828" s="1" t="s">
        <v>3341</v>
      </c>
      <c r="O828" s="1" t="s">
        <v>3342</v>
      </c>
      <c r="P828" s="1" t="s">
        <v>3343</v>
      </c>
      <c r="Y828" s="1" t="s">
        <v>23</v>
      </c>
      <c r="Z828" s="1" t="s">
        <v>3344</v>
      </c>
    </row>
    <row r="829" ht="15.75" customHeight="1">
      <c r="E829" s="1" t="s">
        <v>3345</v>
      </c>
      <c r="L829" s="1">
        <v>761425.19835</v>
      </c>
      <c r="M829" s="1">
        <v>461936.5</v>
      </c>
      <c r="N829" s="1" t="s">
        <v>3346</v>
      </c>
      <c r="O829" s="1" t="s">
        <v>3347</v>
      </c>
      <c r="P829" s="1" t="s">
        <v>3348</v>
      </c>
      <c r="Y829" s="1" t="s">
        <v>23</v>
      </c>
    </row>
    <row r="830" ht="15.75" customHeight="1">
      <c r="E830" s="1" t="s">
        <v>3349</v>
      </c>
      <c r="L830" s="1">
        <v>3225085.9748000004</v>
      </c>
      <c r="M830" s="1">
        <v>1109095.0</v>
      </c>
      <c r="N830" s="1" t="s">
        <v>1918</v>
      </c>
      <c r="Y830" s="1" t="s">
        <v>23</v>
      </c>
      <c r="Z830" s="1" t="s">
        <v>3350</v>
      </c>
    </row>
    <row r="831" ht="15.75" customHeight="1">
      <c r="E831" s="1" t="s">
        <v>3351</v>
      </c>
      <c r="L831" s="1">
        <v>1.0743617372222222E8</v>
      </c>
      <c r="M831" s="1">
        <v>7.382526E7</v>
      </c>
      <c r="N831" s="1" t="s">
        <v>1017</v>
      </c>
      <c r="Y831" s="1" t="s">
        <v>23</v>
      </c>
      <c r="Z831" s="1" t="s">
        <v>401</v>
      </c>
    </row>
    <row r="832" ht="15.75" customHeight="1">
      <c r="E832" s="1" t="s">
        <v>3352</v>
      </c>
      <c r="L832" s="1">
        <v>1024059.1113857141</v>
      </c>
      <c r="M832" s="1">
        <v>661096.0</v>
      </c>
      <c r="N832" s="1" t="s">
        <v>3353</v>
      </c>
      <c r="O832" s="1" t="s">
        <v>3354</v>
      </c>
      <c r="P832" s="1" t="s">
        <v>3355</v>
      </c>
      <c r="Y832" s="1" t="s">
        <v>23</v>
      </c>
      <c r="Z832" s="1" t="s">
        <v>3356</v>
      </c>
    </row>
    <row r="833" ht="15.75" customHeight="1">
      <c r="E833" s="1" t="s">
        <v>3357</v>
      </c>
      <c r="L833" s="1">
        <v>4204189.111111111</v>
      </c>
      <c r="M833" s="1">
        <v>3270612.0</v>
      </c>
      <c r="N833" s="1" t="s">
        <v>3358</v>
      </c>
      <c r="O833" s="1" t="s">
        <v>3359</v>
      </c>
      <c r="P833" s="1" t="s">
        <v>3360</v>
      </c>
      <c r="Y833" s="1" t="s">
        <v>23</v>
      </c>
      <c r="Z833" s="1" t="s">
        <v>3361</v>
      </c>
    </row>
    <row r="834" ht="15.75" customHeight="1">
      <c r="E834" s="1" t="s">
        <v>3362</v>
      </c>
      <c r="L834" s="1">
        <v>7952292.465277778</v>
      </c>
      <c r="M834" s="1">
        <v>7353154.5</v>
      </c>
      <c r="N834" s="1" t="s">
        <v>1271</v>
      </c>
      <c r="O834" s="1" t="s">
        <v>3363</v>
      </c>
      <c r="P834" s="1" t="s">
        <v>3364</v>
      </c>
      <c r="Y834" s="1" t="s">
        <v>23</v>
      </c>
      <c r="Z834" s="1" t="s">
        <v>3365</v>
      </c>
    </row>
    <row r="835" ht="15.75" customHeight="1">
      <c r="E835" s="1" t="s">
        <v>3366</v>
      </c>
      <c r="L835" s="1">
        <v>750763.7089852942</v>
      </c>
      <c r="M835" s="1">
        <v>246509.5</v>
      </c>
      <c r="N835" s="1" t="s">
        <v>3367</v>
      </c>
      <c r="Y835" s="1" t="s">
        <v>23</v>
      </c>
      <c r="Z835" s="1" t="s">
        <v>3368</v>
      </c>
    </row>
    <row r="836" ht="15.75" customHeight="1">
      <c r="E836" s="1" t="s">
        <v>3369</v>
      </c>
      <c r="L836" s="1">
        <v>1.2144252725694444E7</v>
      </c>
      <c r="M836" s="1">
        <v>2555066.0</v>
      </c>
      <c r="Y836" s="1" t="s">
        <v>23</v>
      </c>
    </row>
    <row r="837" ht="15.75" customHeight="1">
      <c r="E837" s="1" t="s">
        <v>3370</v>
      </c>
      <c r="L837" s="1">
        <v>2.5502859166666668E7</v>
      </c>
      <c r="M837" s="1">
        <v>2.1350928E7</v>
      </c>
      <c r="N837" s="1" t="s">
        <v>1699</v>
      </c>
      <c r="O837" s="1" t="s">
        <v>3371</v>
      </c>
      <c r="P837" s="1" t="s">
        <v>3372</v>
      </c>
      <c r="Y837" s="1" t="s">
        <v>23</v>
      </c>
      <c r="Z837" s="1" t="s">
        <v>445</v>
      </c>
    </row>
    <row r="838" ht="15.75" customHeight="1">
      <c r="E838" s="1" t="s">
        <v>3373</v>
      </c>
      <c r="L838" s="1">
        <v>5551082.0</v>
      </c>
      <c r="M838" s="1">
        <v>7980225.0</v>
      </c>
      <c r="N838" s="1" t="s">
        <v>2315</v>
      </c>
      <c r="O838" s="1" t="s">
        <v>3374</v>
      </c>
      <c r="P838" s="1" t="s">
        <v>3375</v>
      </c>
      <c r="Y838" s="1" t="s">
        <v>23</v>
      </c>
      <c r="Z838" s="1" t="s">
        <v>3376</v>
      </c>
    </row>
    <row r="839" ht="15.75" customHeight="1">
      <c r="E839" s="1" t="s">
        <v>3377</v>
      </c>
      <c r="L839" s="1">
        <v>2659097.8607142856</v>
      </c>
      <c r="M839" s="1">
        <v>1730666.0</v>
      </c>
      <c r="N839" s="1" t="s">
        <v>3378</v>
      </c>
      <c r="O839" s="1" t="s">
        <v>3379</v>
      </c>
      <c r="P839" s="1" t="s">
        <v>3380</v>
      </c>
      <c r="Y839" s="1" t="s">
        <v>23</v>
      </c>
      <c r="Z839" s="1" t="s">
        <v>3381</v>
      </c>
    </row>
    <row r="840" ht="15.75" customHeight="1">
      <c r="E840" s="1" t="s">
        <v>3382</v>
      </c>
      <c r="L840" s="1">
        <v>1.0506625763888888E7</v>
      </c>
      <c r="M840" s="1">
        <v>5940906.25</v>
      </c>
      <c r="Y840" s="1" t="s">
        <v>23</v>
      </c>
      <c r="Z840" s="1" t="s">
        <v>3383</v>
      </c>
    </row>
    <row r="841" ht="15.75" customHeight="1">
      <c r="E841" s="1" t="s">
        <v>3384</v>
      </c>
      <c r="L841" s="1">
        <v>4395464.176216667</v>
      </c>
      <c r="M841" s="1">
        <v>1778250.0</v>
      </c>
      <c r="N841" s="1" t="s">
        <v>3385</v>
      </c>
      <c r="O841" s="1" t="s">
        <v>3386</v>
      </c>
      <c r="P841" s="1" t="s">
        <v>3387</v>
      </c>
      <c r="Y841" s="1" t="s">
        <v>23</v>
      </c>
      <c r="Z841" s="1" t="s">
        <v>3388</v>
      </c>
    </row>
    <row r="842" ht="15.75" customHeight="1">
      <c r="E842" s="1" t="s">
        <v>3389</v>
      </c>
      <c r="L842" s="1">
        <v>5.547839094444445E7</v>
      </c>
      <c r="M842" s="1">
        <v>3.4004244E7</v>
      </c>
      <c r="N842" s="1" t="s">
        <v>3390</v>
      </c>
      <c r="O842" s="1" t="s">
        <v>3391</v>
      </c>
      <c r="P842" s="1" t="s">
        <v>3392</v>
      </c>
      <c r="Y842" s="1" t="s">
        <v>23</v>
      </c>
      <c r="Z842" s="1" t="s">
        <v>344</v>
      </c>
    </row>
    <row r="843" ht="15.75" customHeight="1">
      <c r="E843" s="1" t="s">
        <v>3393</v>
      </c>
      <c r="L843" s="1">
        <v>1.1026818827777778E8</v>
      </c>
      <c r="M843" s="1">
        <v>7.243298E7</v>
      </c>
      <c r="N843" s="1" t="s">
        <v>3394</v>
      </c>
      <c r="O843" s="1" t="s">
        <v>3395</v>
      </c>
      <c r="P843" s="1" t="s">
        <v>3396</v>
      </c>
      <c r="Y843" s="1" t="s">
        <v>23</v>
      </c>
      <c r="Z843" s="1" t="s">
        <v>433</v>
      </c>
    </row>
    <row r="844" ht="15.75" customHeight="1">
      <c r="E844" s="1" t="s">
        <v>3397</v>
      </c>
      <c r="L844" s="1">
        <v>892518.3798076923</v>
      </c>
      <c r="M844" s="1">
        <v>735885.0</v>
      </c>
      <c r="N844" s="1" t="s">
        <v>3398</v>
      </c>
      <c r="O844" s="1" t="s">
        <v>3399</v>
      </c>
      <c r="P844" s="1" t="s">
        <v>3400</v>
      </c>
      <c r="Y844" s="1" t="s">
        <v>23</v>
      </c>
      <c r="Z844" s="1" t="s">
        <v>3401</v>
      </c>
    </row>
    <row r="845" ht="15.75" customHeight="1">
      <c r="E845" s="1" t="s">
        <v>3402</v>
      </c>
      <c r="L845" s="1">
        <v>1350442.3767857142</v>
      </c>
      <c r="M845" s="1">
        <v>1137968.0</v>
      </c>
      <c r="N845" s="1" t="s">
        <v>3403</v>
      </c>
      <c r="O845" s="1" t="s">
        <v>3404</v>
      </c>
      <c r="P845" s="1" t="s">
        <v>3405</v>
      </c>
      <c r="Y845" s="1" t="s">
        <v>23</v>
      </c>
      <c r="Z845" s="1" t="s">
        <v>3406</v>
      </c>
    </row>
    <row r="846" ht="15.75" customHeight="1">
      <c r="E846" s="1" t="s">
        <v>3407</v>
      </c>
      <c r="L846" s="1">
        <v>1.9533939108333334E8</v>
      </c>
      <c r="M846" s="1">
        <v>1.01846786E8</v>
      </c>
      <c r="N846" s="1" t="s">
        <v>3408</v>
      </c>
      <c r="O846" s="1" t="s">
        <v>3409</v>
      </c>
      <c r="P846" s="1" t="s">
        <v>3410</v>
      </c>
      <c r="Y846" s="1" t="s">
        <v>23</v>
      </c>
      <c r="Z846" s="1" t="s">
        <v>3411</v>
      </c>
    </row>
    <row r="847" ht="15.75" customHeight="1">
      <c r="E847" s="1" t="s">
        <v>3412</v>
      </c>
      <c r="L847" s="1">
        <v>1233100.7574575758</v>
      </c>
      <c r="M847" s="1">
        <v>490243.0</v>
      </c>
      <c r="N847" s="1" t="s">
        <v>3413</v>
      </c>
      <c r="O847" s="1" t="s">
        <v>3414</v>
      </c>
      <c r="P847" s="1" t="s">
        <v>3415</v>
      </c>
      <c r="Y847" s="1" t="s">
        <v>23</v>
      </c>
      <c r="Z847" s="1" t="s">
        <v>3416</v>
      </c>
    </row>
    <row r="848" ht="15.75" customHeight="1">
      <c r="E848" s="1" t="s">
        <v>3417</v>
      </c>
      <c r="L848" s="1">
        <v>8.140787575E7</v>
      </c>
      <c r="M848" s="1">
        <v>5.4035026E7</v>
      </c>
      <c r="N848" s="1" t="s">
        <v>2900</v>
      </c>
      <c r="O848" s="1" t="s">
        <v>3418</v>
      </c>
      <c r="P848" s="1" t="s">
        <v>3419</v>
      </c>
      <c r="Y848" s="1" t="s">
        <v>23</v>
      </c>
      <c r="Z848" s="1" t="s">
        <v>474</v>
      </c>
    </row>
    <row r="849" ht="15.75" customHeight="1">
      <c r="E849" s="1" t="s">
        <v>3420</v>
      </c>
      <c r="L849" s="1">
        <v>661244.1666694445</v>
      </c>
      <c r="M849" s="1">
        <v>480421.5</v>
      </c>
      <c r="N849" s="1" t="s">
        <v>3421</v>
      </c>
      <c r="O849" s="1" t="s">
        <v>3422</v>
      </c>
      <c r="P849" s="1" t="s">
        <v>3423</v>
      </c>
      <c r="Y849" s="1" t="s">
        <v>23</v>
      </c>
      <c r="Z849" s="1" t="s">
        <v>3424</v>
      </c>
    </row>
    <row r="850" ht="15.75" customHeight="1">
      <c r="E850" s="1" t="s">
        <v>3425</v>
      </c>
      <c r="L850" s="1">
        <v>365829.5131714286</v>
      </c>
      <c r="M850" s="1">
        <v>277067.0</v>
      </c>
      <c r="N850" s="1" t="s">
        <v>3426</v>
      </c>
      <c r="O850" s="1" t="s">
        <v>3427</v>
      </c>
      <c r="P850" s="1" t="s">
        <v>3428</v>
      </c>
      <c r="Y850" s="1" t="s">
        <v>23</v>
      </c>
      <c r="Z850" s="1" t="s">
        <v>3429</v>
      </c>
    </row>
    <row r="851" ht="15.75" customHeight="1">
      <c r="E851" s="1" t="s">
        <v>3430</v>
      </c>
      <c r="L851" s="1">
        <v>924051.923676923</v>
      </c>
      <c r="M851" s="1">
        <v>235903.0</v>
      </c>
      <c r="Y851" s="1" t="s">
        <v>23</v>
      </c>
      <c r="Z851" s="1" t="s">
        <v>3431</v>
      </c>
    </row>
    <row r="852" ht="15.75" customHeight="1">
      <c r="E852" s="1" t="s">
        <v>3432</v>
      </c>
      <c r="L852" s="1">
        <v>1001151.8489611112</v>
      </c>
      <c r="M852" s="1">
        <v>676531.0</v>
      </c>
      <c r="Y852" s="1" t="s">
        <v>23</v>
      </c>
      <c r="Z852" s="1" t="s">
        <v>3433</v>
      </c>
    </row>
    <row r="853" ht="15.75" customHeight="1">
      <c r="E853" s="1" t="s">
        <v>3434</v>
      </c>
      <c r="L853" s="1">
        <v>1979280.921875</v>
      </c>
      <c r="M853" s="1">
        <v>1669983.5</v>
      </c>
      <c r="Y853" s="1" t="s">
        <v>23</v>
      </c>
      <c r="Z853" s="1" t="s">
        <v>3435</v>
      </c>
    </row>
    <row r="854" ht="15.75" customHeight="1">
      <c r="E854" s="1" t="s">
        <v>3436</v>
      </c>
      <c r="L854" s="1">
        <v>1.9760558423611112E7</v>
      </c>
      <c r="M854" s="1">
        <v>1.8187458E7</v>
      </c>
      <c r="N854" s="1" t="s">
        <v>3437</v>
      </c>
      <c r="O854" s="1" t="s">
        <v>3438</v>
      </c>
      <c r="P854" s="1" t="s">
        <v>3439</v>
      </c>
      <c r="Y854" s="1" t="s">
        <v>23</v>
      </c>
      <c r="Z854" s="1" t="s">
        <v>3440</v>
      </c>
    </row>
    <row r="855" ht="15.75" customHeight="1">
      <c r="E855" s="1" t="s">
        <v>3441</v>
      </c>
      <c r="L855" s="1">
        <v>4544936.4151800005</v>
      </c>
      <c r="M855" s="1">
        <v>2694505.0</v>
      </c>
      <c r="N855" s="1" t="s">
        <v>3442</v>
      </c>
      <c r="O855" s="1" t="s">
        <v>3443</v>
      </c>
      <c r="P855" s="1" t="s">
        <v>3444</v>
      </c>
      <c r="Y855" s="1" t="s">
        <v>23</v>
      </c>
      <c r="Z855" s="1" t="s">
        <v>3445</v>
      </c>
    </row>
    <row r="856" ht="15.75" customHeight="1">
      <c r="E856" s="1" t="s">
        <v>3446</v>
      </c>
      <c r="L856" s="1">
        <v>9446629.333333334</v>
      </c>
      <c r="M856" s="1">
        <v>6422388.0</v>
      </c>
      <c r="N856" s="1" t="s">
        <v>3082</v>
      </c>
      <c r="O856" s="1" t="s">
        <v>3447</v>
      </c>
      <c r="P856" s="1" t="s">
        <v>3448</v>
      </c>
      <c r="Y856" s="1" t="s">
        <v>23</v>
      </c>
      <c r="Z856" s="1" t="s">
        <v>412</v>
      </c>
    </row>
    <row r="857" ht="15.75" customHeight="1">
      <c r="E857" s="1" t="s">
        <v>3449</v>
      </c>
      <c r="L857" s="1">
        <v>230533.15075185185</v>
      </c>
      <c r="M857" s="1">
        <v>153190.0</v>
      </c>
      <c r="Y857" s="1" t="s">
        <v>23</v>
      </c>
      <c r="Z857" s="1" t="s">
        <v>3450</v>
      </c>
    </row>
    <row r="858" ht="15.75" customHeight="1">
      <c r="E858" s="1" t="s">
        <v>3451</v>
      </c>
      <c r="L858" s="1">
        <v>5.674975708506945E7</v>
      </c>
      <c r="M858" s="1">
        <v>1.3005965E7</v>
      </c>
      <c r="N858" s="1" t="s">
        <v>1668</v>
      </c>
      <c r="O858" s="1" t="s">
        <v>3452</v>
      </c>
      <c r="P858" s="1" t="s">
        <v>3453</v>
      </c>
      <c r="Y858" s="1" t="s">
        <v>23</v>
      </c>
    </row>
    <row r="859" ht="15.75" customHeight="1">
      <c r="E859" s="1" t="s">
        <v>3454</v>
      </c>
      <c r="L859" s="1">
        <v>3.4614225213709675E7</v>
      </c>
      <c r="M859" s="1">
        <v>1.8245416E7</v>
      </c>
      <c r="N859" s="1" t="s">
        <v>1661</v>
      </c>
      <c r="O859" s="1" t="s">
        <v>3455</v>
      </c>
      <c r="P859" s="1" t="s">
        <v>3456</v>
      </c>
      <c r="Y859" s="1" t="s">
        <v>23</v>
      </c>
      <c r="Z859" s="1" t="s">
        <v>3457</v>
      </c>
    </row>
    <row r="860" ht="15.75" customHeight="1">
      <c r="E860" s="1" t="s">
        <v>3458</v>
      </c>
      <c r="L860" s="1">
        <v>9263640.641972415</v>
      </c>
      <c r="M860" s="1">
        <v>3107802.0</v>
      </c>
      <c r="Y860" s="1" t="s">
        <v>23</v>
      </c>
    </row>
    <row r="861" ht="15.75" customHeight="1">
      <c r="E861" s="1" t="s">
        <v>3459</v>
      </c>
      <c r="L861" s="1">
        <v>9524798.916666666</v>
      </c>
      <c r="M861" s="1">
        <v>5142047.25</v>
      </c>
      <c r="Y861" s="1" t="s">
        <v>23</v>
      </c>
    </row>
    <row r="862" ht="15.75" customHeight="1">
      <c r="E862" s="1" t="s">
        <v>3460</v>
      </c>
      <c r="L862" s="1">
        <v>1634941.2727272727</v>
      </c>
      <c r="M862" s="1">
        <v>1083724.0</v>
      </c>
      <c r="N862" s="1" t="s">
        <v>1586</v>
      </c>
      <c r="O862" s="1" t="s">
        <v>3461</v>
      </c>
      <c r="P862" s="1" t="s">
        <v>3462</v>
      </c>
      <c r="Y862" s="1" t="s">
        <v>23</v>
      </c>
      <c r="Z862" s="1" t="s">
        <v>3463</v>
      </c>
    </row>
    <row r="863" ht="15.75" customHeight="1">
      <c r="E863" s="1" t="s">
        <v>3464</v>
      </c>
      <c r="L863" s="1">
        <v>6.187828623571429E7</v>
      </c>
      <c r="M863" s="1">
        <v>2.725084E7</v>
      </c>
      <c r="Y863" s="1" t="s">
        <v>23</v>
      </c>
      <c r="Z863" s="1" t="s">
        <v>3465</v>
      </c>
    </row>
    <row r="864" ht="15.75" customHeight="1">
      <c r="E864" s="1" t="s">
        <v>3466</v>
      </c>
      <c r="L864" s="1">
        <v>398100.1875</v>
      </c>
      <c r="M864" s="1">
        <v>175432.0</v>
      </c>
      <c r="Y864" s="1" t="s">
        <v>23</v>
      </c>
    </row>
    <row r="865" ht="15.75" customHeight="1">
      <c r="E865" s="1" t="s">
        <v>3467</v>
      </c>
      <c r="L865" s="1">
        <v>1069276.087890625</v>
      </c>
      <c r="M865" s="1">
        <v>897604.0</v>
      </c>
      <c r="Y865" s="1" t="s">
        <v>23</v>
      </c>
    </row>
    <row r="866" ht="15.75" customHeight="1">
      <c r="E866" s="1" t="s">
        <v>3468</v>
      </c>
      <c r="L866" s="1">
        <v>361759.7081708333</v>
      </c>
      <c r="M866" s="1">
        <v>239757.5</v>
      </c>
      <c r="Y866" s="1" t="s">
        <v>23</v>
      </c>
    </row>
    <row r="867" ht="15.75" customHeight="1">
      <c r="E867" s="1" t="s">
        <v>3469</v>
      </c>
      <c r="L867" s="1">
        <v>4.435658431111111E8</v>
      </c>
      <c r="M867" s="1">
        <v>3.95749936E8</v>
      </c>
      <c r="N867" s="1" t="s">
        <v>1324</v>
      </c>
      <c r="O867" s="1" t="s">
        <v>3470</v>
      </c>
      <c r="P867" s="1" t="s">
        <v>3471</v>
      </c>
      <c r="Y867" s="1" t="s">
        <v>23</v>
      </c>
      <c r="Z867" s="1" t="s">
        <v>429</v>
      </c>
    </row>
    <row r="868" ht="15.75" customHeight="1">
      <c r="E868" s="1" t="s">
        <v>3472</v>
      </c>
      <c r="L868" s="1">
        <v>1880067.730137143</v>
      </c>
      <c r="M868" s="1">
        <v>858040.9375</v>
      </c>
      <c r="N868" s="1" t="s">
        <v>3473</v>
      </c>
      <c r="O868" s="1" t="s">
        <v>3474</v>
      </c>
      <c r="P868" s="1" t="s">
        <v>3475</v>
      </c>
      <c r="Y868" s="1" t="s">
        <v>23</v>
      </c>
      <c r="Z868" s="1" t="s">
        <v>3476</v>
      </c>
    </row>
    <row r="869" ht="15.75" customHeight="1">
      <c r="E869" s="1" t="s">
        <v>3477</v>
      </c>
      <c r="L869" s="1">
        <v>5202448.319444444</v>
      </c>
      <c r="M869" s="1">
        <v>4638606.0</v>
      </c>
      <c r="N869" s="1" t="s">
        <v>2120</v>
      </c>
      <c r="O869" s="1" t="s">
        <v>3478</v>
      </c>
      <c r="P869" s="1" t="s">
        <v>3479</v>
      </c>
      <c r="Y869" s="1" t="s">
        <v>23</v>
      </c>
      <c r="Z869" s="1" t="s">
        <v>3480</v>
      </c>
    </row>
    <row r="870" ht="15.75" customHeight="1">
      <c r="E870" s="1" t="s">
        <v>3481</v>
      </c>
      <c r="L870" s="1">
        <v>1.18363875E7</v>
      </c>
      <c r="M870" s="1">
        <v>6945520.0</v>
      </c>
      <c r="N870" s="1" t="s">
        <v>3482</v>
      </c>
      <c r="O870" s="1" t="s">
        <v>3483</v>
      </c>
      <c r="P870" s="1" t="s">
        <v>3484</v>
      </c>
      <c r="Y870" s="1" t="s">
        <v>23</v>
      </c>
      <c r="Z870" s="1" t="s">
        <v>3485</v>
      </c>
    </row>
    <row r="871" ht="15.75" customHeight="1">
      <c r="E871" s="1" t="s">
        <v>3486</v>
      </c>
      <c r="L871" s="1">
        <v>495760.081526087</v>
      </c>
      <c r="M871" s="1">
        <v>264718.0</v>
      </c>
      <c r="N871" s="1" t="s">
        <v>1069</v>
      </c>
      <c r="O871" s="1" t="s">
        <v>3487</v>
      </c>
      <c r="P871" s="1" t="s">
        <v>3488</v>
      </c>
      <c r="Y871" s="1" t="s">
        <v>23</v>
      </c>
      <c r="Z871" s="1" t="s">
        <v>334</v>
      </c>
    </row>
    <row r="872" ht="15.75" customHeight="1">
      <c r="E872" s="1" t="s">
        <v>3489</v>
      </c>
      <c r="L872" s="1">
        <v>1188395.7461</v>
      </c>
      <c r="M872" s="1">
        <v>426193.4922</v>
      </c>
      <c r="Y872" s="1" t="s">
        <v>23</v>
      </c>
    </row>
    <row r="873" ht="15.75" customHeight="1">
      <c r="E873" s="1" t="s">
        <v>3490</v>
      </c>
      <c r="L873" s="1">
        <v>527590.074523077</v>
      </c>
      <c r="M873" s="1">
        <v>393262.50005</v>
      </c>
      <c r="N873" s="1" t="s">
        <v>999</v>
      </c>
      <c r="O873" s="1" t="s">
        <v>3491</v>
      </c>
      <c r="P873" s="1" t="s">
        <v>3492</v>
      </c>
      <c r="Y873" s="1" t="s">
        <v>23</v>
      </c>
      <c r="Z873" s="1" t="s">
        <v>346</v>
      </c>
    </row>
    <row r="874" ht="15.75" customHeight="1">
      <c r="E874" s="1" t="s">
        <v>3493</v>
      </c>
      <c r="L874" s="1">
        <v>3469108.5714285714</v>
      </c>
      <c r="M874" s="1">
        <v>201338.0</v>
      </c>
      <c r="Y874" s="1" t="s">
        <v>23</v>
      </c>
      <c r="Z874" s="1" t="s">
        <v>3494</v>
      </c>
    </row>
    <row r="875" ht="15.75" customHeight="1">
      <c r="E875" s="1" t="s">
        <v>3495</v>
      </c>
      <c r="L875" s="1">
        <v>4.6837698083333336E7</v>
      </c>
      <c r="M875" s="1">
        <v>4.0842424E7</v>
      </c>
      <c r="N875" s="1" t="s">
        <v>3496</v>
      </c>
      <c r="Y875" s="1" t="s">
        <v>23</v>
      </c>
      <c r="Z875" s="1" t="s">
        <v>418</v>
      </c>
    </row>
    <row r="876" ht="15.75" customHeight="1">
      <c r="E876" s="1" t="s">
        <v>3497</v>
      </c>
      <c r="L876" s="1">
        <v>832633.6655291667</v>
      </c>
      <c r="M876" s="1">
        <v>351662.98439999996</v>
      </c>
      <c r="N876" s="1" t="s">
        <v>3498</v>
      </c>
      <c r="O876" s="1" t="s">
        <v>3499</v>
      </c>
      <c r="P876" s="1" t="s">
        <v>3500</v>
      </c>
      <c r="Y876" s="1" t="s">
        <v>23</v>
      </c>
      <c r="Z876" s="1" t="s">
        <v>3501</v>
      </c>
    </row>
    <row r="877" ht="15.75" customHeight="1">
      <c r="E877" s="1" t="s">
        <v>3502</v>
      </c>
      <c r="L877" s="1">
        <v>263572.1904761905</v>
      </c>
      <c r="M877" s="1">
        <v>191341.0</v>
      </c>
      <c r="N877" s="1" t="s">
        <v>3503</v>
      </c>
      <c r="O877" s="1" t="s">
        <v>3504</v>
      </c>
      <c r="P877" s="1" t="s">
        <v>3505</v>
      </c>
      <c r="Y877" s="1" t="s">
        <v>23</v>
      </c>
      <c r="Z877" s="1" t="s">
        <v>3506</v>
      </c>
    </row>
    <row r="878" ht="15.75" customHeight="1">
      <c r="E878" s="1" t="s">
        <v>3507</v>
      </c>
      <c r="L878" s="1">
        <v>8358767.674280769</v>
      </c>
      <c r="M878" s="1">
        <v>5545395.75</v>
      </c>
      <c r="N878" s="1" t="s">
        <v>1507</v>
      </c>
      <c r="Y878" s="1" t="s">
        <v>23</v>
      </c>
      <c r="Z878" s="1" t="s">
        <v>3508</v>
      </c>
    </row>
    <row r="880" ht="15.75" customHeight="1">
      <c r="A880" s="1" t="s">
        <v>44</v>
      </c>
      <c r="B880" s="15" t="s">
        <v>45</v>
      </c>
      <c r="C880" s="2" t="s">
        <v>3509</v>
      </c>
      <c r="D880" s="2" t="s">
        <v>636</v>
      </c>
      <c r="E880" s="1" t="s">
        <v>3510</v>
      </c>
      <c r="G880" s="1">
        <v>23.483</v>
      </c>
      <c r="H880" s="2">
        <v>37.0</v>
      </c>
      <c r="I880" s="105">
        <v>2908.61</v>
      </c>
      <c r="J880" s="1">
        <v>3013.7722</v>
      </c>
      <c r="K880" s="105">
        <v>39.0</v>
      </c>
      <c r="L880" s="105">
        <v>3004.13</v>
      </c>
      <c r="M880" s="1">
        <v>2879.596</v>
      </c>
      <c r="Y880" s="1" t="s">
        <v>23</v>
      </c>
    </row>
    <row r="881" ht="15.75" customHeight="1">
      <c r="A881" s="1" t="s">
        <v>44</v>
      </c>
      <c r="B881" s="15" t="s">
        <v>45</v>
      </c>
      <c r="C881" s="2" t="s">
        <v>3509</v>
      </c>
      <c r="D881" s="2" t="s">
        <v>636</v>
      </c>
      <c r="E881" s="1" t="s">
        <v>3511</v>
      </c>
      <c r="G881" s="1">
        <v>8.37</v>
      </c>
      <c r="H881" s="2">
        <v>37.0</v>
      </c>
      <c r="I881" s="105">
        <v>20605.81</v>
      </c>
      <c r="J881" s="103">
        <v>19072.2</v>
      </c>
      <c r="K881" s="105">
        <v>39.0</v>
      </c>
      <c r="L881" s="105">
        <v>21341.4</v>
      </c>
      <c r="M881" s="103">
        <v>17542.11</v>
      </c>
      <c r="Y881" s="1" t="s">
        <v>23</v>
      </c>
    </row>
    <row r="882" ht="15.75" customHeight="1">
      <c r="A882" s="1" t="s">
        <v>44</v>
      </c>
      <c r="B882" s="15" t="s">
        <v>45</v>
      </c>
      <c r="C882" s="2" t="s">
        <v>3509</v>
      </c>
      <c r="D882" s="2" t="s">
        <v>636</v>
      </c>
      <c r="E882" s="1" t="s">
        <v>3512</v>
      </c>
      <c r="G882" s="1">
        <v>8.295</v>
      </c>
      <c r="H882" s="2">
        <v>37.0</v>
      </c>
      <c r="I882" s="105">
        <v>10052.66</v>
      </c>
      <c r="J882" s="103">
        <v>10773.13</v>
      </c>
      <c r="K882" s="105">
        <v>39.0</v>
      </c>
      <c r="L882" s="105">
        <v>14258.98</v>
      </c>
      <c r="M882" s="103">
        <v>8439.681</v>
      </c>
      <c r="Y882" s="1" t="s">
        <v>23</v>
      </c>
    </row>
    <row r="883" ht="15.75" customHeight="1">
      <c r="A883" s="1" t="s">
        <v>44</v>
      </c>
      <c r="B883" s="15" t="s">
        <v>45</v>
      </c>
      <c r="C883" s="2" t="s">
        <v>3509</v>
      </c>
      <c r="D883" s="2" t="s">
        <v>636</v>
      </c>
      <c r="E883" s="1" t="s">
        <v>3513</v>
      </c>
      <c r="G883" s="1">
        <v>7.72</v>
      </c>
      <c r="H883" s="2">
        <v>37.0</v>
      </c>
      <c r="I883" s="105">
        <v>36532.13</v>
      </c>
      <c r="J883" s="105"/>
      <c r="K883" s="105">
        <v>39.0</v>
      </c>
      <c r="L883" s="105">
        <v>40680.01</v>
      </c>
      <c r="Y883" s="1" t="s">
        <v>23</v>
      </c>
    </row>
    <row r="884" ht="15.75" customHeight="1">
      <c r="A884" s="1" t="s">
        <v>44</v>
      </c>
      <c r="B884" s="15" t="s">
        <v>45</v>
      </c>
      <c r="C884" s="2" t="s">
        <v>3509</v>
      </c>
      <c r="D884" s="2" t="s">
        <v>636</v>
      </c>
      <c r="E884" s="1" t="s">
        <v>3514</v>
      </c>
      <c r="G884" s="1">
        <v>8.502</v>
      </c>
      <c r="H884" s="2">
        <v>37.0</v>
      </c>
      <c r="I884" s="105">
        <v>8879.12</v>
      </c>
      <c r="J884" s="105"/>
      <c r="K884" s="105">
        <v>39.0</v>
      </c>
      <c r="L884" s="105">
        <v>9321.9</v>
      </c>
      <c r="Y884" s="1" t="s">
        <v>23</v>
      </c>
    </row>
    <row r="885" ht="15.75" customHeight="1">
      <c r="A885" s="1" t="s">
        <v>44</v>
      </c>
      <c r="B885" s="15" t="s">
        <v>45</v>
      </c>
      <c r="C885" s="2" t="s">
        <v>3509</v>
      </c>
      <c r="D885" s="2" t="s">
        <v>636</v>
      </c>
      <c r="E885" s="1" t="s">
        <v>3515</v>
      </c>
      <c r="G885" s="1">
        <v>8.245</v>
      </c>
      <c r="H885" s="2">
        <v>37.0</v>
      </c>
      <c r="I885" s="105">
        <v>13160.42</v>
      </c>
      <c r="J885" s="105"/>
      <c r="K885" s="105">
        <v>39.0</v>
      </c>
      <c r="L885" s="105">
        <v>27006.87</v>
      </c>
      <c r="Y885" s="1" t="s">
        <v>23</v>
      </c>
    </row>
    <row r="886" ht="15.75" customHeight="1">
      <c r="A886" s="1" t="s">
        <v>44</v>
      </c>
      <c r="B886" s="15" t="s">
        <v>45</v>
      </c>
      <c r="C886" s="2" t="s">
        <v>3509</v>
      </c>
      <c r="D886" s="2" t="s">
        <v>636</v>
      </c>
      <c r="E886" s="1" t="s">
        <v>3516</v>
      </c>
      <c r="G886" s="1">
        <v>7.45</v>
      </c>
      <c r="H886" s="2">
        <v>37.0</v>
      </c>
      <c r="I886" s="105">
        <v>10407.09</v>
      </c>
      <c r="J886" s="105"/>
      <c r="K886" s="105">
        <v>39.0</v>
      </c>
      <c r="L886" s="105">
        <v>10852.13</v>
      </c>
      <c r="Y886" s="1" t="s">
        <v>23</v>
      </c>
    </row>
    <row r="887" ht="15.75" customHeight="1">
      <c r="A887" s="1" t="s">
        <v>44</v>
      </c>
      <c r="B887" s="15" t="s">
        <v>45</v>
      </c>
      <c r="C887" s="2" t="s">
        <v>3509</v>
      </c>
      <c r="D887" s="2" t="s">
        <v>636</v>
      </c>
      <c r="E887" s="1" t="s">
        <v>3517</v>
      </c>
      <c r="G887" s="1">
        <v>11.985</v>
      </c>
      <c r="H887" s="2">
        <v>37.0</v>
      </c>
      <c r="I887" s="105">
        <v>4202.49</v>
      </c>
      <c r="J887" s="105"/>
      <c r="K887" s="105">
        <v>39.0</v>
      </c>
      <c r="L887" s="105">
        <v>3964.26</v>
      </c>
      <c r="Y887" s="1" t="s">
        <v>23</v>
      </c>
    </row>
    <row r="888" ht="15.75" customHeight="1">
      <c r="A888" s="1" t="s">
        <v>44</v>
      </c>
      <c r="B888" s="15" t="s">
        <v>45</v>
      </c>
      <c r="C888" s="2" t="s">
        <v>3509</v>
      </c>
      <c r="D888" s="2" t="s">
        <v>636</v>
      </c>
      <c r="E888" s="1" t="s">
        <v>3518</v>
      </c>
      <c r="G888" s="1">
        <v>7.482</v>
      </c>
      <c r="H888" s="2">
        <v>37.0</v>
      </c>
      <c r="I888" s="105">
        <v>10333.13</v>
      </c>
      <c r="J888" s="105"/>
      <c r="K888" s="105">
        <v>39.0</v>
      </c>
      <c r="L888" s="105">
        <v>10763.9</v>
      </c>
      <c r="Y888" s="1" t="s">
        <v>23</v>
      </c>
    </row>
    <row r="889" ht="15.75" customHeight="1">
      <c r="A889" s="1" t="s">
        <v>44</v>
      </c>
      <c r="B889" s="15" t="s">
        <v>45</v>
      </c>
      <c r="C889" s="2" t="s">
        <v>3509</v>
      </c>
      <c r="D889" s="2" t="s">
        <v>636</v>
      </c>
      <c r="E889" s="1" t="s">
        <v>3519</v>
      </c>
      <c r="G889" s="1">
        <v>7.426</v>
      </c>
      <c r="H889" s="2">
        <v>37.0</v>
      </c>
      <c r="I889" s="105">
        <v>236781.05</v>
      </c>
      <c r="J889" s="105"/>
      <c r="K889" s="105">
        <v>39.0</v>
      </c>
      <c r="L889" s="105">
        <v>224216.13</v>
      </c>
      <c r="Y889" s="1" t="s">
        <v>23</v>
      </c>
    </row>
    <row r="890" ht="15.75" customHeight="1">
      <c r="A890" s="1" t="s">
        <v>44</v>
      </c>
      <c r="B890" s="15" t="s">
        <v>45</v>
      </c>
      <c r="C890" s="2" t="s">
        <v>3509</v>
      </c>
      <c r="D890" s="2" t="s">
        <v>636</v>
      </c>
      <c r="E890" s="1" t="s">
        <v>3520</v>
      </c>
      <c r="G890" s="1">
        <v>27.424</v>
      </c>
      <c r="H890" s="2">
        <v>37.0</v>
      </c>
      <c r="I890" s="105">
        <v>17519.23</v>
      </c>
      <c r="J890" s="105"/>
      <c r="K890" s="105">
        <v>39.0</v>
      </c>
      <c r="L890" s="105">
        <v>18010.28</v>
      </c>
      <c r="Y890" s="1" t="s">
        <v>23</v>
      </c>
    </row>
    <row r="891" ht="15.75" customHeight="1">
      <c r="A891" s="1" t="s">
        <v>44</v>
      </c>
      <c r="B891" s="15" t="s">
        <v>45</v>
      </c>
      <c r="C891" s="2" t="s">
        <v>3509</v>
      </c>
      <c r="D891" s="2" t="s">
        <v>636</v>
      </c>
      <c r="E891" s="1" t="s">
        <v>3521</v>
      </c>
      <c r="G891" s="1">
        <v>21.757</v>
      </c>
      <c r="H891" s="2">
        <v>37.0</v>
      </c>
      <c r="I891" s="105">
        <v>6585.3</v>
      </c>
      <c r="J891" s="105"/>
      <c r="K891" s="105">
        <v>39.0</v>
      </c>
      <c r="L891" s="105">
        <v>6843.98</v>
      </c>
      <c r="Y891" s="1" t="s">
        <v>23</v>
      </c>
    </row>
    <row r="892" ht="15.75" customHeight="1">
      <c r="A892" s="1" t="s">
        <v>44</v>
      </c>
      <c r="B892" s="15" t="s">
        <v>45</v>
      </c>
      <c r="C892" s="2" t="s">
        <v>3509</v>
      </c>
      <c r="D892" s="2" t="s">
        <v>636</v>
      </c>
      <c r="E892" s="1" t="s">
        <v>3522</v>
      </c>
      <c r="G892" s="1">
        <v>14.882</v>
      </c>
      <c r="H892" s="2">
        <v>37.0</v>
      </c>
      <c r="I892" s="105">
        <v>1586.74</v>
      </c>
      <c r="J892" s="105"/>
      <c r="K892" s="105">
        <v>39.0</v>
      </c>
      <c r="L892" s="105">
        <v>1672.01</v>
      </c>
      <c r="Y892" s="1" t="s">
        <v>23</v>
      </c>
    </row>
    <row r="893" ht="15.75" customHeight="1">
      <c r="A893" s="1" t="s">
        <v>44</v>
      </c>
      <c r="B893" s="15" t="s">
        <v>45</v>
      </c>
      <c r="C893" s="2" t="s">
        <v>3509</v>
      </c>
      <c r="D893" s="2" t="s">
        <v>636</v>
      </c>
      <c r="E893" s="1" t="s">
        <v>3523</v>
      </c>
      <c r="G893" s="1">
        <v>14.369</v>
      </c>
      <c r="H893" s="2">
        <v>37.0</v>
      </c>
      <c r="I893" s="105">
        <v>21145.82</v>
      </c>
      <c r="J893" s="105"/>
      <c r="K893" s="105">
        <v>39.0</v>
      </c>
      <c r="L893" s="105">
        <v>21364.1</v>
      </c>
      <c r="Y893" s="1" t="s">
        <v>23</v>
      </c>
    </row>
    <row r="894" ht="15.75" customHeight="1">
      <c r="A894" s="1" t="s">
        <v>44</v>
      </c>
      <c r="B894" s="15" t="s">
        <v>45</v>
      </c>
      <c r="C894" s="2" t="s">
        <v>3509</v>
      </c>
      <c r="D894" s="2" t="s">
        <v>636</v>
      </c>
      <c r="E894" s="1" t="s">
        <v>3524</v>
      </c>
      <c r="G894" s="1">
        <v>27.556</v>
      </c>
      <c r="H894" s="2">
        <v>37.0</v>
      </c>
      <c r="I894" s="105">
        <v>171484.56</v>
      </c>
      <c r="J894" s="105"/>
      <c r="K894" s="105">
        <v>39.0</v>
      </c>
      <c r="L894" s="105">
        <v>177577.68</v>
      </c>
      <c r="Y894" s="1" t="s">
        <v>23</v>
      </c>
    </row>
    <row r="895" ht="15.75" customHeight="1">
      <c r="A895" s="1" t="s">
        <v>44</v>
      </c>
      <c r="B895" s="15" t="s">
        <v>45</v>
      </c>
      <c r="C895" s="2" t="s">
        <v>3509</v>
      </c>
      <c r="D895" s="2" t="s">
        <v>636</v>
      </c>
      <c r="E895" s="1" t="s">
        <v>3525</v>
      </c>
      <c r="G895" s="1">
        <v>12.461</v>
      </c>
      <c r="H895" s="2">
        <v>37.0</v>
      </c>
      <c r="I895" s="105">
        <v>5898.55</v>
      </c>
      <c r="J895" s="105"/>
      <c r="K895" s="105">
        <v>39.0</v>
      </c>
      <c r="L895" s="105">
        <v>6037.13</v>
      </c>
      <c r="Y895" s="1" t="s">
        <v>23</v>
      </c>
    </row>
    <row r="896" ht="15.75" customHeight="1">
      <c r="A896" s="1" t="s">
        <v>44</v>
      </c>
      <c r="B896" s="15" t="s">
        <v>45</v>
      </c>
      <c r="C896" s="2" t="s">
        <v>3509</v>
      </c>
      <c r="D896" s="2" t="s">
        <v>636</v>
      </c>
      <c r="E896" s="1" t="s">
        <v>3526</v>
      </c>
      <c r="G896" s="1">
        <v>13.55</v>
      </c>
      <c r="H896" s="2">
        <v>37.0</v>
      </c>
      <c r="I896" s="105">
        <v>24487.28</v>
      </c>
      <c r="J896" s="105"/>
      <c r="K896" s="105">
        <v>39.0</v>
      </c>
      <c r="L896" s="105">
        <v>23208.57</v>
      </c>
      <c r="Y896" s="1" t="s">
        <v>23</v>
      </c>
    </row>
    <row r="897" ht="15.75" customHeight="1">
      <c r="A897" s="1" t="s">
        <v>44</v>
      </c>
      <c r="B897" s="15" t="s">
        <v>45</v>
      </c>
      <c r="C897" s="2" t="s">
        <v>3509</v>
      </c>
      <c r="D897" s="2" t="s">
        <v>636</v>
      </c>
      <c r="E897" s="1" t="s">
        <v>3527</v>
      </c>
      <c r="G897" s="1">
        <v>17.161</v>
      </c>
      <c r="H897" s="2">
        <v>37.0</v>
      </c>
      <c r="I897" s="105">
        <v>15940.35</v>
      </c>
      <c r="J897" s="105"/>
      <c r="K897" s="105">
        <v>39.0</v>
      </c>
      <c r="L897" s="105">
        <v>18120.18</v>
      </c>
      <c r="Y897" s="1" t="s">
        <v>23</v>
      </c>
    </row>
    <row r="898" ht="15.75" customHeight="1">
      <c r="A898" s="1" t="s">
        <v>44</v>
      </c>
      <c r="B898" s="15" t="s">
        <v>45</v>
      </c>
      <c r="C898" s="2" t="s">
        <v>3509</v>
      </c>
      <c r="D898" s="2" t="s">
        <v>636</v>
      </c>
      <c r="E898" s="1" t="s">
        <v>3528</v>
      </c>
      <c r="G898" s="1">
        <v>13.268</v>
      </c>
      <c r="H898" s="2">
        <v>37.0</v>
      </c>
      <c r="I898" s="105">
        <v>51519.47</v>
      </c>
      <c r="J898" s="105"/>
      <c r="K898" s="105">
        <v>39.0</v>
      </c>
      <c r="L898" s="105">
        <v>55317.34</v>
      </c>
      <c r="Y898" s="1" t="s">
        <v>23</v>
      </c>
    </row>
    <row r="899" ht="15.75" customHeight="1">
      <c r="A899" s="1" t="s">
        <v>44</v>
      </c>
      <c r="B899" s="15" t="s">
        <v>45</v>
      </c>
      <c r="C899" s="2" t="s">
        <v>3509</v>
      </c>
      <c r="D899" s="2" t="s">
        <v>636</v>
      </c>
      <c r="E899" s="1" t="s">
        <v>3529</v>
      </c>
      <c r="G899" s="1">
        <v>13.318</v>
      </c>
      <c r="H899" s="2">
        <v>37.0</v>
      </c>
      <c r="I899" s="105">
        <v>21282.31</v>
      </c>
      <c r="J899" s="105"/>
      <c r="K899" s="105">
        <v>39.0</v>
      </c>
      <c r="L899" s="105">
        <v>22357.78</v>
      </c>
      <c r="Y899" s="1" t="s">
        <v>23</v>
      </c>
    </row>
    <row r="900" ht="15.75" customHeight="1">
      <c r="A900" s="1" t="s">
        <v>44</v>
      </c>
      <c r="B900" s="15" t="s">
        <v>45</v>
      </c>
      <c r="C900" s="2" t="s">
        <v>3509</v>
      </c>
      <c r="D900" s="2" t="s">
        <v>636</v>
      </c>
      <c r="E900" s="1" t="s">
        <v>3530</v>
      </c>
      <c r="G900" s="1">
        <v>9.847</v>
      </c>
      <c r="H900" s="2">
        <v>37.0</v>
      </c>
      <c r="I900" s="105">
        <v>108179.9</v>
      </c>
      <c r="J900" s="105"/>
      <c r="K900" s="105">
        <v>39.0</v>
      </c>
      <c r="L900" s="105">
        <v>118343.62</v>
      </c>
      <c r="Y900" s="1" t="s">
        <v>23</v>
      </c>
    </row>
    <row r="901" ht="15.75" customHeight="1">
      <c r="A901" s="1" t="s">
        <v>44</v>
      </c>
      <c r="B901" s="15" t="s">
        <v>45</v>
      </c>
      <c r="C901" s="2" t="s">
        <v>3509</v>
      </c>
      <c r="D901" s="2" t="s">
        <v>636</v>
      </c>
      <c r="E901" s="1" t="s">
        <v>406</v>
      </c>
      <c r="G901" s="1">
        <v>10.322</v>
      </c>
      <c r="H901" s="2">
        <v>37.0</v>
      </c>
      <c r="I901" s="105">
        <v>58019.84</v>
      </c>
      <c r="J901" s="105"/>
      <c r="K901" s="105">
        <v>39.0</v>
      </c>
      <c r="L901" s="105">
        <v>63238.16</v>
      </c>
      <c r="Y901" s="1" t="s">
        <v>23</v>
      </c>
    </row>
    <row r="902" ht="15.75" customHeight="1">
      <c r="A902" s="1" t="s">
        <v>44</v>
      </c>
      <c r="B902" s="15" t="s">
        <v>45</v>
      </c>
      <c r="C902" s="2" t="s">
        <v>3509</v>
      </c>
      <c r="D902" s="2" t="s">
        <v>636</v>
      </c>
      <c r="E902" s="1" t="s">
        <v>3531</v>
      </c>
      <c r="G902" s="1">
        <v>16.334</v>
      </c>
      <c r="H902" s="2">
        <v>37.0</v>
      </c>
      <c r="I902" s="105">
        <v>19687.82</v>
      </c>
      <c r="J902" s="105"/>
      <c r="K902" s="105">
        <v>39.0</v>
      </c>
      <c r="L902" s="105">
        <v>19552.47</v>
      </c>
      <c r="Y902" s="1" t="s">
        <v>23</v>
      </c>
    </row>
    <row r="903" ht="15.75" customHeight="1">
      <c r="A903" s="1" t="s">
        <v>44</v>
      </c>
      <c r="B903" s="15" t="s">
        <v>45</v>
      </c>
      <c r="C903" s="2" t="s">
        <v>3509</v>
      </c>
      <c r="D903" s="2" t="s">
        <v>636</v>
      </c>
      <c r="E903" s="1" t="s">
        <v>413</v>
      </c>
      <c r="G903" s="1">
        <v>16.409</v>
      </c>
      <c r="H903" s="2">
        <v>37.0</v>
      </c>
      <c r="I903" s="105">
        <v>4837.61</v>
      </c>
      <c r="J903" s="105"/>
      <c r="K903" s="105">
        <v>39.0</v>
      </c>
      <c r="L903" s="105">
        <v>5582.79</v>
      </c>
      <c r="Y903" s="1" t="s">
        <v>23</v>
      </c>
    </row>
    <row r="904" ht="15.75" customHeight="1">
      <c r="A904" s="1" t="s">
        <v>44</v>
      </c>
      <c r="B904" s="15" t="s">
        <v>45</v>
      </c>
      <c r="C904" s="2" t="s">
        <v>3509</v>
      </c>
      <c r="D904" s="2" t="s">
        <v>636</v>
      </c>
      <c r="E904" s="1" t="s">
        <v>3532</v>
      </c>
      <c r="G904" s="1">
        <v>8.533</v>
      </c>
      <c r="H904" s="2">
        <v>37.0</v>
      </c>
      <c r="I904" s="105">
        <v>33515.49</v>
      </c>
      <c r="J904" s="105"/>
      <c r="K904" s="105">
        <v>39.0</v>
      </c>
      <c r="L904" s="105">
        <v>33584.4</v>
      </c>
      <c r="Y904" s="1" t="s">
        <v>23</v>
      </c>
    </row>
    <row r="905" ht="15.75" customHeight="1">
      <c r="A905" s="1" t="s">
        <v>44</v>
      </c>
      <c r="B905" s="15" t="s">
        <v>45</v>
      </c>
      <c r="C905" s="2" t="s">
        <v>3509</v>
      </c>
      <c r="D905" s="2" t="s">
        <v>636</v>
      </c>
      <c r="E905" s="1" t="s">
        <v>3533</v>
      </c>
      <c r="G905" s="1">
        <v>10.748</v>
      </c>
      <c r="H905" s="2">
        <v>37.0</v>
      </c>
      <c r="I905" s="105">
        <v>10972.76</v>
      </c>
      <c r="J905" s="105"/>
      <c r="K905" s="105">
        <v>39.0</v>
      </c>
      <c r="L905" s="105">
        <v>10563.22</v>
      </c>
      <c r="Y905" s="1" t="s">
        <v>23</v>
      </c>
    </row>
    <row r="906" ht="15.75" customHeight="1">
      <c r="A906" s="1" t="s">
        <v>44</v>
      </c>
      <c r="B906" s="15" t="s">
        <v>45</v>
      </c>
      <c r="C906" s="2" t="s">
        <v>3509</v>
      </c>
      <c r="D906" s="2" t="s">
        <v>636</v>
      </c>
      <c r="E906" s="1" t="s">
        <v>3534</v>
      </c>
      <c r="G906" s="1">
        <v>7.94</v>
      </c>
      <c r="H906" s="2">
        <v>37.0</v>
      </c>
      <c r="I906" s="105">
        <v>48891.94</v>
      </c>
      <c r="J906" s="105"/>
      <c r="K906" s="105">
        <v>39.0</v>
      </c>
      <c r="L906" s="105">
        <v>68921.2</v>
      </c>
      <c r="Y906" s="1" t="s">
        <v>23</v>
      </c>
    </row>
    <row r="907" ht="15.75" customHeight="1">
      <c r="A907" s="1" t="s">
        <v>44</v>
      </c>
      <c r="B907" s="15" t="s">
        <v>45</v>
      </c>
      <c r="C907" s="2" t="s">
        <v>3509</v>
      </c>
      <c r="D907" s="2" t="s">
        <v>636</v>
      </c>
      <c r="E907" s="1" t="s">
        <v>3535</v>
      </c>
      <c r="G907" s="1">
        <v>6.807</v>
      </c>
      <c r="H907" s="2">
        <v>37.0</v>
      </c>
      <c r="I907" s="105">
        <v>1972928.45</v>
      </c>
      <c r="J907" s="105"/>
      <c r="K907" s="105">
        <v>39.0</v>
      </c>
      <c r="L907" s="105">
        <v>1992846.33</v>
      </c>
      <c r="Y907" s="1" t="s">
        <v>23</v>
      </c>
    </row>
    <row r="908" ht="15.75" customHeight="1">
      <c r="A908" s="1" t="s">
        <v>44</v>
      </c>
      <c r="B908" s="15" t="s">
        <v>45</v>
      </c>
      <c r="C908" s="2" t="s">
        <v>3509</v>
      </c>
      <c r="D908" s="2" t="s">
        <v>636</v>
      </c>
      <c r="E908" s="1" t="s">
        <v>3536</v>
      </c>
      <c r="G908" s="1">
        <v>8.22</v>
      </c>
      <c r="H908" s="2">
        <v>37.0</v>
      </c>
      <c r="I908" s="105">
        <v>230087.9</v>
      </c>
      <c r="J908" s="105"/>
      <c r="K908" s="105">
        <v>39.0</v>
      </c>
      <c r="L908" s="105">
        <v>247702.77</v>
      </c>
      <c r="Y908" s="1" t="s">
        <v>23</v>
      </c>
    </row>
    <row r="909" ht="15.75" customHeight="1">
      <c r="A909" s="1" t="s">
        <v>44</v>
      </c>
      <c r="B909" s="15" t="s">
        <v>45</v>
      </c>
      <c r="C909" s="2" t="s">
        <v>3509</v>
      </c>
      <c r="D909" s="2" t="s">
        <v>636</v>
      </c>
      <c r="E909" s="1" t="s">
        <v>3537</v>
      </c>
      <c r="G909" s="1">
        <v>20.393</v>
      </c>
      <c r="H909" s="2">
        <v>37.0</v>
      </c>
      <c r="I909" s="105">
        <v>15536.61</v>
      </c>
      <c r="J909" s="105"/>
      <c r="K909" s="105">
        <v>39.0</v>
      </c>
      <c r="L909" s="105">
        <v>22050.35</v>
      </c>
      <c r="Y909" s="1" t="s">
        <v>23</v>
      </c>
    </row>
    <row r="910" ht="15.75" customHeight="1">
      <c r="A910" s="1" t="s">
        <v>44</v>
      </c>
      <c r="B910" s="15" t="s">
        <v>45</v>
      </c>
      <c r="C910" s="2" t="s">
        <v>3509</v>
      </c>
      <c r="D910" s="2" t="s">
        <v>636</v>
      </c>
      <c r="E910" s="1" t="s">
        <v>3538</v>
      </c>
      <c r="G910" s="1">
        <v>16.9</v>
      </c>
      <c r="H910" s="2">
        <v>37.0</v>
      </c>
      <c r="I910" s="105">
        <v>4066.48</v>
      </c>
      <c r="J910" s="105"/>
      <c r="K910" s="105">
        <v>39.0</v>
      </c>
      <c r="L910" s="105">
        <v>3601.6</v>
      </c>
      <c r="Y910" s="1" t="s">
        <v>23</v>
      </c>
    </row>
    <row r="911" ht="15.75" customHeight="1">
      <c r="A911" s="1" t="s">
        <v>44</v>
      </c>
      <c r="B911" s="15" t="s">
        <v>45</v>
      </c>
      <c r="C911" s="2" t="s">
        <v>3509</v>
      </c>
      <c r="D911" s="2" t="s">
        <v>636</v>
      </c>
      <c r="E911" s="1" t="s">
        <v>3539</v>
      </c>
      <c r="G911" s="1">
        <v>8.828</v>
      </c>
      <c r="H911" s="2">
        <v>37.0</v>
      </c>
      <c r="I911" s="105">
        <v>189946.0</v>
      </c>
      <c r="J911" s="105"/>
      <c r="K911" s="105">
        <v>39.0</v>
      </c>
      <c r="L911" s="105">
        <v>195352.64</v>
      </c>
      <c r="Y911" s="1" t="s">
        <v>23</v>
      </c>
    </row>
    <row r="912" ht="15.75" customHeight="1">
      <c r="A912" s="1" t="s">
        <v>44</v>
      </c>
      <c r="B912" s="15" t="s">
        <v>45</v>
      </c>
      <c r="C912" s="2" t="s">
        <v>3509</v>
      </c>
      <c r="D912" s="2" t="s">
        <v>636</v>
      </c>
      <c r="E912" s="1" t="s">
        <v>3540</v>
      </c>
      <c r="G912" s="1">
        <v>17.754</v>
      </c>
      <c r="H912" s="2">
        <v>37.0</v>
      </c>
      <c r="I912" s="105">
        <v>632176.73</v>
      </c>
      <c r="J912" s="105"/>
      <c r="K912" s="105">
        <v>39.0</v>
      </c>
      <c r="L912" s="105">
        <v>645612.73</v>
      </c>
      <c r="Y912" s="1" t="s">
        <v>23</v>
      </c>
    </row>
    <row r="913" ht="15.75" customHeight="1">
      <c r="A913" s="1" t="s">
        <v>44</v>
      </c>
      <c r="B913" s="15" t="s">
        <v>45</v>
      </c>
      <c r="C913" s="2" t="s">
        <v>3509</v>
      </c>
      <c r="D913" s="2" t="s">
        <v>636</v>
      </c>
      <c r="E913" s="1" t="s">
        <v>3541</v>
      </c>
      <c r="G913" s="1">
        <v>11.754</v>
      </c>
      <c r="H913" s="2">
        <v>37.0</v>
      </c>
      <c r="I913" s="105">
        <v>7286.28</v>
      </c>
      <c r="J913" s="105"/>
      <c r="K913" s="105">
        <v>39.0</v>
      </c>
      <c r="L913" s="105">
        <v>7671.89</v>
      </c>
      <c r="Y913" s="1" t="s">
        <v>23</v>
      </c>
    </row>
    <row r="914" ht="15.75" customHeight="1">
      <c r="A914" s="1" t="s">
        <v>44</v>
      </c>
      <c r="B914" s="15" t="s">
        <v>45</v>
      </c>
      <c r="C914" s="2" t="s">
        <v>3509</v>
      </c>
      <c r="D914" s="2" t="s">
        <v>636</v>
      </c>
      <c r="E914" s="1" t="s">
        <v>3542</v>
      </c>
      <c r="G914" s="1">
        <v>16.884</v>
      </c>
      <c r="H914" s="2">
        <v>37.0</v>
      </c>
      <c r="I914" s="105">
        <v>71384.85</v>
      </c>
      <c r="J914" s="105"/>
      <c r="K914" s="105">
        <v>39.0</v>
      </c>
      <c r="L914" s="105">
        <v>69963.16</v>
      </c>
      <c r="Y914" s="1" t="s">
        <v>23</v>
      </c>
    </row>
    <row r="915" ht="15.75" customHeight="1">
      <c r="A915" s="1" t="s">
        <v>44</v>
      </c>
      <c r="B915" s="15" t="s">
        <v>45</v>
      </c>
      <c r="C915" s="2" t="s">
        <v>3509</v>
      </c>
      <c r="D915" s="2" t="s">
        <v>636</v>
      </c>
      <c r="E915" s="1" t="s">
        <v>3543</v>
      </c>
      <c r="G915" s="1">
        <v>17.535</v>
      </c>
      <c r="H915" s="2">
        <v>37.0</v>
      </c>
      <c r="I915" s="105">
        <v>1.1338931E7</v>
      </c>
      <c r="J915" s="105"/>
      <c r="K915" s="105">
        <v>39.0</v>
      </c>
      <c r="L915" s="105">
        <v>1.168435349E7</v>
      </c>
      <c r="Y915" s="1" t="s">
        <v>23</v>
      </c>
    </row>
    <row r="916" ht="15.75" customHeight="1">
      <c r="A916" s="1" t="s">
        <v>44</v>
      </c>
      <c r="B916" s="15" t="s">
        <v>45</v>
      </c>
      <c r="C916" s="2" t="s">
        <v>3509</v>
      </c>
      <c r="D916" s="2" t="s">
        <v>636</v>
      </c>
      <c r="E916" s="1" t="s">
        <v>2484</v>
      </c>
      <c r="G916" s="1">
        <v>19.261</v>
      </c>
      <c r="H916" s="2">
        <v>37.0</v>
      </c>
      <c r="I916" s="105">
        <v>14501.69</v>
      </c>
      <c r="J916" s="105"/>
      <c r="K916" s="105">
        <v>39.0</v>
      </c>
      <c r="L916" s="105">
        <v>15070.73</v>
      </c>
      <c r="Y916" s="1" t="s">
        <v>23</v>
      </c>
    </row>
    <row r="917" ht="15.75" customHeight="1">
      <c r="A917" s="1" t="s">
        <v>44</v>
      </c>
      <c r="B917" s="15" t="s">
        <v>45</v>
      </c>
      <c r="C917" s="2" t="s">
        <v>3509</v>
      </c>
      <c r="D917" s="2" t="s">
        <v>636</v>
      </c>
      <c r="E917" s="1" t="s">
        <v>2766</v>
      </c>
      <c r="G917" s="1">
        <v>8.421</v>
      </c>
      <c r="H917" s="2">
        <v>37.0</v>
      </c>
      <c r="I917" s="105">
        <v>20985.71</v>
      </c>
      <c r="J917" s="105"/>
      <c r="K917" s="105">
        <v>39.0</v>
      </c>
      <c r="L917" s="105">
        <v>21511.71</v>
      </c>
      <c r="Y917" s="1" t="s">
        <v>23</v>
      </c>
    </row>
    <row r="918" ht="15.75" customHeight="1">
      <c r="A918" s="1" t="s">
        <v>44</v>
      </c>
      <c r="B918" s="15" t="s">
        <v>45</v>
      </c>
      <c r="C918" s="2" t="s">
        <v>3509</v>
      </c>
      <c r="D918" s="2" t="s">
        <v>636</v>
      </c>
      <c r="E918" s="1" t="s">
        <v>3544</v>
      </c>
      <c r="G918" s="1">
        <v>11.042</v>
      </c>
      <c r="H918" s="2">
        <v>37.0</v>
      </c>
      <c r="I918" s="105">
        <v>3474.31</v>
      </c>
      <c r="J918" s="105"/>
      <c r="K918" s="105">
        <v>39.0</v>
      </c>
      <c r="L918" s="105">
        <v>3485.82</v>
      </c>
      <c r="Y918" s="1" t="s">
        <v>23</v>
      </c>
    </row>
    <row r="919" ht="15.75" customHeight="1">
      <c r="A919" s="1" t="s">
        <v>44</v>
      </c>
      <c r="B919" s="15" t="s">
        <v>45</v>
      </c>
      <c r="C919" s="2" t="s">
        <v>3509</v>
      </c>
      <c r="D919" s="2" t="s">
        <v>636</v>
      </c>
      <c r="E919" s="1" t="s">
        <v>3545</v>
      </c>
      <c r="G919" s="1">
        <v>20.4</v>
      </c>
      <c r="H919" s="2">
        <v>37.0</v>
      </c>
      <c r="I919" s="105">
        <v>36959.46</v>
      </c>
      <c r="J919" s="105"/>
      <c r="K919" s="105">
        <v>39.0</v>
      </c>
      <c r="L919" s="105">
        <v>51988.74</v>
      </c>
      <c r="Y919" s="1" t="s">
        <v>23</v>
      </c>
    </row>
    <row r="920" ht="15.75" customHeight="1">
      <c r="A920" s="1" t="s">
        <v>44</v>
      </c>
      <c r="B920" s="15" t="s">
        <v>45</v>
      </c>
      <c r="C920" s="2" t="s">
        <v>3509</v>
      </c>
      <c r="D920" s="2" t="s">
        <v>636</v>
      </c>
      <c r="E920" s="1" t="s">
        <v>453</v>
      </c>
      <c r="G920" s="1">
        <v>16.521</v>
      </c>
      <c r="H920" s="2">
        <v>37.0</v>
      </c>
      <c r="I920" s="105">
        <v>49579.71</v>
      </c>
      <c r="J920" s="105"/>
      <c r="K920" s="105">
        <v>39.0</v>
      </c>
      <c r="L920" s="105">
        <v>47153.5</v>
      </c>
      <c r="Y920" s="1" t="s">
        <v>23</v>
      </c>
    </row>
    <row r="921" ht="15.75" customHeight="1">
      <c r="A921" s="1" t="s">
        <v>44</v>
      </c>
      <c r="B921" s="15" t="s">
        <v>45</v>
      </c>
      <c r="C921" s="2" t="s">
        <v>3509</v>
      </c>
      <c r="D921" s="2" t="s">
        <v>636</v>
      </c>
      <c r="E921" s="1" t="s">
        <v>3546</v>
      </c>
      <c r="G921" s="1">
        <v>18.854</v>
      </c>
      <c r="H921" s="2">
        <v>37.0</v>
      </c>
      <c r="I921" s="105">
        <v>57668.27</v>
      </c>
      <c r="J921" s="105"/>
      <c r="K921" s="105">
        <v>39.0</v>
      </c>
      <c r="L921" s="105">
        <v>72701.2</v>
      </c>
      <c r="Y921" s="1" t="s">
        <v>23</v>
      </c>
    </row>
    <row r="922" ht="15.75" customHeight="1">
      <c r="A922" s="1" t="s">
        <v>44</v>
      </c>
      <c r="B922" s="15" t="s">
        <v>45</v>
      </c>
      <c r="C922" s="2" t="s">
        <v>3509</v>
      </c>
      <c r="D922" s="2" t="s">
        <v>636</v>
      </c>
      <c r="E922" s="1" t="s">
        <v>3547</v>
      </c>
      <c r="G922" s="1">
        <v>18.673</v>
      </c>
      <c r="H922" s="2">
        <v>37.0</v>
      </c>
      <c r="I922" s="105">
        <v>2073.13</v>
      </c>
      <c r="J922" s="105"/>
      <c r="K922" s="105">
        <v>39.0</v>
      </c>
      <c r="L922" s="105">
        <v>3135.18</v>
      </c>
      <c r="Y922" s="1" t="s">
        <v>23</v>
      </c>
    </row>
    <row r="923" ht="15.75" customHeight="1">
      <c r="A923" s="1" t="s">
        <v>44</v>
      </c>
      <c r="B923" s="15" t="s">
        <v>45</v>
      </c>
      <c r="C923" s="2" t="s">
        <v>3509</v>
      </c>
      <c r="D923" s="2" t="s">
        <v>636</v>
      </c>
      <c r="E923" s="1" t="s">
        <v>2939</v>
      </c>
      <c r="G923" s="1">
        <v>8.183</v>
      </c>
      <c r="H923" s="2">
        <v>37.0</v>
      </c>
      <c r="I923" s="105">
        <v>5220.03</v>
      </c>
      <c r="J923" s="105"/>
      <c r="K923" s="105">
        <v>39.0</v>
      </c>
      <c r="L923" s="105">
        <v>4659.74</v>
      </c>
      <c r="Y923" s="1" t="s">
        <v>23</v>
      </c>
    </row>
    <row r="924" ht="15.75" customHeight="1">
      <c r="A924" s="1" t="s">
        <v>44</v>
      </c>
      <c r="B924" s="15" t="s">
        <v>45</v>
      </c>
      <c r="C924" s="2" t="s">
        <v>3509</v>
      </c>
      <c r="D924" s="2" t="s">
        <v>636</v>
      </c>
      <c r="E924" s="1" t="s">
        <v>140</v>
      </c>
      <c r="G924" s="1">
        <v>13.5</v>
      </c>
      <c r="H924" s="2">
        <v>37.0</v>
      </c>
      <c r="I924" s="105">
        <v>16612.98</v>
      </c>
      <c r="J924" s="105"/>
      <c r="K924" s="105">
        <v>39.0</v>
      </c>
      <c r="L924" s="105">
        <v>16867.79</v>
      </c>
      <c r="Y924" s="1" t="s">
        <v>23</v>
      </c>
    </row>
    <row r="925" ht="15.75" customHeight="1">
      <c r="A925" s="1" t="s">
        <v>44</v>
      </c>
      <c r="B925" s="15" t="s">
        <v>45</v>
      </c>
      <c r="C925" s="2" t="s">
        <v>3509</v>
      </c>
      <c r="D925" s="2" t="s">
        <v>636</v>
      </c>
      <c r="E925" s="1" t="s">
        <v>3548</v>
      </c>
      <c r="G925" s="1">
        <v>9.747</v>
      </c>
      <c r="H925" s="2">
        <v>37.0</v>
      </c>
      <c r="I925" s="105">
        <v>511951.93</v>
      </c>
      <c r="J925" s="105"/>
      <c r="K925" s="105">
        <v>39.0</v>
      </c>
      <c r="L925" s="105">
        <v>557130.7</v>
      </c>
      <c r="Y925" s="1" t="s">
        <v>23</v>
      </c>
    </row>
    <row r="926" ht="15.75" customHeight="1">
      <c r="A926" s="1" t="s">
        <v>44</v>
      </c>
      <c r="B926" s="15" t="s">
        <v>45</v>
      </c>
      <c r="C926" s="2" t="s">
        <v>3509</v>
      </c>
      <c r="D926" s="2" t="s">
        <v>636</v>
      </c>
      <c r="E926" s="1" t="s">
        <v>219</v>
      </c>
      <c r="G926" s="1">
        <v>8.564</v>
      </c>
      <c r="H926" s="2">
        <v>37.0</v>
      </c>
      <c r="I926" s="105">
        <v>195032.7</v>
      </c>
      <c r="J926" s="105"/>
      <c r="K926" s="105">
        <v>39.0</v>
      </c>
      <c r="L926" s="105">
        <v>201415.3</v>
      </c>
      <c r="Y926" s="1" t="s">
        <v>23</v>
      </c>
    </row>
    <row r="927" ht="15.75" customHeight="1">
      <c r="A927" s="1" t="s">
        <v>44</v>
      </c>
      <c r="B927" s="15" t="s">
        <v>45</v>
      </c>
      <c r="C927" s="2" t="s">
        <v>3509</v>
      </c>
      <c r="D927" s="2" t="s">
        <v>636</v>
      </c>
      <c r="E927" s="1" t="s">
        <v>3549</v>
      </c>
      <c r="G927" s="1">
        <v>6.644</v>
      </c>
      <c r="H927" s="2">
        <v>37.0</v>
      </c>
      <c r="I927" s="105">
        <v>49019.96</v>
      </c>
      <c r="J927" s="105"/>
      <c r="K927" s="105">
        <v>39.0</v>
      </c>
      <c r="L927" s="105">
        <v>50372.12</v>
      </c>
      <c r="Y927" s="1" t="s">
        <v>23</v>
      </c>
    </row>
    <row r="928" ht="15.75" customHeight="1">
      <c r="A928" s="1" t="s">
        <v>44</v>
      </c>
      <c r="B928" s="15" t="s">
        <v>45</v>
      </c>
      <c r="C928" s="2" t="s">
        <v>3509</v>
      </c>
      <c r="D928" s="2" t="s">
        <v>636</v>
      </c>
      <c r="E928" s="1" t="s">
        <v>3550</v>
      </c>
      <c r="G928" s="1">
        <v>9.646</v>
      </c>
      <c r="H928" s="2">
        <v>37.0</v>
      </c>
      <c r="I928" s="105">
        <v>37410.32</v>
      </c>
      <c r="J928" s="105"/>
      <c r="K928" s="105">
        <v>39.0</v>
      </c>
      <c r="L928" s="105">
        <v>38753.03</v>
      </c>
      <c r="Y928" s="1" t="s">
        <v>23</v>
      </c>
    </row>
    <row r="929" ht="15.75" customHeight="1">
      <c r="A929" s="1" t="s">
        <v>44</v>
      </c>
      <c r="B929" s="15" t="s">
        <v>45</v>
      </c>
      <c r="C929" s="2" t="s">
        <v>3509</v>
      </c>
      <c r="D929" s="2" t="s">
        <v>636</v>
      </c>
      <c r="E929" s="1" t="s">
        <v>3551</v>
      </c>
      <c r="G929" s="1">
        <v>20.675</v>
      </c>
      <c r="H929" s="2">
        <v>37.0</v>
      </c>
      <c r="I929" s="105">
        <v>26849.94</v>
      </c>
      <c r="J929" s="105"/>
      <c r="K929" s="105">
        <v>39.0</v>
      </c>
      <c r="L929" s="105">
        <v>32496.6</v>
      </c>
      <c r="Y929" s="1" t="s">
        <v>23</v>
      </c>
    </row>
    <row r="930" ht="15.75" customHeight="1">
      <c r="A930" s="1" t="s">
        <v>44</v>
      </c>
      <c r="B930" s="15" t="s">
        <v>45</v>
      </c>
      <c r="C930" s="2" t="s">
        <v>3509</v>
      </c>
      <c r="D930" s="2" t="s">
        <v>636</v>
      </c>
      <c r="E930" s="1" t="s">
        <v>3552</v>
      </c>
      <c r="G930" s="1">
        <v>10.391</v>
      </c>
      <c r="H930" s="2">
        <v>37.0</v>
      </c>
      <c r="I930" s="105">
        <v>1248.69</v>
      </c>
      <c r="J930" s="105"/>
      <c r="K930" s="105">
        <v>39.0</v>
      </c>
      <c r="L930" s="105">
        <v>1306.2</v>
      </c>
      <c r="Y930" s="1" t="s">
        <v>23</v>
      </c>
    </row>
    <row r="931" ht="15.75" customHeight="1">
      <c r="A931" s="1" t="s">
        <v>44</v>
      </c>
      <c r="B931" s="15" t="s">
        <v>45</v>
      </c>
      <c r="C931" s="2" t="s">
        <v>3509</v>
      </c>
      <c r="D931" s="2" t="s">
        <v>636</v>
      </c>
      <c r="E931" s="1" t="s">
        <v>3553</v>
      </c>
      <c r="G931" s="1">
        <v>12.889</v>
      </c>
      <c r="H931" s="2">
        <v>37.0</v>
      </c>
      <c r="I931" s="105">
        <v>3138.82</v>
      </c>
      <c r="J931" s="105"/>
      <c r="K931" s="105">
        <v>39.0</v>
      </c>
      <c r="L931" s="105">
        <v>3791.97</v>
      </c>
      <c r="Y931" s="1" t="s">
        <v>23</v>
      </c>
    </row>
    <row r="932" ht="15.75" customHeight="1">
      <c r="A932" s="1" t="s">
        <v>44</v>
      </c>
      <c r="B932" s="15" t="s">
        <v>45</v>
      </c>
      <c r="C932" s="2" t="s">
        <v>3509</v>
      </c>
      <c r="D932" s="2" t="s">
        <v>636</v>
      </c>
      <c r="E932" s="1" t="s">
        <v>3554</v>
      </c>
      <c r="G932" s="1">
        <v>10.153</v>
      </c>
      <c r="H932" s="2">
        <v>37.0</v>
      </c>
      <c r="I932" s="105">
        <v>36619.28</v>
      </c>
      <c r="J932" s="105"/>
      <c r="K932" s="105">
        <v>39.0</v>
      </c>
      <c r="L932" s="105">
        <v>37964.43</v>
      </c>
      <c r="Y932" s="1" t="s">
        <v>23</v>
      </c>
    </row>
    <row r="933" ht="15.75" customHeight="1">
      <c r="A933" s="1" t="s">
        <v>44</v>
      </c>
      <c r="B933" s="15" t="s">
        <v>45</v>
      </c>
      <c r="C933" s="2" t="s">
        <v>3509</v>
      </c>
      <c r="D933" s="2" t="s">
        <v>636</v>
      </c>
      <c r="E933" s="1" t="s">
        <v>3555</v>
      </c>
      <c r="G933" s="1">
        <v>12.468</v>
      </c>
      <c r="H933" s="2">
        <v>37.0</v>
      </c>
      <c r="I933" s="105">
        <v>10141.19</v>
      </c>
      <c r="J933" s="105"/>
      <c r="K933" s="105">
        <v>39.0</v>
      </c>
      <c r="L933" s="105">
        <v>10755.88</v>
      </c>
      <c r="Y933" s="1" t="s">
        <v>23</v>
      </c>
    </row>
    <row r="934" ht="15.75" customHeight="1">
      <c r="A934" s="1" t="s">
        <v>44</v>
      </c>
      <c r="B934" s="15" t="s">
        <v>45</v>
      </c>
      <c r="C934" s="2" t="s">
        <v>3509</v>
      </c>
      <c r="D934" s="2" t="s">
        <v>636</v>
      </c>
      <c r="E934" s="1" t="s">
        <v>3556</v>
      </c>
      <c r="G934" s="1">
        <v>15.721</v>
      </c>
      <c r="H934" s="2">
        <v>37.0</v>
      </c>
      <c r="I934" s="105">
        <v>2677.66</v>
      </c>
      <c r="J934" s="105"/>
      <c r="K934" s="105">
        <v>39.0</v>
      </c>
      <c r="L934" s="105">
        <v>3479.85</v>
      </c>
      <c r="Y934" s="1" t="s">
        <v>23</v>
      </c>
    </row>
    <row r="935" ht="15.75" customHeight="1">
      <c r="A935" s="1" t="s">
        <v>44</v>
      </c>
      <c r="B935" s="15" t="s">
        <v>45</v>
      </c>
      <c r="C935" s="2" t="s">
        <v>3509</v>
      </c>
      <c r="D935" s="2" t="s">
        <v>636</v>
      </c>
      <c r="E935" s="1" t="s">
        <v>3557</v>
      </c>
      <c r="G935" s="1">
        <v>20.331</v>
      </c>
      <c r="H935" s="2">
        <v>37.0</v>
      </c>
      <c r="I935" s="105">
        <v>59975.98</v>
      </c>
      <c r="J935" s="105"/>
      <c r="K935" s="105">
        <v>39.0</v>
      </c>
      <c r="L935" s="105">
        <v>68842.1</v>
      </c>
      <c r="Y935" s="1" t="s">
        <v>23</v>
      </c>
    </row>
    <row r="936" ht="15.75" customHeight="1">
      <c r="A936" s="1" t="s">
        <v>44</v>
      </c>
      <c r="B936" s="15" t="s">
        <v>45</v>
      </c>
      <c r="C936" s="2" t="s">
        <v>3509</v>
      </c>
      <c r="D936" s="2" t="s">
        <v>636</v>
      </c>
      <c r="E936" s="1" t="s">
        <v>3558</v>
      </c>
      <c r="G936" s="1">
        <v>17.272</v>
      </c>
      <c r="H936" s="2">
        <v>37.0</v>
      </c>
      <c r="I936" s="105">
        <v>95804.88</v>
      </c>
      <c r="J936" s="105"/>
      <c r="K936" s="105">
        <v>39.0</v>
      </c>
      <c r="L936" s="105">
        <v>99615.93</v>
      </c>
      <c r="Y936" s="1" t="s">
        <v>23</v>
      </c>
    </row>
    <row r="937" ht="15.75" customHeight="1">
      <c r="A937" s="1" t="s">
        <v>44</v>
      </c>
      <c r="B937" s="15" t="s">
        <v>45</v>
      </c>
      <c r="C937" s="2" t="s">
        <v>3509</v>
      </c>
      <c r="D937" s="2" t="s">
        <v>636</v>
      </c>
      <c r="E937" s="1" t="s">
        <v>3559</v>
      </c>
      <c r="G937" s="1">
        <v>9.434</v>
      </c>
      <c r="H937" s="2">
        <v>37.0</v>
      </c>
      <c r="I937" s="105">
        <v>4250608.19</v>
      </c>
      <c r="J937" s="105"/>
      <c r="K937" s="105">
        <v>39.0</v>
      </c>
      <c r="L937" s="105">
        <v>4473589.09</v>
      </c>
      <c r="Y937" s="1" t="s">
        <v>23</v>
      </c>
    </row>
    <row r="938" ht="15.75" customHeight="1">
      <c r="A938" s="1" t="s">
        <v>44</v>
      </c>
      <c r="B938" s="15" t="s">
        <v>45</v>
      </c>
      <c r="C938" s="2" t="s">
        <v>3509</v>
      </c>
      <c r="D938" s="2" t="s">
        <v>636</v>
      </c>
      <c r="E938" s="1" t="s">
        <v>3560</v>
      </c>
      <c r="G938" s="1">
        <v>19.743</v>
      </c>
      <c r="H938" s="2">
        <v>37.0</v>
      </c>
      <c r="I938" s="105">
        <v>117992.25</v>
      </c>
      <c r="J938" s="105"/>
      <c r="K938" s="105">
        <v>39.0</v>
      </c>
      <c r="L938" s="105">
        <v>120232.51</v>
      </c>
      <c r="Y938" s="1" t="s">
        <v>23</v>
      </c>
    </row>
    <row r="939" ht="15.75" customHeight="1">
      <c r="A939" s="1" t="s">
        <v>44</v>
      </c>
      <c r="B939" s="15" t="s">
        <v>45</v>
      </c>
      <c r="C939" s="2" t="s">
        <v>3509</v>
      </c>
      <c r="D939" s="2" t="s">
        <v>636</v>
      </c>
      <c r="E939" s="1" t="s">
        <v>3561</v>
      </c>
      <c r="G939" s="1">
        <v>7.251</v>
      </c>
      <c r="H939" s="2">
        <v>37.0</v>
      </c>
      <c r="I939" s="105">
        <v>294710.6</v>
      </c>
      <c r="J939" s="105"/>
      <c r="K939" s="105">
        <v>39.0</v>
      </c>
      <c r="L939" s="105">
        <v>303120.58</v>
      </c>
      <c r="Y939" s="1" t="s">
        <v>23</v>
      </c>
    </row>
    <row r="940" ht="15.75" customHeight="1">
      <c r="A940" s="2" t="s">
        <v>3562</v>
      </c>
      <c r="B940" s="106">
        <v>2.8880465E7</v>
      </c>
      <c r="C940" s="2" t="s">
        <v>3563</v>
      </c>
      <c r="D940" s="2" t="s">
        <v>636</v>
      </c>
      <c r="E940" s="68" t="s">
        <v>377</v>
      </c>
      <c r="F940" s="107">
        <v>136.0385</v>
      </c>
      <c r="G940" s="107">
        <v>2.12</v>
      </c>
      <c r="H940" s="108">
        <v>42.0</v>
      </c>
      <c r="I940" s="107">
        <v>0.9237</v>
      </c>
      <c r="K940" s="109">
        <v>43.0</v>
      </c>
      <c r="L940" s="107">
        <v>0.9384</v>
      </c>
      <c r="Y940" s="2" t="s">
        <v>39</v>
      </c>
      <c r="Z940" s="110" t="s">
        <v>378</v>
      </c>
    </row>
    <row r="941" ht="15.75" customHeight="1">
      <c r="A941" s="2" t="s">
        <v>3562</v>
      </c>
      <c r="B941" s="2">
        <v>2.8880465E7</v>
      </c>
      <c r="C941" s="2" t="s">
        <v>3563</v>
      </c>
      <c r="D941" s="2" t="s">
        <v>636</v>
      </c>
      <c r="E941" s="68" t="s">
        <v>16</v>
      </c>
      <c r="F941" s="107">
        <v>169.0851</v>
      </c>
      <c r="G941" s="107">
        <v>2.17</v>
      </c>
      <c r="H941" s="108">
        <v>42.0</v>
      </c>
      <c r="I941" s="107">
        <v>0.977</v>
      </c>
      <c r="K941" s="109">
        <v>43.0</v>
      </c>
      <c r="L941" s="107">
        <v>0.8759</v>
      </c>
      <c r="Y941" s="2" t="s">
        <v>39</v>
      </c>
      <c r="Z941" s="110" t="s">
        <v>379</v>
      </c>
    </row>
    <row r="942" ht="15.75" customHeight="1">
      <c r="A942" s="2" t="s">
        <v>3562</v>
      </c>
      <c r="B942" s="2">
        <v>2.8880465E7</v>
      </c>
      <c r="C942" s="2" t="s">
        <v>3563</v>
      </c>
      <c r="D942" s="2" t="s">
        <v>636</v>
      </c>
      <c r="E942" s="68" t="s">
        <v>380</v>
      </c>
      <c r="F942" s="107">
        <v>125.0147</v>
      </c>
      <c r="G942" s="107">
        <v>2.24</v>
      </c>
      <c r="H942" s="108">
        <v>42.0</v>
      </c>
      <c r="I942" s="107">
        <v>0.9298</v>
      </c>
      <c r="K942" s="109">
        <v>43.0</v>
      </c>
      <c r="L942" s="107">
        <v>0.9171</v>
      </c>
      <c r="Y942" s="2" t="s">
        <v>39</v>
      </c>
      <c r="Z942" s="110" t="s">
        <v>381</v>
      </c>
    </row>
    <row r="943" ht="15.75" customHeight="1">
      <c r="A943" s="2" t="s">
        <v>3562</v>
      </c>
      <c r="B943" s="2">
        <v>2.8880465E7</v>
      </c>
      <c r="C943" s="2" t="s">
        <v>3563</v>
      </c>
      <c r="D943" s="2" t="s">
        <v>636</v>
      </c>
      <c r="E943" s="68" t="s">
        <v>382</v>
      </c>
      <c r="F943" s="107">
        <v>174.1117</v>
      </c>
      <c r="G943" s="107">
        <v>2.44</v>
      </c>
      <c r="H943" s="108">
        <v>42.0</v>
      </c>
      <c r="I943" s="107">
        <v>0.9233</v>
      </c>
      <c r="K943" s="109">
        <v>43.0</v>
      </c>
      <c r="L943" s="107">
        <v>0.8127</v>
      </c>
      <c r="Y943" s="2" t="s">
        <v>39</v>
      </c>
      <c r="Z943" s="110" t="s">
        <v>383</v>
      </c>
    </row>
    <row r="944" ht="15.75" customHeight="1">
      <c r="A944" s="2" t="s">
        <v>3562</v>
      </c>
      <c r="B944" s="2">
        <v>2.8880465E7</v>
      </c>
      <c r="C944" s="2" t="s">
        <v>3563</v>
      </c>
      <c r="D944" s="2" t="s">
        <v>636</v>
      </c>
      <c r="E944" s="68" t="s">
        <v>384</v>
      </c>
      <c r="F944" s="107">
        <v>132.0535</v>
      </c>
      <c r="G944" s="107">
        <v>3.0</v>
      </c>
      <c r="H944" s="108">
        <v>42.0</v>
      </c>
      <c r="I944" s="107">
        <v>0.9257</v>
      </c>
      <c r="K944" s="109">
        <v>43.0</v>
      </c>
      <c r="L944" s="107">
        <v>0.8979</v>
      </c>
      <c r="Y944" s="2" t="s">
        <v>39</v>
      </c>
      <c r="Z944" s="110" t="s">
        <v>385</v>
      </c>
    </row>
    <row r="945" ht="15.75" customHeight="1">
      <c r="A945" s="2" t="s">
        <v>3562</v>
      </c>
      <c r="B945" s="2">
        <v>2.8880465E7</v>
      </c>
      <c r="C945" s="2" t="s">
        <v>3563</v>
      </c>
      <c r="D945" s="2" t="s">
        <v>636</v>
      </c>
      <c r="E945" s="68" t="s">
        <v>386</v>
      </c>
      <c r="F945" s="107">
        <v>146.0691</v>
      </c>
      <c r="G945" s="107">
        <v>3.32</v>
      </c>
      <c r="H945" s="108">
        <v>42.0</v>
      </c>
      <c r="I945" s="107">
        <v>0.9519</v>
      </c>
      <c r="K945" s="109">
        <v>43.0</v>
      </c>
      <c r="L945" s="107">
        <v>0.947</v>
      </c>
      <c r="Y945" s="2" t="s">
        <v>39</v>
      </c>
      <c r="Z945" s="110" t="s">
        <v>387</v>
      </c>
    </row>
    <row r="946" ht="15.75" customHeight="1">
      <c r="A946" s="2" t="s">
        <v>3562</v>
      </c>
      <c r="B946" s="2">
        <v>2.8880465E7</v>
      </c>
      <c r="C946" s="2" t="s">
        <v>3563</v>
      </c>
      <c r="D946" s="2" t="s">
        <v>636</v>
      </c>
      <c r="E946" s="68" t="s">
        <v>128</v>
      </c>
      <c r="F946" s="107">
        <v>175.0957</v>
      </c>
      <c r="G946" s="107">
        <v>3.74</v>
      </c>
      <c r="H946" s="108">
        <v>42.0</v>
      </c>
      <c r="I946" s="107">
        <v>0.9669</v>
      </c>
      <c r="K946" s="109">
        <v>43.0</v>
      </c>
      <c r="L946" s="107">
        <v>0.7978</v>
      </c>
      <c r="Y946" s="2" t="s">
        <v>39</v>
      </c>
      <c r="Z946" s="110" t="s">
        <v>291</v>
      </c>
    </row>
    <row r="947" ht="15.75" customHeight="1">
      <c r="A947" s="2" t="s">
        <v>3562</v>
      </c>
      <c r="B947" s="2">
        <v>2.8880465E7</v>
      </c>
      <c r="C947" s="2" t="s">
        <v>3563</v>
      </c>
      <c r="D947" s="2" t="s">
        <v>636</v>
      </c>
      <c r="E947" s="68" t="s">
        <v>293</v>
      </c>
      <c r="F947" s="107">
        <v>165.046</v>
      </c>
      <c r="G947" s="107">
        <v>3.72</v>
      </c>
      <c r="H947" s="108">
        <v>42.0</v>
      </c>
      <c r="I947" s="107">
        <v>0.7405</v>
      </c>
      <c r="K947" s="109">
        <v>43.0</v>
      </c>
      <c r="L947" s="107">
        <v>0.8977</v>
      </c>
      <c r="Y947" s="2" t="s">
        <v>39</v>
      </c>
      <c r="Z947" s="110" t="s">
        <v>294</v>
      </c>
    </row>
    <row r="948" ht="15.75" customHeight="1">
      <c r="A948" s="2" t="s">
        <v>3562</v>
      </c>
      <c r="B948" s="2">
        <v>2.8880465E7</v>
      </c>
      <c r="C948" s="2" t="s">
        <v>3563</v>
      </c>
      <c r="D948" s="2" t="s">
        <v>636</v>
      </c>
      <c r="E948" s="68" t="s">
        <v>388</v>
      </c>
      <c r="F948" s="107">
        <v>119.0582</v>
      </c>
      <c r="G948" s="107">
        <v>4.05</v>
      </c>
      <c r="H948" s="108">
        <v>42.0</v>
      </c>
      <c r="I948" s="107">
        <v>0.941</v>
      </c>
      <c r="K948" s="109">
        <v>43.0</v>
      </c>
      <c r="L948" s="107">
        <v>0.912</v>
      </c>
      <c r="Y948" s="2" t="s">
        <v>39</v>
      </c>
      <c r="Z948" s="110" t="s">
        <v>389</v>
      </c>
    </row>
    <row r="949" ht="15.75" customHeight="1">
      <c r="A949" s="2" t="s">
        <v>3562</v>
      </c>
      <c r="B949" s="2">
        <v>2.8880465E7</v>
      </c>
      <c r="C949" s="2" t="s">
        <v>3563</v>
      </c>
      <c r="D949" s="2" t="s">
        <v>636</v>
      </c>
      <c r="E949" s="68" t="s">
        <v>295</v>
      </c>
      <c r="F949" s="107">
        <v>165.046</v>
      </c>
      <c r="G949" s="107">
        <v>4.2</v>
      </c>
      <c r="H949" s="108">
        <v>42.0</v>
      </c>
      <c r="I949" s="107">
        <v>0.7219</v>
      </c>
      <c r="K949" s="109">
        <v>43.0</v>
      </c>
      <c r="L949" s="107">
        <v>0.8937</v>
      </c>
      <c r="Y949" s="2" t="s">
        <v>39</v>
      </c>
      <c r="Z949" s="110" t="s">
        <v>294</v>
      </c>
    </row>
    <row r="950" ht="15.75" customHeight="1">
      <c r="A950" s="2" t="s">
        <v>3562</v>
      </c>
      <c r="B950" s="2">
        <v>2.8880465E7</v>
      </c>
      <c r="C950" s="2" t="s">
        <v>3563</v>
      </c>
      <c r="D950" s="2" t="s">
        <v>636</v>
      </c>
      <c r="E950" s="68" t="s">
        <v>390</v>
      </c>
      <c r="F950" s="107">
        <v>105.0426</v>
      </c>
      <c r="G950" s="107">
        <v>4.4</v>
      </c>
      <c r="H950" s="108">
        <v>42.0</v>
      </c>
      <c r="I950" s="107">
        <v>0.8962</v>
      </c>
      <c r="K950" s="109">
        <v>43.0</v>
      </c>
      <c r="L950" s="107">
        <v>0.8587</v>
      </c>
      <c r="Y950" s="2" t="s">
        <v>39</v>
      </c>
      <c r="Z950" s="110" t="s">
        <v>391</v>
      </c>
    </row>
    <row r="951" ht="15.75" customHeight="1">
      <c r="A951" s="2" t="s">
        <v>3562</v>
      </c>
      <c r="B951" s="2">
        <v>2.8880465E7</v>
      </c>
      <c r="C951" s="2" t="s">
        <v>3563</v>
      </c>
      <c r="D951" s="2" t="s">
        <v>636</v>
      </c>
      <c r="E951" s="68" t="s">
        <v>392</v>
      </c>
      <c r="F951" s="107">
        <v>147.0532</v>
      </c>
      <c r="G951" s="107">
        <v>5.05</v>
      </c>
      <c r="H951" s="108">
        <v>42.0</v>
      </c>
      <c r="I951" s="107">
        <v>0.8538</v>
      </c>
      <c r="K951" s="109">
        <v>43.0</v>
      </c>
      <c r="L951" s="107">
        <v>0.8957</v>
      </c>
      <c r="Y951" s="2" t="s">
        <v>39</v>
      </c>
      <c r="Z951" s="110" t="s">
        <v>393</v>
      </c>
    </row>
    <row r="952" ht="15.75" customHeight="1">
      <c r="A952" s="2" t="s">
        <v>3562</v>
      </c>
      <c r="B952" s="2">
        <v>2.8880465E7</v>
      </c>
      <c r="C952" s="2" t="s">
        <v>3563</v>
      </c>
      <c r="D952" s="2" t="s">
        <v>636</v>
      </c>
      <c r="E952" s="68" t="s">
        <v>394</v>
      </c>
      <c r="F952" s="107">
        <v>133.0375</v>
      </c>
      <c r="G952" s="107">
        <v>5.16</v>
      </c>
      <c r="H952" s="108">
        <v>42.0</v>
      </c>
      <c r="I952" s="107">
        <v>0.8495</v>
      </c>
      <c r="K952" s="109">
        <v>43.0</v>
      </c>
      <c r="L952" s="107">
        <v>0.8933</v>
      </c>
      <c r="Y952" s="2" t="s">
        <v>39</v>
      </c>
      <c r="Z952" s="110" t="s">
        <v>395</v>
      </c>
    </row>
    <row r="953" ht="15.75" customHeight="1">
      <c r="A953" s="2" t="s">
        <v>3562</v>
      </c>
      <c r="B953" s="2">
        <v>2.8880465E7</v>
      </c>
      <c r="C953" s="2" t="s">
        <v>3563</v>
      </c>
      <c r="D953" s="2" t="s">
        <v>636</v>
      </c>
      <c r="E953" s="68" t="s">
        <v>396</v>
      </c>
      <c r="F953" s="107">
        <v>131.0582</v>
      </c>
      <c r="G953" s="107">
        <v>5.17</v>
      </c>
      <c r="H953" s="108">
        <v>42.0</v>
      </c>
      <c r="I953" s="107">
        <v>0.9888</v>
      </c>
      <c r="K953" s="109">
        <v>43.0</v>
      </c>
      <c r="L953" s="107">
        <v>1.0471</v>
      </c>
      <c r="Y953" s="2" t="s">
        <v>39</v>
      </c>
      <c r="Z953" s="110" t="s">
        <v>397</v>
      </c>
    </row>
    <row r="954" ht="15.75" customHeight="1">
      <c r="A954" s="2" t="s">
        <v>3562</v>
      </c>
      <c r="B954" s="2">
        <v>2.8880465E7</v>
      </c>
      <c r="C954" s="2" t="s">
        <v>3563</v>
      </c>
      <c r="D954" s="2" t="s">
        <v>636</v>
      </c>
      <c r="E954" s="68" t="s">
        <v>398</v>
      </c>
      <c r="F954" s="107">
        <v>188.1161</v>
      </c>
      <c r="G954" s="107">
        <v>5.71</v>
      </c>
      <c r="H954" s="108">
        <v>42.0</v>
      </c>
      <c r="I954" s="107">
        <v>0.9186</v>
      </c>
      <c r="K954" s="109">
        <v>43.0</v>
      </c>
      <c r="L954" s="107">
        <v>0.8535</v>
      </c>
      <c r="Y954" s="2" t="s">
        <v>39</v>
      </c>
      <c r="Z954" s="110" t="s">
        <v>399</v>
      </c>
    </row>
    <row r="955" ht="15.75" customHeight="1">
      <c r="A955" s="2" t="s">
        <v>3562</v>
      </c>
      <c r="B955" s="2">
        <v>2.8880465E7</v>
      </c>
      <c r="C955" s="2" t="s">
        <v>3563</v>
      </c>
      <c r="D955" s="2" t="s">
        <v>636</v>
      </c>
      <c r="E955" s="68" t="s">
        <v>400</v>
      </c>
      <c r="F955" s="107">
        <v>119.0582</v>
      </c>
      <c r="G955" s="107">
        <v>5.79</v>
      </c>
      <c r="H955" s="108">
        <v>42.0</v>
      </c>
      <c r="I955" s="107">
        <v>0.8498</v>
      </c>
      <c r="K955" s="109">
        <v>43.0</v>
      </c>
      <c r="L955" s="107">
        <v>0.9167</v>
      </c>
      <c r="Y955" s="2" t="s">
        <v>39</v>
      </c>
      <c r="Z955" s="110" t="s">
        <v>401</v>
      </c>
    </row>
    <row r="956" ht="15.75" customHeight="1">
      <c r="A956" s="2" t="s">
        <v>3562</v>
      </c>
      <c r="B956" s="2">
        <v>2.8880465E7</v>
      </c>
      <c r="C956" s="2" t="s">
        <v>3563</v>
      </c>
      <c r="D956" s="2" t="s">
        <v>636</v>
      </c>
      <c r="E956" s="68" t="s">
        <v>402</v>
      </c>
      <c r="F956" s="107">
        <v>161.0688</v>
      </c>
      <c r="G956" s="107">
        <v>5.97</v>
      </c>
      <c r="H956" s="108">
        <v>42.0</v>
      </c>
      <c r="I956" s="107">
        <v>0.8971</v>
      </c>
      <c r="K956" s="109">
        <v>43.0</v>
      </c>
      <c r="L956" s="107">
        <v>0.8938</v>
      </c>
      <c r="Y956" s="2" t="s">
        <v>39</v>
      </c>
      <c r="Z956" s="110" t="s">
        <v>403</v>
      </c>
    </row>
    <row r="957" ht="15.75" customHeight="1">
      <c r="A957" s="2" t="s">
        <v>3562</v>
      </c>
      <c r="B957" s="2">
        <v>2.8880465E7</v>
      </c>
      <c r="C957" s="2" t="s">
        <v>3563</v>
      </c>
      <c r="D957" s="2" t="s">
        <v>636</v>
      </c>
      <c r="E957" s="68" t="s">
        <v>404</v>
      </c>
      <c r="F957" s="107">
        <v>61.0528</v>
      </c>
      <c r="G957" s="107">
        <v>6.0</v>
      </c>
      <c r="H957" s="108">
        <v>42.0</v>
      </c>
      <c r="I957" s="107">
        <v>0.9027</v>
      </c>
      <c r="K957" s="109">
        <v>43.0</v>
      </c>
      <c r="L957" s="107">
        <v>0.9592</v>
      </c>
      <c r="Y957" s="2" t="s">
        <v>39</v>
      </c>
      <c r="Z957" s="110" t="s">
        <v>405</v>
      </c>
    </row>
    <row r="958" ht="15.75" customHeight="1">
      <c r="A958" s="2" t="s">
        <v>3562</v>
      </c>
      <c r="B958" s="2">
        <v>2.8880465E7</v>
      </c>
      <c r="C958" s="2" t="s">
        <v>3563</v>
      </c>
      <c r="D958" s="2" t="s">
        <v>636</v>
      </c>
      <c r="E958" s="68" t="s">
        <v>406</v>
      </c>
      <c r="F958" s="107">
        <v>75.032</v>
      </c>
      <c r="G958" s="107">
        <v>6.59</v>
      </c>
      <c r="H958" s="108">
        <v>42.0</v>
      </c>
      <c r="I958" s="107">
        <v>0.9358</v>
      </c>
      <c r="K958" s="109">
        <v>43.0</v>
      </c>
      <c r="L958" s="107">
        <v>0.9748</v>
      </c>
      <c r="Y958" s="2" t="s">
        <v>39</v>
      </c>
      <c r="Z958" s="110" t="s">
        <v>407</v>
      </c>
    </row>
    <row r="959" ht="15.75" customHeight="1">
      <c r="A959" s="2" t="s">
        <v>3562</v>
      </c>
      <c r="B959" s="2">
        <v>2.8880465E7</v>
      </c>
      <c r="C959" s="2" t="s">
        <v>3563</v>
      </c>
      <c r="D959" s="2" t="s">
        <v>636</v>
      </c>
      <c r="E959" s="68" t="s">
        <v>408</v>
      </c>
      <c r="F959" s="107">
        <v>89.0477</v>
      </c>
      <c r="G959" s="107">
        <v>7.57</v>
      </c>
      <c r="H959" s="108">
        <v>42.0</v>
      </c>
      <c r="I959" s="107">
        <v>0.9713</v>
      </c>
      <c r="K959" s="109">
        <v>43.0</v>
      </c>
      <c r="L959" s="107">
        <v>0.9564</v>
      </c>
      <c r="Y959" s="2" t="s">
        <v>39</v>
      </c>
      <c r="Z959" s="110" t="s">
        <v>409</v>
      </c>
    </row>
    <row r="960" ht="15.75" customHeight="1">
      <c r="A960" s="2" t="s">
        <v>3562</v>
      </c>
      <c r="B960" s="2">
        <v>2.8880465E7</v>
      </c>
      <c r="C960" s="2" t="s">
        <v>3563</v>
      </c>
      <c r="D960" s="2" t="s">
        <v>636</v>
      </c>
      <c r="E960" s="68" t="s">
        <v>410</v>
      </c>
      <c r="F960" s="107">
        <v>103.0633</v>
      </c>
      <c r="G960" s="107">
        <v>7.79</v>
      </c>
      <c r="H960" s="108">
        <v>42.0</v>
      </c>
      <c r="I960" s="107">
        <v>0.9509</v>
      </c>
      <c r="K960" s="109">
        <v>43.0</v>
      </c>
      <c r="L960" s="107">
        <v>0.926</v>
      </c>
      <c r="Y960" s="2" t="s">
        <v>39</v>
      </c>
      <c r="Z960" s="110" t="s">
        <v>411</v>
      </c>
    </row>
    <row r="961" ht="15.75" customHeight="1">
      <c r="A961" s="2" t="s">
        <v>3562</v>
      </c>
      <c r="B961" s="2">
        <v>2.8880465E7</v>
      </c>
      <c r="C961" s="2" t="s">
        <v>3563</v>
      </c>
      <c r="D961" s="2" t="s">
        <v>636</v>
      </c>
      <c r="E961" s="68" t="s">
        <v>261</v>
      </c>
      <c r="F961" s="107">
        <v>244.0695</v>
      </c>
      <c r="G961" s="107">
        <v>7.84</v>
      </c>
      <c r="H961" s="108">
        <v>42.0</v>
      </c>
      <c r="I961" s="107">
        <v>0.9395</v>
      </c>
      <c r="K961" s="109">
        <v>43.0</v>
      </c>
      <c r="L961" s="107">
        <v>0.848</v>
      </c>
      <c r="Y961" s="2" t="s">
        <v>39</v>
      </c>
      <c r="Z961" s="110" t="s">
        <v>412</v>
      </c>
    </row>
    <row r="962" ht="15.75" customHeight="1">
      <c r="A962" s="2" t="s">
        <v>3562</v>
      </c>
      <c r="B962" s="2">
        <v>2.8880465E7</v>
      </c>
      <c r="C962" s="2" t="s">
        <v>3563</v>
      </c>
      <c r="D962" s="2" t="s">
        <v>636</v>
      </c>
      <c r="E962" s="68" t="s">
        <v>259</v>
      </c>
      <c r="F962" s="107">
        <v>219.1107</v>
      </c>
      <c r="G962" s="107">
        <v>8.37</v>
      </c>
      <c r="H962" s="108">
        <v>42.0</v>
      </c>
      <c r="I962" s="107">
        <v>0.9102</v>
      </c>
      <c r="K962" s="109">
        <v>43.0</v>
      </c>
      <c r="L962" s="107">
        <v>0.6891</v>
      </c>
      <c r="Y962" s="2" t="s">
        <v>39</v>
      </c>
      <c r="Z962" s="110" t="s">
        <v>306</v>
      </c>
    </row>
    <row r="963" ht="15.75" customHeight="1">
      <c r="A963" s="2" t="s">
        <v>3562</v>
      </c>
      <c r="B963" s="2">
        <v>2.8880465E7</v>
      </c>
      <c r="C963" s="2" t="s">
        <v>3563</v>
      </c>
      <c r="D963" s="2" t="s">
        <v>636</v>
      </c>
      <c r="E963" s="68" t="s">
        <v>413</v>
      </c>
      <c r="F963" s="107">
        <v>136.0385</v>
      </c>
      <c r="G963" s="107">
        <v>8.73</v>
      </c>
      <c r="H963" s="108">
        <v>42.0</v>
      </c>
      <c r="I963" s="107">
        <v>0.8842</v>
      </c>
      <c r="K963" s="109">
        <v>43.0</v>
      </c>
      <c r="L963" s="107">
        <v>0.977</v>
      </c>
      <c r="Y963" s="2" t="s">
        <v>39</v>
      </c>
      <c r="Z963" s="110" t="s">
        <v>378</v>
      </c>
    </row>
    <row r="964" ht="15.75" customHeight="1">
      <c r="A964" s="2" t="s">
        <v>3562</v>
      </c>
      <c r="B964" s="2">
        <v>2.8880465E7</v>
      </c>
      <c r="C964" s="2" t="s">
        <v>3563</v>
      </c>
      <c r="D964" s="2" t="s">
        <v>636</v>
      </c>
      <c r="E964" s="68" t="s">
        <v>414</v>
      </c>
      <c r="F964" s="107">
        <v>103.0633</v>
      </c>
      <c r="G964" s="107">
        <v>8.91</v>
      </c>
      <c r="H964" s="108">
        <v>42.0</v>
      </c>
      <c r="I964" s="107">
        <v>0.8451</v>
      </c>
      <c r="K964" s="109">
        <v>43.0</v>
      </c>
      <c r="L964" s="107">
        <v>0.9158</v>
      </c>
      <c r="Y964" s="2" t="s">
        <v>39</v>
      </c>
      <c r="Z964" s="110" t="s">
        <v>415</v>
      </c>
    </row>
    <row r="965" ht="15.75" customHeight="1">
      <c r="A965" s="2" t="s">
        <v>3562</v>
      </c>
      <c r="B965" s="2">
        <v>2.8880465E7</v>
      </c>
      <c r="C965" s="2" t="s">
        <v>3563</v>
      </c>
      <c r="D965" s="2" t="s">
        <v>636</v>
      </c>
      <c r="E965" s="68" t="s">
        <v>416</v>
      </c>
      <c r="F965" s="107">
        <v>244.0695</v>
      </c>
      <c r="G965" s="107">
        <v>8.67</v>
      </c>
      <c r="H965" s="108">
        <v>42.0</v>
      </c>
      <c r="I965" s="107">
        <v>0.9371</v>
      </c>
      <c r="K965" s="109">
        <v>43.0</v>
      </c>
      <c r="L965" s="107">
        <v>0.8309</v>
      </c>
      <c r="Y965" s="2" t="s">
        <v>39</v>
      </c>
      <c r="Z965" s="110" t="s">
        <v>412</v>
      </c>
    </row>
    <row r="966" ht="15.75" customHeight="1">
      <c r="A966" s="2" t="s">
        <v>3562</v>
      </c>
      <c r="B966" s="2">
        <v>2.8880465E7</v>
      </c>
      <c r="C966" s="2" t="s">
        <v>3563</v>
      </c>
      <c r="D966" s="2" t="s">
        <v>636</v>
      </c>
      <c r="E966" s="68" t="s">
        <v>417</v>
      </c>
      <c r="F966" s="107">
        <v>152.0334</v>
      </c>
      <c r="G966" s="107">
        <v>8.95</v>
      </c>
      <c r="H966" s="108">
        <v>42.0</v>
      </c>
      <c r="I966" s="107">
        <v>0.985</v>
      </c>
      <c r="K966" s="109">
        <v>43.0</v>
      </c>
      <c r="L966" s="107">
        <v>0.839</v>
      </c>
      <c r="Y966" s="2" t="s">
        <v>39</v>
      </c>
      <c r="Z966" s="110" t="s">
        <v>418</v>
      </c>
    </row>
    <row r="967" ht="15.75" customHeight="1">
      <c r="A967" s="2" t="s">
        <v>3562</v>
      </c>
      <c r="B967" s="2">
        <v>2.8880465E7</v>
      </c>
      <c r="C967" s="2" t="s">
        <v>3563</v>
      </c>
      <c r="D967" s="2" t="s">
        <v>636</v>
      </c>
      <c r="E967" s="68" t="s">
        <v>307</v>
      </c>
      <c r="F967" s="107">
        <v>174.1004</v>
      </c>
      <c r="G967" s="107">
        <v>9.19</v>
      </c>
      <c r="H967" s="108">
        <v>42.0</v>
      </c>
      <c r="I967" s="107">
        <v>0.6544</v>
      </c>
      <c r="K967" s="109">
        <v>43.0</v>
      </c>
      <c r="L967" s="107">
        <v>0.951</v>
      </c>
      <c r="Y967" s="2" t="s">
        <v>39</v>
      </c>
      <c r="Z967" s="110" t="s">
        <v>308</v>
      </c>
    </row>
    <row r="968" ht="15.75" customHeight="1">
      <c r="A968" s="2" t="s">
        <v>3562</v>
      </c>
      <c r="B968" s="2">
        <v>2.8880465E7</v>
      </c>
      <c r="C968" s="2" t="s">
        <v>3563</v>
      </c>
      <c r="D968" s="2" t="s">
        <v>636</v>
      </c>
      <c r="E968" s="68" t="s">
        <v>419</v>
      </c>
      <c r="F968" s="107">
        <v>103.0633</v>
      </c>
      <c r="G968" s="107">
        <v>9.13</v>
      </c>
      <c r="H968" s="108">
        <v>42.0</v>
      </c>
      <c r="I968" s="107">
        <v>0.828</v>
      </c>
      <c r="K968" s="109">
        <v>43.0</v>
      </c>
      <c r="L968" s="107">
        <v>0.861</v>
      </c>
      <c r="Y968" s="2" t="s">
        <v>39</v>
      </c>
      <c r="Z968" s="110" t="s">
        <v>420</v>
      </c>
    </row>
    <row r="969" ht="15.75" customHeight="1">
      <c r="A969" s="2" t="s">
        <v>3562</v>
      </c>
      <c r="B969" s="2">
        <v>2.8880465E7</v>
      </c>
      <c r="C969" s="2" t="s">
        <v>3563</v>
      </c>
      <c r="D969" s="2" t="s">
        <v>636</v>
      </c>
      <c r="E969" s="68" t="s">
        <v>421</v>
      </c>
      <c r="F969" s="107">
        <v>147.0532</v>
      </c>
      <c r="G969" s="107">
        <v>9.46</v>
      </c>
      <c r="H969" s="108">
        <v>42.0</v>
      </c>
      <c r="I969" s="107">
        <v>0.9513</v>
      </c>
      <c r="K969" s="109">
        <v>43.0</v>
      </c>
      <c r="L969" s="107">
        <v>0.9914</v>
      </c>
      <c r="Y969" s="2" t="s">
        <v>39</v>
      </c>
      <c r="Z969" s="110" t="s">
        <v>393</v>
      </c>
    </row>
    <row r="970" ht="15.75" customHeight="1">
      <c r="A970" s="2" t="s">
        <v>3562</v>
      </c>
      <c r="B970" s="2">
        <v>2.8880465E7</v>
      </c>
      <c r="C970" s="2" t="s">
        <v>3563</v>
      </c>
      <c r="D970" s="2" t="s">
        <v>636</v>
      </c>
      <c r="E970" s="68" t="s">
        <v>422</v>
      </c>
      <c r="F970" s="107">
        <v>31.0422</v>
      </c>
      <c r="G970" s="107">
        <v>9.82</v>
      </c>
      <c r="H970" s="108">
        <v>42.0</v>
      </c>
      <c r="I970" s="107">
        <v>1.643</v>
      </c>
      <c r="K970" s="109">
        <v>43.0</v>
      </c>
      <c r="L970" s="107">
        <v>1.6264</v>
      </c>
      <c r="Y970" s="2" t="s">
        <v>39</v>
      </c>
      <c r="Z970" s="110" t="s">
        <v>423</v>
      </c>
    </row>
    <row r="971" ht="15.75" customHeight="1">
      <c r="A971" s="2" t="s">
        <v>3562</v>
      </c>
      <c r="B971" s="2">
        <v>2.8880465E7</v>
      </c>
      <c r="C971" s="2" t="s">
        <v>3563</v>
      </c>
      <c r="D971" s="2" t="s">
        <v>636</v>
      </c>
      <c r="E971" s="68" t="s">
        <v>424</v>
      </c>
      <c r="F971" s="107">
        <v>280.1059</v>
      </c>
      <c r="G971" s="107">
        <v>10.07</v>
      </c>
      <c r="H971" s="108">
        <v>42.0</v>
      </c>
      <c r="I971" s="107">
        <v>0.776</v>
      </c>
      <c r="K971" s="109">
        <v>43.0</v>
      </c>
      <c r="L971" s="107">
        <v>0.853</v>
      </c>
      <c r="Y971" s="2" t="s">
        <v>39</v>
      </c>
      <c r="Z971" s="110" t="s">
        <v>425</v>
      </c>
    </row>
    <row r="972" ht="15.75" customHeight="1">
      <c r="A972" s="2" t="s">
        <v>3562</v>
      </c>
      <c r="B972" s="2">
        <v>2.8880465E7</v>
      </c>
      <c r="C972" s="2" t="s">
        <v>3563</v>
      </c>
      <c r="D972" s="2" t="s">
        <v>636</v>
      </c>
      <c r="E972" s="68" t="s">
        <v>426</v>
      </c>
      <c r="F972" s="107">
        <v>115.0633</v>
      </c>
      <c r="G972" s="107">
        <v>10.18</v>
      </c>
      <c r="H972" s="108">
        <v>42.0</v>
      </c>
      <c r="I972" s="107">
        <v>0.9725</v>
      </c>
      <c r="K972" s="109">
        <v>43.0</v>
      </c>
      <c r="L972" s="107">
        <v>0.9828</v>
      </c>
      <c r="Y972" s="2" t="s">
        <v>39</v>
      </c>
      <c r="Z972" s="110" t="s">
        <v>427</v>
      </c>
    </row>
    <row r="973" ht="15.75" customHeight="1">
      <c r="A973" s="2" t="s">
        <v>3562</v>
      </c>
      <c r="B973" s="2">
        <v>2.8880465E7</v>
      </c>
      <c r="C973" s="2" t="s">
        <v>3563</v>
      </c>
      <c r="D973" s="2" t="s">
        <v>636</v>
      </c>
      <c r="E973" s="68" t="s">
        <v>428</v>
      </c>
      <c r="F973" s="107">
        <v>117.079</v>
      </c>
      <c r="G973" s="107">
        <v>10.81</v>
      </c>
      <c r="H973" s="108">
        <v>42.0</v>
      </c>
      <c r="I973" s="107">
        <v>0.9161</v>
      </c>
      <c r="K973" s="109">
        <v>43.0</v>
      </c>
      <c r="L973" s="107">
        <v>0.885</v>
      </c>
      <c r="Y973" s="2" t="s">
        <v>39</v>
      </c>
      <c r="Z973" s="110" t="s">
        <v>429</v>
      </c>
    </row>
    <row r="974" ht="15.75" customHeight="1">
      <c r="A974" s="2" t="s">
        <v>3562</v>
      </c>
      <c r="B974" s="2">
        <v>2.8880465E7</v>
      </c>
      <c r="C974" s="2" t="s">
        <v>3563</v>
      </c>
      <c r="D974" s="2" t="s">
        <v>636</v>
      </c>
      <c r="E974" s="68" t="s">
        <v>430</v>
      </c>
      <c r="F974" s="107">
        <v>149.051</v>
      </c>
      <c r="G974" s="107">
        <v>10.89</v>
      </c>
      <c r="H974" s="108">
        <v>42.0</v>
      </c>
      <c r="I974" s="107">
        <v>1.4577</v>
      </c>
      <c r="K974" s="109">
        <v>43.0</v>
      </c>
      <c r="L974" s="107">
        <v>1.186</v>
      </c>
      <c r="Y974" s="2" t="s">
        <v>39</v>
      </c>
      <c r="Z974" s="110" t="s">
        <v>431</v>
      </c>
    </row>
    <row r="975" ht="15.75" customHeight="1">
      <c r="A975" s="2" t="s">
        <v>3562</v>
      </c>
      <c r="B975" s="2">
        <v>2.8880465E7</v>
      </c>
      <c r="C975" s="2" t="s">
        <v>3563</v>
      </c>
      <c r="D975" s="2" t="s">
        <v>636</v>
      </c>
      <c r="E975" s="68" t="s">
        <v>432</v>
      </c>
      <c r="F975" s="107">
        <v>204.0899</v>
      </c>
      <c r="G975" s="107">
        <v>11.44</v>
      </c>
      <c r="H975" s="108">
        <v>42.0</v>
      </c>
      <c r="I975" s="107">
        <v>0.8661</v>
      </c>
      <c r="K975" s="109">
        <v>43.0</v>
      </c>
      <c r="L975" s="107">
        <v>0.7359</v>
      </c>
      <c r="Y975" s="2" t="s">
        <v>39</v>
      </c>
      <c r="Z975" s="110" t="s">
        <v>433</v>
      </c>
    </row>
    <row r="976" ht="15.75" customHeight="1">
      <c r="A976" s="2" t="s">
        <v>3562</v>
      </c>
      <c r="B976" s="2">
        <v>2.8880465E7</v>
      </c>
      <c r="C976" s="2" t="s">
        <v>3563</v>
      </c>
      <c r="D976" s="2" t="s">
        <v>636</v>
      </c>
      <c r="E976" s="68" t="s">
        <v>434</v>
      </c>
      <c r="F976" s="107">
        <v>208.0848</v>
      </c>
      <c r="G976" s="107">
        <v>11.44</v>
      </c>
      <c r="H976" s="108">
        <v>42.0</v>
      </c>
      <c r="I976" s="107">
        <v>1.7386</v>
      </c>
      <c r="K976" s="109">
        <v>43.0</v>
      </c>
      <c r="L976" s="107">
        <v>1.5041</v>
      </c>
      <c r="Y976" s="2" t="s">
        <v>39</v>
      </c>
      <c r="Z976" s="110" t="s">
        <v>435</v>
      </c>
    </row>
    <row r="977" ht="15.75" customHeight="1">
      <c r="A977" s="2" t="s">
        <v>3562</v>
      </c>
      <c r="B977" s="2">
        <v>2.8880465E7</v>
      </c>
      <c r="C977" s="2" t="s">
        <v>3563</v>
      </c>
      <c r="D977" s="2" t="s">
        <v>636</v>
      </c>
      <c r="E977" s="68" t="s">
        <v>436</v>
      </c>
      <c r="F977" s="107">
        <v>222.1004</v>
      </c>
      <c r="G977" s="107">
        <v>11.65</v>
      </c>
      <c r="H977" s="108">
        <v>42.0</v>
      </c>
      <c r="I977" s="107">
        <v>0.8488</v>
      </c>
      <c r="K977" s="109">
        <v>43.0</v>
      </c>
      <c r="L977" s="107">
        <v>0.838</v>
      </c>
      <c r="Y977" s="2" t="s">
        <v>39</v>
      </c>
      <c r="Z977" s="110" t="s">
        <v>437</v>
      </c>
    </row>
    <row r="978" ht="15.75" customHeight="1">
      <c r="A978" s="2" t="s">
        <v>3562</v>
      </c>
      <c r="B978" s="2">
        <v>2.8880465E7</v>
      </c>
      <c r="C978" s="2" t="s">
        <v>3563</v>
      </c>
      <c r="D978" s="2" t="s">
        <v>636</v>
      </c>
      <c r="E978" s="68" t="s">
        <v>438</v>
      </c>
      <c r="F978" s="107">
        <v>165.079</v>
      </c>
      <c r="G978" s="107">
        <v>12.74</v>
      </c>
      <c r="H978" s="108">
        <v>42.0</v>
      </c>
      <c r="I978" s="107">
        <v>0.8073</v>
      </c>
      <c r="K978" s="109">
        <v>43.0</v>
      </c>
      <c r="L978" s="107">
        <v>0.7703</v>
      </c>
      <c r="Y978" s="2" t="s">
        <v>39</v>
      </c>
      <c r="Z978" s="110" t="s">
        <v>439</v>
      </c>
    </row>
    <row r="979" ht="15.75" customHeight="1">
      <c r="A979" s="2" t="s">
        <v>3562</v>
      </c>
      <c r="B979" s="2">
        <v>2.8880465E7</v>
      </c>
      <c r="C979" s="2" t="s">
        <v>3563</v>
      </c>
      <c r="D979" s="2" t="s">
        <v>636</v>
      </c>
      <c r="E979" s="68" t="s">
        <v>319</v>
      </c>
      <c r="F979" s="107">
        <v>198.0528</v>
      </c>
      <c r="G979" s="107">
        <v>12.81</v>
      </c>
      <c r="H979" s="108">
        <v>42.0</v>
      </c>
      <c r="I979" s="107">
        <v>0.3532</v>
      </c>
      <c r="K979" s="109">
        <v>43.0</v>
      </c>
      <c r="L979" s="107">
        <v>1.3415</v>
      </c>
      <c r="Y979" s="2" t="s">
        <v>39</v>
      </c>
      <c r="Z979" s="110" t="s">
        <v>320</v>
      </c>
    </row>
    <row r="980" ht="15.75" customHeight="1">
      <c r="A980" s="2" t="s">
        <v>3562</v>
      </c>
      <c r="B980" s="2">
        <v>2.8880465E7</v>
      </c>
      <c r="C980" s="2" t="s">
        <v>3563</v>
      </c>
      <c r="D980" s="2" t="s">
        <v>636</v>
      </c>
      <c r="E980" s="68" t="s">
        <v>440</v>
      </c>
      <c r="F980" s="107">
        <v>131.0946</v>
      </c>
      <c r="G980" s="107">
        <v>13.06</v>
      </c>
      <c r="H980" s="108">
        <v>42.0</v>
      </c>
      <c r="I980" s="107">
        <v>0.8894</v>
      </c>
      <c r="K980" s="109">
        <v>43.0</v>
      </c>
      <c r="L980" s="107">
        <v>0.8572</v>
      </c>
      <c r="Y980" s="2" t="s">
        <v>39</v>
      </c>
      <c r="Z980" s="110" t="s">
        <v>441</v>
      </c>
    </row>
    <row r="981" ht="15.75" customHeight="1">
      <c r="A981" s="2" t="s">
        <v>3562</v>
      </c>
      <c r="B981" s="2">
        <v>2.8880465E7</v>
      </c>
      <c r="C981" s="2" t="s">
        <v>3563</v>
      </c>
      <c r="D981" s="2" t="s">
        <v>636</v>
      </c>
      <c r="E981" s="68" t="s">
        <v>321</v>
      </c>
      <c r="F981" s="107">
        <v>129.079</v>
      </c>
      <c r="G981" s="107">
        <v>13.45</v>
      </c>
      <c r="H981" s="108">
        <v>42.0</v>
      </c>
      <c r="I981" s="107">
        <v>0.8705</v>
      </c>
      <c r="K981" s="109">
        <v>43.0</v>
      </c>
      <c r="L981" s="107">
        <v>0.6964</v>
      </c>
      <c r="Y981" s="2" t="s">
        <v>39</v>
      </c>
      <c r="Z981" s="110" t="s">
        <v>322</v>
      </c>
    </row>
    <row r="982" ht="15.75" customHeight="1">
      <c r="A982" s="2" t="s">
        <v>3562</v>
      </c>
      <c r="B982" s="2">
        <v>2.8880465E7</v>
      </c>
      <c r="C982" s="2" t="s">
        <v>3563</v>
      </c>
      <c r="D982" s="2" t="s">
        <v>636</v>
      </c>
      <c r="E982" s="68" t="s">
        <v>442</v>
      </c>
      <c r="F982" s="107">
        <v>131.0946</v>
      </c>
      <c r="G982" s="107">
        <v>13.36</v>
      </c>
      <c r="H982" s="108">
        <v>42.0</v>
      </c>
      <c r="I982" s="107">
        <v>0.883</v>
      </c>
      <c r="K982" s="109">
        <v>43.0</v>
      </c>
      <c r="L982" s="107">
        <v>0.8433</v>
      </c>
      <c r="Y982" s="2" t="s">
        <v>39</v>
      </c>
      <c r="Z982" s="110" t="s">
        <v>443</v>
      </c>
    </row>
    <row r="983" ht="15.75" customHeight="1">
      <c r="A983" s="2" t="s">
        <v>3562</v>
      </c>
      <c r="B983" s="2">
        <v>2.8880465E7</v>
      </c>
      <c r="C983" s="2" t="s">
        <v>3563</v>
      </c>
      <c r="D983" s="2" t="s">
        <v>636</v>
      </c>
      <c r="E983" s="68" t="s">
        <v>444</v>
      </c>
      <c r="F983" s="107">
        <v>138.0429</v>
      </c>
      <c r="G983" s="107">
        <v>13.52</v>
      </c>
      <c r="H983" s="108">
        <v>42.0</v>
      </c>
      <c r="I983" s="107">
        <v>0.7015</v>
      </c>
      <c r="K983" s="109">
        <v>43.0</v>
      </c>
      <c r="L983" s="107">
        <v>0.7643</v>
      </c>
      <c r="Y983" s="2" t="s">
        <v>39</v>
      </c>
      <c r="Z983" s="110" t="s">
        <v>445</v>
      </c>
    </row>
    <row r="984" ht="15.75" customHeight="1">
      <c r="A984" s="2" t="s">
        <v>3562</v>
      </c>
      <c r="B984" s="2">
        <v>2.8880465E7</v>
      </c>
      <c r="C984" s="2" t="s">
        <v>3563</v>
      </c>
      <c r="D984" s="2" t="s">
        <v>636</v>
      </c>
      <c r="E984" s="68" t="s">
        <v>446</v>
      </c>
      <c r="F984" s="107">
        <v>222.0674</v>
      </c>
      <c r="G984" s="107">
        <v>13.69</v>
      </c>
      <c r="H984" s="108">
        <v>42.0</v>
      </c>
      <c r="I984" s="107">
        <v>0.9857</v>
      </c>
      <c r="K984" s="109">
        <v>43.0</v>
      </c>
      <c r="L984" s="107">
        <v>1.0544</v>
      </c>
      <c r="Y984" s="2" t="s">
        <v>39</v>
      </c>
      <c r="Z984" s="110" t="s">
        <v>447</v>
      </c>
    </row>
    <row r="985" ht="15.75" customHeight="1">
      <c r="A985" s="2" t="s">
        <v>3562</v>
      </c>
      <c r="B985" s="2">
        <v>2.8880465E7</v>
      </c>
      <c r="C985" s="2" t="s">
        <v>3563</v>
      </c>
      <c r="D985" s="2" t="s">
        <v>636</v>
      </c>
      <c r="E985" s="68" t="s">
        <v>448</v>
      </c>
      <c r="F985" s="107">
        <v>162.1004</v>
      </c>
      <c r="G985" s="107">
        <v>13.88</v>
      </c>
      <c r="H985" s="108">
        <v>42.0</v>
      </c>
      <c r="I985" s="107">
        <v>0.8719</v>
      </c>
      <c r="K985" s="109">
        <v>43.0</v>
      </c>
      <c r="L985" s="107">
        <v>0.9307</v>
      </c>
      <c r="Y985" s="2" t="s">
        <v>39</v>
      </c>
      <c r="Z985" s="110" t="s">
        <v>449</v>
      </c>
    </row>
    <row r="986" ht="15.75" customHeight="1">
      <c r="A986" s="2" t="s">
        <v>3562</v>
      </c>
      <c r="B986" s="2">
        <v>2.8880465E7</v>
      </c>
      <c r="C986" s="2" t="s">
        <v>3563</v>
      </c>
      <c r="D986" s="2" t="s">
        <v>636</v>
      </c>
      <c r="E986" s="68" t="s">
        <v>450</v>
      </c>
      <c r="F986" s="107">
        <v>240.0238</v>
      </c>
      <c r="G986" s="107">
        <v>14.11</v>
      </c>
      <c r="H986" s="108">
        <v>42.0</v>
      </c>
      <c r="I986" s="107">
        <v>0.8501</v>
      </c>
      <c r="K986" s="109">
        <v>43.0</v>
      </c>
      <c r="L986" s="107">
        <v>0.8544</v>
      </c>
      <c r="Y986" s="2" t="s">
        <v>39</v>
      </c>
      <c r="Z986" s="110" t="s">
        <v>451</v>
      </c>
    </row>
    <row r="987" ht="15.75" customHeight="1">
      <c r="A987" s="2" t="s">
        <v>3562</v>
      </c>
      <c r="B987" s="2">
        <v>2.8880465E7</v>
      </c>
      <c r="C987" s="2" t="s">
        <v>3563</v>
      </c>
      <c r="D987" s="2" t="s">
        <v>636</v>
      </c>
      <c r="E987" s="68" t="s">
        <v>327</v>
      </c>
      <c r="F987" s="107">
        <v>180.0647</v>
      </c>
      <c r="G987" s="107">
        <v>15.42</v>
      </c>
      <c r="H987" s="108">
        <v>42.0</v>
      </c>
      <c r="I987" s="107">
        <v>1.2695</v>
      </c>
      <c r="K987" s="109">
        <v>43.0</v>
      </c>
      <c r="L987" s="107">
        <v>0.6073</v>
      </c>
      <c r="Y987" s="2" t="s">
        <v>39</v>
      </c>
      <c r="Z987" s="110" t="s">
        <v>328</v>
      </c>
    </row>
    <row r="988" ht="15.75" customHeight="1">
      <c r="A988" s="2" t="s">
        <v>3562</v>
      </c>
      <c r="B988" s="2">
        <v>2.8880465E7</v>
      </c>
      <c r="C988" s="2" t="s">
        <v>3563</v>
      </c>
      <c r="D988" s="2" t="s">
        <v>636</v>
      </c>
      <c r="E988" s="68" t="s">
        <v>452</v>
      </c>
      <c r="F988" s="107">
        <v>278.1631</v>
      </c>
      <c r="G988" s="107">
        <v>15.9</v>
      </c>
      <c r="H988" s="108">
        <v>42.0</v>
      </c>
      <c r="I988" s="107">
        <v>0.749</v>
      </c>
      <c r="K988" s="109">
        <v>43.0</v>
      </c>
      <c r="L988" s="107">
        <v>0.7936</v>
      </c>
      <c r="Y988" s="2" t="s">
        <v>39</v>
      </c>
      <c r="Z988" s="110" t="s">
        <v>326</v>
      </c>
    </row>
    <row r="989" ht="15.75" customHeight="1">
      <c r="A989" s="2" t="s">
        <v>3562</v>
      </c>
      <c r="B989" s="2">
        <v>2.8880465E7</v>
      </c>
      <c r="C989" s="2" t="s">
        <v>3563</v>
      </c>
      <c r="D989" s="2" t="s">
        <v>636</v>
      </c>
      <c r="E989" s="68" t="s">
        <v>453</v>
      </c>
      <c r="F989" s="107">
        <v>132.0899</v>
      </c>
      <c r="G989" s="107">
        <v>16.58</v>
      </c>
      <c r="H989" s="108">
        <v>42.0</v>
      </c>
      <c r="I989" s="107">
        <v>0.8229</v>
      </c>
      <c r="K989" s="109">
        <v>43.0</v>
      </c>
      <c r="L989" s="107">
        <v>0.8848</v>
      </c>
      <c r="Y989" s="2" t="s">
        <v>39</v>
      </c>
      <c r="Z989" s="110" t="s">
        <v>297</v>
      </c>
    </row>
    <row r="990" ht="15.75" customHeight="1">
      <c r="A990" s="2" t="s">
        <v>3562</v>
      </c>
      <c r="B990" s="2">
        <v>2.8880465E7</v>
      </c>
      <c r="C990" s="2" t="s">
        <v>3563</v>
      </c>
      <c r="D990" s="2" t="s">
        <v>636</v>
      </c>
      <c r="E990" s="68" t="s">
        <v>454</v>
      </c>
      <c r="F990" s="107">
        <v>103.0633</v>
      </c>
      <c r="G990" s="107">
        <v>16.29</v>
      </c>
      <c r="H990" s="108">
        <v>42.0</v>
      </c>
      <c r="I990" s="107">
        <v>0.9512</v>
      </c>
      <c r="K990" s="109">
        <v>43.0</v>
      </c>
      <c r="L990" s="107">
        <v>0.9735</v>
      </c>
      <c r="Y990" s="2" t="s">
        <v>39</v>
      </c>
      <c r="Z990" s="110" t="s">
        <v>455</v>
      </c>
    </row>
    <row r="991" ht="15.75" customHeight="1">
      <c r="A991" s="2" t="s">
        <v>3562</v>
      </c>
      <c r="B991" s="2">
        <v>2.8880465E7</v>
      </c>
      <c r="C991" s="2" t="s">
        <v>3563</v>
      </c>
      <c r="D991" s="2" t="s">
        <v>636</v>
      </c>
      <c r="E991" s="68" t="s">
        <v>456</v>
      </c>
      <c r="F991" s="107">
        <v>312.1474</v>
      </c>
      <c r="G991" s="107">
        <v>16.55</v>
      </c>
      <c r="H991" s="108">
        <v>42.0</v>
      </c>
      <c r="I991" s="107">
        <v>0.8044</v>
      </c>
      <c r="K991" s="109">
        <v>43.0</v>
      </c>
      <c r="L991" s="107">
        <v>0.7615</v>
      </c>
      <c r="Y991" s="2" t="s">
        <v>39</v>
      </c>
      <c r="Z991" s="110" t="s">
        <v>457</v>
      </c>
    </row>
    <row r="992" ht="15.75" customHeight="1">
      <c r="A992" s="2" t="s">
        <v>3562</v>
      </c>
      <c r="B992" s="2">
        <v>2.8880465E7</v>
      </c>
      <c r="C992" s="2" t="s">
        <v>3563</v>
      </c>
      <c r="D992" s="2" t="s">
        <v>636</v>
      </c>
      <c r="E992" s="68" t="s">
        <v>458</v>
      </c>
      <c r="F992" s="107">
        <v>152.0473</v>
      </c>
      <c r="G992" s="107">
        <v>16.72</v>
      </c>
      <c r="H992" s="108">
        <v>42.0</v>
      </c>
      <c r="I992" s="107">
        <v>0.9189</v>
      </c>
      <c r="K992" s="109">
        <v>43.0</v>
      </c>
      <c r="L992" s="107">
        <v>0.9056</v>
      </c>
      <c r="Y992" s="2" t="s">
        <v>39</v>
      </c>
      <c r="Z992" s="110" t="s">
        <v>459</v>
      </c>
    </row>
    <row r="993" ht="15.75" customHeight="1">
      <c r="A993" s="2" t="s">
        <v>3562</v>
      </c>
      <c r="B993" s="2">
        <v>2.8880465E7</v>
      </c>
      <c r="C993" s="2" t="s">
        <v>3563</v>
      </c>
      <c r="D993" s="2" t="s">
        <v>636</v>
      </c>
      <c r="E993" s="68" t="s">
        <v>460</v>
      </c>
      <c r="F993" s="107">
        <v>152.0473</v>
      </c>
      <c r="G993" s="107">
        <v>16.91</v>
      </c>
      <c r="H993" s="108">
        <v>42.0</v>
      </c>
      <c r="I993" s="107">
        <v>0.9656</v>
      </c>
      <c r="K993" s="109">
        <v>43.0</v>
      </c>
      <c r="L993" s="107">
        <v>1.0179</v>
      </c>
      <c r="Y993" s="2" t="s">
        <v>39</v>
      </c>
      <c r="Z993" s="110" t="s">
        <v>336</v>
      </c>
    </row>
    <row r="994" ht="15.75" customHeight="1">
      <c r="A994" s="2" t="s">
        <v>3562</v>
      </c>
      <c r="B994" s="2">
        <v>2.8880465E7</v>
      </c>
      <c r="C994" s="2" t="s">
        <v>3563</v>
      </c>
      <c r="D994" s="2" t="s">
        <v>636</v>
      </c>
      <c r="E994" s="68" t="s">
        <v>461</v>
      </c>
      <c r="F994" s="107">
        <v>146.1055</v>
      </c>
      <c r="G994" s="107">
        <v>17.47</v>
      </c>
      <c r="H994" s="108">
        <v>42.0</v>
      </c>
      <c r="I994" s="107">
        <v>0.8595</v>
      </c>
      <c r="K994" s="109">
        <v>43.0</v>
      </c>
      <c r="L994" s="107">
        <v>0.8241</v>
      </c>
      <c r="Y994" s="2" t="s">
        <v>39</v>
      </c>
      <c r="Z994" s="110" t="s">
        <v>462</v>
      </c>
    </row>
    <row r="995" ht="15.75" customHeight="1">
      <c r="A995" s="2" t="s">
        <v>3562</v>
      </c>
      <c r="B995" s="2">
        <v>2.8880465E7</v>
      </c>
      <c r="C995" s="2" t="s">
        <v>3563</v>
      </c>
      <c r="D995" s="2" t="s">
        <v>636</v>
      </c>
      <c r="E995" s="68" t="s">
        <v>333</v>
      </c>
      <c r="F995" s="107">
        <v>168.0423</v>
      </c>
      <c r="G995" s="107">
        <v>17.34</v>
      </c>
      <c r="H995" s="108">
        <v>42.0</v>
      </c>
      <c r="I995" s="107">
        <v>0.4441</v>
      </c>
      <c r="K995" s="109">
        <v>43.0</v>
      </c>
      <c r="L995" s="107">
        <v>1.5441</v>
      </c>
      <c r="Y995" s="2" t="s">
        <v>39</v>
      </c>
      <c r="Z995" s="110" t="s">
        <v>334</v>
      </c>
    </row>
    <row r="996" ht="15.75" customHeight="1">
      <c r="A996" s="2" t="s">
        <v>3562</v>
      </c>
      <c r="B996" s="2">
        <v>2.8880465E7</v>
      </c>
      <c r="C996" s="2" t="s">
        <v>3563</v>
      </c>
      <c r="D996" s="2" t="s">
        <v>636</v>
      </c>
      <c r="E996" s="68" t="s">
        <v>331</v>
      </c>
      <c r="F996" s="107">
        <v>138.0317</v>
      </c>
      <c r="G996" s="107">
        <v>17.57</v>
      </c>
      <c r="H996" s="108">
        <v>42.0</v>
      </c>
      <c r="I996" s="107">
        <v>0.944</v>
      </c>
      <c r="K996" s="109">
        <v>43.0</v>
      </c>
      <c r="L996" s="107">
        <v>0.9065</v>
      </c>
      <c r="Y996" s="2" t="s">
        <v>39</v>
      </c>
      <c r="Z996" s="110" t="s">
        <v>332</v>
      </c>
    </row>
    <row r="997" ht="15.75" customHeight="1">
      <c r="A997" s="2" t="s">
        <v>3562</v>
      </c>
      <c r="B997" s="2">
        <v>2.8880465E7</v>
      </c>
      <c r="C997" s="2" t="s">
        <v>3563</v>
      </c>
      <c r="D997" s="2" t="s">
        <v>636</v>
      </c>
      <c r="E997" s="68" t="s">
        <v>463</v>
      </c>
      <c r="F997" s="107">
        <v>166.063</v>
      </c>
      <c r="G997" s="107">
        <v>18.04</v>
      </c>
      <c r="H997" s="108">
        <v>42.0</v>
      </c>
      <c r="I997" s="107">
        <v>0.9563</v>
      </c>
      <c r="K997" s="109">
        <v>43.0</v>
      </c>
      <c r="L997" s="107">
        <v>0.8265</v>
      </c>
      <c r="Y997" s="2" t="s">
        <v>39</v>
      </c>
      <c r="Z997" s="110" t="s">
        <v>464</v>
      </c>
    </row>
    <row r="998" ht="15.75" customHeight="1">
      <c r="A998" s="2" t="s">
        <v>3562</v>
      </c>
      <c r="B998" s="2">
        <v>2.8880465E7</v>
      </c>
      <c r="C998" s="2" t="s">
        <v>3563</v>
      </c>
      <c r="D998" s="2" t="s">
        <v>636</v>
      </c>
      <c r="E998" s="68" t="s">
        <v>465</v>
      </c>
      <c r="F998" s="107">
        <v>155.0695</v>
      </c>
      <c r="G998" s="107">
        <v>18.09</v>
      </c>
      <c r="H998" s="108">
        <v>42.0</v>
      </c>
      <c r="I998" s="107">
        <v>0.9064</v>
      </c>
      <c r="K998" s="109">
        <v>43.0</v>
      </c>
      <c r="L998" s="107">
        <v>0.8699</v>
      </c>
      <c r="Y998" s="2" t="s">
        <v>39</v>
      </c>
      <c r="Z998" s="110" t="s">
        <v>466</v>
      </c>
    </row>
    <row r="999" ht="15.75" customHeight="1">
      <c r="A999" s="2" t="s">
        <v>3562</v>
      </c>
      <c r="B999" s="2">
        <v>2.8880465E7</v>
      </c>
      <c r="C999" s="2" t="s">
        <v>3563</v>
      </c>
      <c r="D999" s="2" t="s">
        <v>636</v>
      </c>
      <c r="E999" s="68" t="s">
        <v>467</v>
      </c>
      <c r="F999" s="107">
        <v>161.0477</v>
      </c>
      <c r="G999" s="107">
        <v>19.27</v>
      </c>
      <c r="H999" s="108">
        <v>42.0</v>
      </c>
      <c r="I999" s="107">
        <v>0.957</v>
      </c>
      <c r="K999" s="109">
        <v>43.0</v>
      </c>
      <c r="L999" s="107">
        <v>0.8733</v>
      </c>
      <c r="Y999" s="2" t="s">
        <v>39</v>
      </c>
      <c r="Z999" s="110" t="s">
        <v>468</v>
      </c>
    </row>
    <row r="1000" ht="15.75" customHeight="1">
      <c r="A1000" s="2" t="s">
        <v>3562</v>
      </c>
      <c r="B1000" s="2">
        <v>2.8880465E7</v>
      </c>
      <c r="C1000" s="2" t="s">
        <v>3563</v>
      </c>
      <c r="D1000" s="2" t="s">
        <v>636</v>
      </c>
      <c r="E1000" s="68" t="s">
        <v>469</v>
      </c>
      <c r="F1000" s="107">
        <v>88.1</v>
      </c>
      <c r="G1000" s="107">
        <v>21.27</v>
      </c>
      <c r="H1000" s="108">
        <v>42.0</v>
      </c>
      <c r="I1000" s="107">
        <v>1.0035</v>
      </c>
      <c r="K1000" s="109">
        <v>43.0</v>
      </c>
      <c r="L1000" s="107">
        <v>0.9671</v>
      </c>
      <c r="Y1000" s="2" t="s">
        <v>39</v>
      </c>
      <c r="Z1000" s="110" t="s">
        <v>470</v>
      </c>
    </row>
    <row r="1001" ht="15.75" customHeight="1">
      <c r="A1001" s="2" t="s">
        <v>3562</v>
      </c>
      <c r="B1001" s="2">
        <v>2.8880465E7</v>
      </c>
      <c r="C1001" s="2" t="s">
        <v>3563</v>
      </c>
      <c r="D1001" s="2" t="s">
        <v>636</v>
      </c>
      <c r="E1001" s="68" t="s">
        <v>471</v>
      </c>
      <c r="F1001" s="107">
        <v>168.0423</v>
      </c>
      <c r="G1001" s="107">
        <v>21.64</v>
      </c>
      <c r="H1001" s="108">
        <v>42.0</v>
      </c>
      <c r="I1001" s="107">
        <v>0.9627</v>
      </c>
      <c r="K1001" s="109">
        <v>43.0</v>
      </c>
      <c r="L1001" s="107">
        <v>0.9094</v>
      </c>
      <c r="Y1001" s="2" t="s">
        <v>39</v>
      </c>
      <c r="Z1001" s="110" t="s">
        <v>472</v>
      </c>
    </row>
    <row r="1002" ht="15.75" customHeight="1">
      <c r="A1002" s="2" t="s">
        <v>3562</v>
      </c>
      <c r="B1002" s="2">
        <v>2.8880465E7</v>
      </c>
      <c r="C1002" s="2" t="s">
        <v>3563</v>
      </c>
      <c r="D1002" s="2" t="s">
        <v>636</v>
      </c>
      <c r="E1002" s="68" t="s">
        <v>473</v>
      </c>
      <c r="F1002" s="107">
        <v>181.0739</v>
      </c>
      <c r="G1002" s="107">
        <v>22.65</v>
      </c>
      <c r="H1002" s="108">
        <v>42.0</v>
      </c>
      <c r="I1002" s="107">
        <v>0.8215</v>
      </c>
      <c r="K1002" s="109">
        <v>43.0</v>
      </c>
      <c r="L1002" s="107">
        <v>0.7283</v>
      </c>
      <c r="Y1002" s="2" t="s">
        <v>39</v>
      </c>
      <c r="Z1002" s="110" t="s">
        <v>474</v>
      </c>
    </row>
    <row r="1003" ht="15.75" customHeight="1">
      <c r="A1003" s="2" t="s">
        <v>3562</v>
      </c>
      <c r="B1003" s="2">
        <v>2.8880465E7</v>
      </c>
      <c r="C1003" s="2" t="s">
        <v>3563</v>
      </c>
      <c r="D1003" s="2" t="s">
        <v>636</v>
      </c>
      <c r="E1003" s="68" t="s">
        <v>351</v>
      </c>
      <c r="F1003" s="107">
        <v>224.0797</v>
      </c>
      <c r="G1003" s="107">
        <v>24.0</v>
      </c>
      <c r="H1003" s="108">
        <v>42.0</v>
      </c>
      <c r="I1003" s="107">
        <v>0.5755</v>
      </c>
      <c r="K1003" s="109">
        <v>43.0</v>
      </c>
      <c r="L1003" s="107">
        <v>0.9479</v>
      </c>
      <c r="Y1003" s="2" t="s">
        <v>39</v>
      </c>
      <c r="Z1003" s="110" t="s">
        <v>352</v>
      </c>
    </row>
    <row r="1004" ht="15.75" customHeight="1">
      <c r="A1004" s="2" t="s">
        <v>3562</v>
      </c>
      <c r="B1004" s="2">
        <v>2.8880465E7</v>
      </c>
      <c r="C1004" s="2" t="s">
        <v>3563</v>
      </c>
      <c r="D1004" s="2" t="s">
        <v>636</v>
      </c>
      <c r="E1004" s="68" t="s">
        <v>475</v>
      </c>
      <c r="F1004" s="107">
        <v>94.0419</v>
      </c>
      <c r="G1004" s="107">
        <v>23.16</v>
      </c>
      <c r="H1004" s="108">
        <v>42.0</v>
      </c>
      <c r="I1004" s="107">
        <v>0.6177</v>
      </c>
      <c r="K1004" s="109">
        <v>43.0</v>
      </c>
      <c r="L1004" s="107">
        <v>0.5513</v>
      </c>
      <c r="Y1004" s="2" t="s">
        <v>39</v>
      </c>
      <c r="Z1004" s="110" t="s">
        <v>476</v>
      </c>
    </row>
    <row r="1005" ht="15.75" customHeight="1">
      <c r="A1005" s="2" t="s">
        <v>3562</v>
      </c>
      <c r="B1005" s="2">
        <v>2.8880465E7</v>
      </c>
      <c r="C1005" s="2" t="s">
        <v>3563</v>
      </c>
      <c r="D1005" s="2" t="s">
        <v>636</v>
      </c>
      <c r="E1005" s="68" t="s">
        <v>361</v>
      </c>
      <c r="F1005" s="107">
        <v>176.095</v>
      </c>
      <c r="G1005" s="107">
        <v>24.65</v>
      </c>
      <c r="H1005" s="108">
        <v>42.0</v>
      </c>
      <c r="I1005" s="107">
        <v>1.2032</v>
      </c>
      <c r="K1005" s="109">
        <v>43.0</v>
      </c>
      <c r="L1005" s="107">
        <v>0.9554</v>
      </c>
      <c r="Y1005" s="2" t="s">
        <v>39</v>
      </c>
      <c r="Z1005" s="110" t="s">
        <v>362</v>
      </c>
    </row>
    <row r="1006" ht="15.75" customHeight="1">
      <c r="A1006" s="1" t="s">
        <v>61</v>
      </c>
      <c r="B1006" s="20">
        <v>2.4167579E7</v>
      </c>
      <c r="C1006" s="1" t="s">
        <v>3564</v>
      </c>
      <c r="E1006" s="1" t="s">
        <v>3565</v>
      </c>
      <c r="F1006" s="111">
        <v>97.02791571</v>
      </c>
      <c r="G1006" s="112">
        <v>164.6985498</v>
      </c>
      <c r="H1006" s="4"/>
      <c r="I1006" s="4"/>
      <c r="J1006" s="4"/>
      <c r="K1006" s="4"/>
      <c r="L1006" s="113"/>
      <c r="N1006" s="114" t="s">
        <v>3566</v>
      </c>
      <c r="Y1006" s="2" t="s">
        <v>39</v>
      </c>
    </row>
    <row r="1007" ht="15.75" customHeight="1">
      <c r="B1007" s="2">
        <v>2.4167579E7</v>
      </c>
      <c r="D1007" s="115"/>
      <c r="E1007" s="115" t="s">
        <v>3567</v>
      </c>
      <c r="F1007" s="111">
        <v>398.7429082</v>
      </c>
      <c r="G1007" s="112">
        <v>53.70902237</v>
      </c>
      <c r="N1007" s="114" t="s">
        <v>3568</v>
      </c>
      <c r="Y1007" s="2" t="s">
        <v>39</v>
      </c>
    </row>
    <row r="1008" ht="15.75" customHeight="1">
      <c r="B1008" s="2">
        <v>2.4167579E7</v>
      </c>
      <c r="E1008" s="1" t="s">
        <v>3569</v>
      </c>
      <c r="F1008" s="111">
        <v>386.2439319</v>
      </c>
      <c r="G1008" s="112">
        <v>384.9142386</v>
      </c>
      <c r="N1008" s="114" t="s">
        <v>3570</v>
      </c>
      <c r="Y1008" s="2" t="s">
        <v>39</v>
      </c>
    </row>
    <row r="1009" ht="15.75" customHeight="1">
      <c r="B1009" s="2">
        <v>2.4167579E7</v>
      </c>
      <c r="E1009" s="1" t="s">
        <v>3571</v>
      </c>
      <c r="F1009" s="111">
        <v>507.0433606</v>
      </c>
      <c r="G1009" s="112">
        <v>52.74135752</v>
      </c>
      <c r="N1009" s="114" t="s">
        <v>3572</v>
      </c>
      <c r="Y1009" s="2" t="s">
        <v>39</v>
      </c>
    </row>
    <row r="1010" ht="15.75" customHeight="1">
      <c r="B1010" s="2">
        <v>2.4167579E7</v>
      </c>
      <c r="D1010" s="115"/>
      <c r="E1010" s="115" t="s">
        <v>3573</v>
      </c>
      <c r="F1010" s="111">
        <v>447.0939282</v>
      </c>
      <c r="G1010" s="112">
        <v>64.62576384</v>
      </c>
      <c r="N1010" s="116" t="s">
        <v>3574</v>
      </c>
      <c r="Y1010" s="2" t="s">
        <v>39</v>
      </c>
    </row>
    <row r="1011" ht="15.75" customHeight="1">
      <c r="B1011" s="2">
        <v>2.4167579E7</v>
      </c>
      <c r="D1011" s="115"/>
      <c r="E1011" s="115" t="s">
        <v>3573</v>
      </c>
      <c r="F1011" s="111">
        <v>447.091326</v>
      </c>
      <c r="G1011" s="112">
        <v>58.83490086</v>
      </c>
      <c r="N1011" s="116" t="s">
        <v>3574</v>
      </c>
      <c r="Y1011" s="2" t="s">
        <v>39</v>
      </c>
    </row>
    <row r="1012" ht="15.75" customHeight="1">
      <c r="B1012" s="2">
        <v>2.4167579E7</v>
      </c>
      <c r="E1012" s="1" t="s">
        <v>3575</v>
      </c>
      <c r="F1012" s="111">
        <v>293.0283735</v>
      </c>
      <c r="G1012" s="112">
        <v>51.4637451</v>
      </c>
      <c r="N1012" s="114" t="s">
        <v>3576</v>
      </c>
      <c r="Y1012" s="2" t="s">
        <v>39</v>
      </c>
    </row>
    <row r="1013" ht="15.75" customHeight="1">
      <c r="B1013" s="2">
        <v>2.4167579E7</v>
      </c>
      <c r="E1013" s="1" t="s">
        <v>3577</v>
      </c>
      <c r="F1013" s="111">
        <v>507.0433606</v>
      </c>
      <c r="G1013" s="112">
        <v>52.74135752</v>
      </c>
      <c r="N1013" s="114" t="s">
        <v>3578</v>
      </c>
      <c r="Y1013" s="2" t="s">
        <v>39</v>
      </c>
    </row>
    <row r="1014" ht="15.75" customHeight="1">
      <c r="B1014" s="2">
        <v>2.4167579E7</v>
      </c>
      <c r="E1014" s="1" t="s">
        <v>3579</v>
      </c>
      <c r="F1014" s="111">
        <v>389.128061</v>
      </c>
      <c r="G1014" s="112">
        <v>67.13690161</v>
      </c>
      <c r="N1014" s="114" t="s">
        <v>3580</v>
      </c>
      <c r="Y1014" s="2" t="s">
        <v>39</v>
      </c>
    </row>
    <row r="1015" ht="15.75" customHeight="1">
      <c r="B1015" s="2">
        <v>2.4167579E7</v>
      </c>
      <c r="E1015" s="1" t="s">
        <v>3581</v>
      </c>
      <c r="F1015" s="111">
        <v>494.1437541</v>
      </c>
      <c r="G1015" s="112">
        <v>404.8686029</v>
      </c>
      <c r="N1015" s="114" t="s">
        <v>3582</v>
      </c>
      <c r="Y1015" s="2" t="s">
        <v>39</v>
      </c>
    </row>
    <row r="1016" ht="15.75" customHeight="1">
      <c r="B1016" s="2">
        <v>2.4167579E7</v>
      </c>
      <c r="E1016" s="1" t="s">
        <v>3583</v>
      </c>
      <c r="F1016" s="111">
        <v>395.2761058</v>
      </c>
      <c r="G1016" s="112">
        <v>414.8494589</v>
      </c>
      <c r="N1016" s="114" t="s">
        <v>3584</v>
      </c>
      <c r="Y1016" s="2" t="s">
        <v>39</v>
      </c>
    </row>
    <row r="1017" ht="15.75" customHeight="1">
      <c r="B1017" s="2">
        <v>2.4167579E7</v>
      </c>
      <c r="E1017" s="1" t="s">
        <v>3585</v>
      </c>
      <c r="F1017" s="111">
        <v>371.0315657</v>
      </c>
      <c r="G1017" s="112">
        <v>56.7677947</v>
      </c>
      <c r="N1017" s="114" t="s">
        <v>3586</v>
      </c>
      <c r="Y1017" s="2" t="s">
        <v>39</v>
      </c>
    </row>
    <row r="1018" ht="15.75" customHeight="1">
      <c r="B1018" s="2">
        <v>2.4167579E7</v>
      </c>
      <c r="E1018" s="1" t="s">
        <v>3587</v>
      </c>
      <c r="F1018" s="111">
        <v>560.6328631</v>
      </c>
      <c r="G1018" s="112">
        <v>54.48810693</v>
      </c>
      <c r="N1018" s="114" t="s">
        <v>3588</v>
      </c>
      <c r="Y1018" s="2" t="s">
        <v>39</v>
      </c>
    </row>
    <row r="1019" ht="15.75" customHeight="1">
      <c r="B1019" s="2">
        <v>2.4167579E7</v>
      </c>
      <c r="E1019" s="1" t="s">
        <v>3589</v>
      </c>
      <c r="F1019" s="111">
        <v>159.065571</v>
      </c>
      <c r="G1019" s="112">
        <v>533.4888898</v>
      </c>
      <c r="N1019" s="114" t="s">
        <v>3590</v>
      </c>
      <c r="Y1019" s="2" t="s">
        <v>39</v>
      </c>
    </row>
    <row r="1020" ht="15.75" customHeight="1">
      <c r="B1020" s="2">
        <v>2.4167579E7</v>
      </c>
      <c r="D1020" s="115"/>
      <c r="E1020" s="115" t="s">
        <v>3591</v>
      </c>
      <c r="F1020" s="111">
        <v>184.1323407</v>
      </c>
      <c r="G1020" s="112">
        <v>101.6831386</v>
      </c>
      <c r="N1020" s="114" t="s">
        <v>3592</v>
      </c>
      <c r="Y1020" s="2" t="s">
        <v>39</v>
      </c>
    </row>
    <row r="1021" ht="15.75" customHeight="1">
      <c r="B1021" s="2">
        <v>2.4167579E7</v>
      </c>
      <c r="E1021" s="1" t="s">
        <v>3593</v>
      </c>
      <c r="F1021" s="111">
        <v>287.0023969</v>
      </c>
      <c r="G1021" s="112">
        <v>86.85297831</v>
      </c>
      <c r="N1021" s="114" t="s">
        <v>3594</v>
      </c>
      <c r="Y1021" s="2" t="s">
        <v>39</v>
      </c>
    </row>
    <row r="1022" ht="15.75" customHeight="1">
      <c r="B1022" s="2">
        <v>2.4167579E7</v>
      </c>
      <c r="E1022" s="1" t="s">
        <v>3595</v>
      </c>
      <c r="F1022" s="111">
        <v>225.1105549</v>
      </c>
      <c r="G1022" s="112">
        <v>89.06438169</v>
      </c>
      <c r="N1022" s="114" t="s">
        <v>3596</v>
      </c>
      <c r="Y1022" s="2" t="s">
        <v>39</v>
      </c>
    </row>
    <row r="1023" ht="15.75" customHeight="1">
      <c r="B1023" s="2">
        <v>2.4167579E7</v>
      </c>
      <c r="E1023" s="1" t="s">
        <v>3597</v>
      </c>
      <c r="F1023" s="111">
        <v>382.7660059</v>
      </c>
      <c r="G1023" s="112">
        <v>52.99478084</v>
      </c>
      <c r="N1023" s="114" t="s">
        <v>3598</v>
      </c>
      <c r="Y1023" s="2" t="s">
        <v>39</v>
      </c>
    </row>
    <row r="1024" ht="15.75" customHeight="1">
      <c r="B1024" s="2">
        <v>2.4167579E7</v>
      </c>
      <c r="D1024" s="115"/>
      <c r="E1024" s="115" t="s">
        <v>3599</v>
      </c>
      <c r="F1024" s="111">
        <v>507.0495768</v>
      </c>
      <c r="G1024" s="112">
        <v>61.85844884</v>
      </c>
      <c r="N1024" s="116" t="s">
        <v>3600</v>
      </c>
      <c r="Y1024" s="2" t="s">
        <v>39</v>
      </c>
    </row>
    <row r="1025" ht="15.75" customHeight="1">
      <c r="B1025" s="2">
        <v>2.4167579E7</v>
      </c>
      <c r="E1025" s="1" t="s">
        <v>3601</v>
      </c>
      <c r="F1025" s="111">
        <v>560.9719123</v>
      </c>
      <c r="G1025" s="112">
        <v>53.30015334</v>
      </c>
      <c r="N1025" s="114" t="s">
        <v>3602</v>
      </c>
      <c r="Y1025" s="2" t="s">
        <v>39</v>
      </c>
    </row>
    <row r="1026" ht="15.75" customHeight="1">
      <c r="B1026" s="2">
        <v>2.4167579E7</v>
      </c>
      <c r="E1026" s="1" t="s">
        <v>3603</v>
      </c>
      <c r="F1026" s="111">
        <v>223.0962678</v>
      </c>
      <c r="G1026" s="112">
        <v>306.2296926</v>
      </c>
      <c r="N1026" s="114" t="s">
        <v>3604</v>
      </c>
      <c r="Y1026" s="2" t="s">
        <v>39</v>
      </c>
    </row>
    <row r="1027" ht="15.75" customHeight="1">
      <c r="B1027" s="2">
        <v>2.4167579E7</v>
      </c>
      <c r="E1027" s="1" t="s">
        <v>3603</v>
      </c>
      <c r="F1027" s="111">
        <v>223.0961094</v>
      </c>
      <c r="G1027" s="112">
        <v>303.6117467</v>
      </c>
      <c r="N1027" s="114" t="s">
        <v>3604</v>
      </c>
      <c r="Y1027" s="2" t="s">
        <v>39</v>
      </c>
    </row>
    <row r="1028" ht="15.75" customHeight="1">
      <c r="B1028" s="2">
        <v>2.4167579E7</v>
      </c>
      <c r="E1028" s="1" t="s">
        <v>3605</v>
      </c>
      <c r="F1028" s="111">
        <v>225.0406883</v>
      </c>
      <c r="G1028" s="112">
        <v>135.2594849</v>
      </c>
      <c r="N1028" s="114" t="s">
        <v>3606</v>
      </c>
      <c r="Y1028" s="2" t="s">
        <v>39</v>
      </c>
    </row>
    <row r="1029" ht="15.75" customHeight="1">
      <c r="B1029" s="2">
        <v>2.4167579E7</v>
      </c>
      <c r="E1029" s="1" t="s">
        <v>3607</v>
      </c>
      <c r="F1029" s="111">
        <v>445.2398655</v>
      </c>
      <c r="G1029" s="112">
        <v>316.8519108</v>
      </c>
      <c r="N1029" s="114" t="s">
        <v>3608</v>
      </c>
      <c r="Y1029" s="2" t="s">
        <v>39</v>
      </c>
    </row>
    <row r="1030" ht="15.75" customHeight="1">
      <c r="B1030" s="2">
        <v>2.4167579E7</v>
      </c>
      <c r="E1030" s="1" t="s">
        <v>3609</v>
      </c>
      <c r="F1030" s="111">
        <v>292.0660327</v>
      </c>
      <c r="G1030" s="112">
        <v>37.47223221</v>
      </c>
      <c r="N1030" s="114" t="s">
        <v>3610</v>
      </c>
      <c r="Y1030" s="2" t="s">
        <v>39</v>
      </c>
    </row>
    <row r="1031" ht="15.75" customHeight="1">
      <c r="B1031" s="2">
        <v>2.4167579E7</v>
      </c>
      <c r="E1031" s="1" t="s">
        <v>3611</v>
      </c>
      <c r="F1031" s="111">
        <v>338.3408599</v>
      </c>
      <c r="G1031" s="112">
        <v>452.7094979</v>
      </c>
      <c r="N1031" s="114" t="s">
        <v>3612</v>
      </c>
      <c r="Y1031" s="2" t="s">
        <v>39</v>
      </c>
    </row>
    <row r="1032" ht="15.75" customHeight="1">
      <c r="B1032" s="2">
        <v>2.4167579E7</v>
      </c>
      <c r="E1032" s="1" t="s">
        <v>3613</v>
      </c>
      <c r="F1032" s="111">
        <v>329.1562271</v>
      </c>
      <c r="G1032" s="112">
        <v>80.60362232</v>
      </c>
      <c r="N1032" s="114" t="s">
        <v>3614</v>
      </c>
      <c r="Y1032" s="2" t="s">
        <v>39</v>
      </c>
    </row>
    <row r="1033" ht="15.75" customHeight="1">
      <c r="B1033" s="2">
        <v>2.4167579E7</v>
      </c>
      <c r="E1033" s="1" t="s">
        <v>3615</v>
      </c>
      <c r="F1033" s="111">
        <v>515.0748761</v>
      </c>
      <c r="G1033" s="112">
        <v>68.76874797</v>
      </c>
      <c r="N1033" s="116" t="s">
        <v>3616</v>
      </c>
      <c r="Y1033" s="2" t="s">
        <v>39</v>
      </c>
    </row>
    <row r="1034" ht="15.75" customHeight="1">
      <c r="B1034" s="2">
        <v>2.4167579E7</v>
      </c>
      <c r="E1034" s="1" t="s">
        <v>3617</v>
      </c>
      <c r="F1034" s="111">
        <v>447.0939282</v>
      </c>
      <c r="G1034" s="112">
        <v>64.62576384</v>
      </c>
      <c r="N1034" s="114" t="s">
        <v>3618</v>
      </c>
      <c r="Y1034" s="2" t="s">
        <v>39</v>
      </c>
    </row>
    <row r="1035" ht="15.75" customHeight="1">
      <c r="B1035" s="2">
        <v>2.4167579E7</v>
      </c>
      <c r="E1035" s="1" t="s">
        <v>3619</v>
      </c>
      <c r="F1035" s="111">
        <v>447.091326</v>
      </c>
      <c r="G1035" s="112">
        <v>58.83490086</v>
      </c>
      <c r="N1035" s="116" t="s">
        <v>3620</v>
      </c>
      <c r="Y1035" s="2" t="s">
        <v>39</v>
      </c>
    </row>
    <row r="1036" ht="15.75" customHeight="1">
      <c r="B1036" s="2">
        <v>2.4167579E7</v>
      </c>
      <c r="E1036" s="1" t="s">
        <v>3621</v>
      </c>
      <c r="F1036" s="111">
        <v>507.0495768</v>
      </c>
      <c r="G1036" s="112">
        <v>61.85844884</v>
      </c>
      <c r="N1036" s="114" t="s">
        <v>3578</v>
      </c>
      <c r="Y1036" s="2" t="s">
        <v>39</v>
      </c>
    </row>
    <row r="1037" ht="15.75" customHeight="1">
      <c r="B1037" s="2">
        <v>2.4167579E7</v>
      </c>
      <c r="E1037" s="1" t="s">
        <v>3622</v>
      </c>
      <c r="F1037" s="111">
        <v>272.0420482</v>
      </c>
      <c r="G1037" s="112">
        <v>50.60454393</v>
      </c>
      <c r="N1037" s="116" t="s">
        <v>3623</v>
      </c>
      <c r="Y1037" s="2" t="s">
        <v>39</v>
      </c>
    </row>
    <row r="1038" ht="15.75" customHeight="1">
      <c r="B1038" s="2">
        <v>2.4167579E7</v>
      </c>
      <c r="E1038" s="1" t="s">
        <v>3624</v>
      </c>
      <c r="F1038" s="111">
        <v>91.02704457</v>
      </c>
      <c r="G1038" s="112">
        <v>175.2025003</v>
      </c>
      <c r="N1038" s="116" t="s">
        <v>3625</v>
      </c>
      <c r="Y1038" s="2" t="s">
        <v>39</v>
      </c>
    </row>
    <row r="1039" ht="15.75" customHeight="1">
      <c r="B1039" s="2">
        <v>2.4167579E7</v>
      </c>
      <c r="E1039" s="1" t="s">
        <v>3626</v>
      </c>
      <c r="F1039" s="111">
        <v>279.2309334</v>
      </c>
      <c r="G1039" s="112">
        <v>426.6950888</v>
      </c>
      <c r="N1039" s="116" t="s">
        <v>3627</v>
      </c>
      <c r="Y1039" s="2" t="s">
        <v>39</v>
      </c>
    </row>
    <row r="1040" ht="15.75" customHeight="1">
      <c r="B1040" s="2">
        <v>2.4167579E7</v>
      </c>
      <c r="E1040" s="1" t="s">
        <v>3628</v>
      </c>
      <c r="F1040" s="111">
        <v>355.283564</v>
      </c>
      <c r="G1040" s="112">
        <v>436.2471922</v>
      </c>
      <c r="N1040" s="114" t="s">
        <v>3629</v>
      </c>
      <c r="Y1040" s="2" t="s">
        <v>39</v>
      </c>
    </row>
    <row r="1041" ht="15.75" customHeight="1">
      <c r="B1041" s="2">
        <v>2.4167579E7</v>
      </c>
      <c r="E1041" s="1" t="s">
        <v>3630</v>
      </c>
      <c r="F1041" s="111">
        <v>398.7381812</v>
      </c>
      <c r="G1041" s="112">
        <v>53.79376738</v>
      </c>
      <c r="N1041" s="114" t="s">
        <v>3568</v>
      </c>
      <c r="Y1041" s="2" t="s">
        <v>39</v>
      </c>
    </row>
    <row r="1042" ht="15.75" customHeight="1">
      <c r="B1042" s="2">
        <v>2.4167579E7</v>
      </c>
      <c r="E1042" s="1" t="s">
        <v>3546</v>
      </c>
      <c r="F1042" s="111">
        <v>279.2309334</v>
      </c>
      <c r="G1042" s="112">
        <v>426.6950888</v>
      </c>
      <c r="N1042" s="114" t="s">
        <v>632</v>
      </c>
      <c r="Y1042" s="2" t="s">
        <v>39</v>
      </c>
    </row>
    <row r="1043" ht="15.75" customHeight="1">
      <c r="B1043" s="2">
        <v>2.4167579E7</v>
      </c>
      <c r="E1043" s="1" t="s">
        <v>3631</v>
      </c>
      <c r="F1043" s="111">
        <v>460.2466321</v>
      </c>
      <c r="G1043" s="112">
        <v>76.74849844</v>
      </c>
      <c r="N1043" s="116" t="s">
        <v>3632</v>
      </c>
      <c r="Y1043" s="2" t="s">
        <v>39</v>
      </c>
    </row>
    <row r="1044" ht="15.75" customHeight="1">
      <c r="B1044" s="2">
        <v>2.4167579E7</v>
      </c>
      <c r="E1044" s="1" t="s">
        <v>3633</v>
      </c>
      <c r="F1044" s="111">
        <v>200.8585842</v>
      </c>
      <c r="G1044" s="112">
        <v>55.24630428</v>
      </c>
      <c r="N1044" s="114" t="s">
        <v>3634</v>
      </c>
      <c r="Y1044" s="2" t="s">
        <v>39</v>
      </c>
    </row>
    <row r="1045" ht="15.75" customHeight="1">
      <c r="B1045" s="2">
        <v>2.4167579E7</v>
      </c>
      <c r="E1045" s="1" t="s">
        <v>3635</v>
      </c>
      <c r="F1045" s="111">
        <v>121.0643466</v>
      </c>
      <c r="G1045" s="112">
        <v>175.0850178</v>
      </c>
      <c r="N1045" s="114" t="s">
        <v>3636</v>
      </c>
      <c r="Y1045" s="2" t="s">
        <v>39</v>
      </c>
    </row>
    <row r="1046" ht="15.75" customHeight="1">
      <c r="B1046" s="2">
        <v>2.4167579E7</v>
      </c>
      <c r="E1046" s="1" t="s">
        <v>3637</v>
      </c>
      <c r="F1046" s="111">
        <v>440.2799466</v>
      </c>
      <c r="G1046" s="112">
        <v>330.032093</v>
      </c>
      <c r="N1046" s="114" t="s">
        <v>3638</v>
      </c>
      <c r="Y1046" s="2" t="s">
        <v>39</v>
      </c>
    </row>
    <row r="1047" ht="15.75" customHeight="1">
      <c r="B1047" s="2">
        <v>2.4167579E7</v>
      </c>
      <c r="E1047" s="1" t="s">
        <v>3639</v>
      </c>
      <c r="F1047" s="111">
        <v>223.0962678</v>
      </c>
      <c r="G1047" s="112">
        <v>306.2296926</v>
      </c>
      <c r="N1047" s="116" t="s">
        <v>3640</v>
      </c>
      <c r="Y1047" s="2" t="s">
        <v>39</v>
      </c>
    </row>
    <row r="1048" ht="15.75" customHeight="1">
      <c r="B1048" s="2">
        <v>2.4167579E7</v>
      </c>
      <c r="E1048" s="1" t="s">
        <v>3639</v>
      </c>
      <c r="F1048" s="111">
        <v>223.0961094</v>
      </c>
      <c r="G1048" s="112">
        <v>303.6117467</v>
      </c>
      <c r="N1048" s="116" t="s">
        <v>3640</v>
      </c>
      <c r="Y1048" s="2" t="s">
        <v>39</v>
      </c>
    </row>
    <row r="1049" ht="15.75" customHeight="1">
      <c r="B1049" s="2">
        <v>2.4167579E7</v>
      </c>
      <c r="E1049" s="1" t="s">
        <v>3641</v>
      </c>
      <c r="F1049" s="111">
        <v>219.1725362</v>
      </c>
      <c r="G1049" s="112">
        <v>59.15389273</v>
      </c>
      <c r="N1049" s="114" t="s">
        <v>3642</v>
      </c>
      <c r="Y1049" s="2" t="s">
        <v>39</v>
      </c>
    </row>
    <row r="1050" ht="15.75" customHeight="1">
      <c r="B1050" s="2">
        <v>2.4167579E7</v>
      </c>
      <c r="E1050" s="1" t="s">
        <v>3641</v>
      </c>
      <c r="F1050" s="111">
        <v>203.1799821</v>
      </c>
      <c r="G1050" s="112">
        <v>217.4489953</v>
      </c>
      <c r="N1050" s="114" t="s">
        <v>3643</v>
      </c>
      <c r="Y1050" s="2" t="s">
        <v>39</v>
      </c>
    </row>
    <row r="1051" ht="15.75" customHeight="1">
      <c r="B1051" s="2">
        <v>2.4167579E7</v>
      </c>
      <c r="E1051" s="1" t="s">
        <v>3644</v>
      </c>
      <c r="F1051" s="111">
        <v>329.1562271</v>
      </c>
      <c r="G1051" s="112">
        <v>80.60362232</v>
      </c>
      <c r="N1051" s="116" t="s">
        <v>3645</v>
      </c>
      <c r="Y1051" s="2" t="s">
        <v>39</v>
      </c>
    </row>
    <row r="1052" ht="15.75" customHeight="1">
      <c r="B1052" s="2">
        <v>2.4167579E7</v>
      </c>
      <c r="E1052" s="1" t="s">
        <v>3646</v>
      </c>
      <c r="F1052" s="111">
        <v>225.1105549</v>
      </c>
      <c r="G1052" s="112">
        <v>89.06438169</v>
      </c>
      <c r="N1052" s="116" t="s">
        <v>3647</v>
      </c>
      <c r="Y1052" s="2" t="s">
        <v>39</v>
      </c>
    </row>
    <row r="1053" ht="15.75" customHeight="1">
      <c r="B1053" s="2">
        <v>2.4167579E7</v>
      </c>
      <c r="E1053" s="1" t="s">
        <v>3648</v>
      </c>
      <c r="F1053" s="111">
        <v>220.1709197</v>
      </c>
      <c r="G1053" s="112">
        <v>169.0112384</v>
      </c>
      <c r="N1053" s="114" t="s">
        <v>3649</v>
      </c>
      <c r="Y1053" s="2" t="s">
        <v>39</v>
      </c>
    </row>
    <row r="1054" ht="15.75" customHeight="1">
      <c r="B1054" s="2">
        <v>2.4167579E7</v>
      </c>
      <c r="E1054" s="1" t="s">
        <v>3650</v>
      </c>
      <c r="F1054" s="111">
        <v>562.7434105</v>
      </c>
      <c r="G1054" s="112">
        <v>55.09106461</v>
      </c>
      <c r="N1054" s="114" t="s">
        <v>3651</v>
      </c>
      <c r="Y1054" s="2" t="s">
        <v>39</v>
      </c>
    </row>
    <row r="1055" ht="15.75" customHeight="1">
      <c r="B1055" s="2">
        <v>2.4167579E7</v>
      </c>
      <c r="E1055" s="1" t="s">
        <v>3652</v>
      </c>
      <c r="F1055" s="111">
        <v>159.065571</v>
      </c>
      <c r="G1055" s="112">
        <v>533.4888898</v>
      </c>
      <c r="N1055" s="114" t="s">
        <v>3653</v>
      </c>
      <c r="Y1055" s="2" t="s">
        <v>39</v>
      </c>
    </row>
    <row r="1056" ht="15.75" customHeight="1">
      <c r="B1056" s="2">
        <v>2.4167579E7</v>
      </c>
      <c r="E1056" s="1" t="s">
        <v>3654</v>
      </c>
      <c r="F1056" s="111">
        <v>401.8945972</v>
      </c>
      <c r="G1056" s="112">
        <v>54.99748273</v>
      </c>
      <c r="N1056" s="114" t="s">
        <v>3655</v>
      </c>
      <c r="Y1056" s="2" t="s">
        <v>39</v>
      </c>
    </row>
    <row r="1057" ht="15.75" customHeight="1">
      <c r="B1057" s="2">
        <v>2.4167579E7</v>
      </c>
      <c r="E1057" s="1" t="s">
        <v>3656</v>
      </c>
      <c r="F1057" s="111">
        <v>219.1725362</v>
      </c>
      <c r="G1057" s="112">
        <v>59.15389273</v>
      </c>
      <c r="N1057" s="116" t="s">
        <v>3657</v>
      </c>
      <c r="Y1057" s="2" t="s">
        <v>39</v>
      </c>
    </row>
    <row r="1058" ht="15.75" customHeight="1">
      <c r="B1058" s="2">
        <v>2.4167579E7</v>
      </c>
      <c r="E1058" s="1" t="s">
        <v>3658</v>
      </c>
      <c r="F1058" s="111">
        <v>219.1705495</v>
      </c>
      <c r="G1058" s="112">
        <v>54.27453835</v>
      </c>
      <c r="N1058" s="114" t="s">
        <v>3657</v>
      </c>
      <c r="Y1058" s="2" t="s">
        <v>39</v>
      </c>
    </row>
    <row r="1059" ht="15.75" customHeight="1">
      <c r="B1059" s="2">
        <v>2.4167579E7</v>
      </c>
      <c r="E1059" s="1" t="s">
        <v>3659</v>
      </c>
      <c r="F1059" s="111">
        <v>387.1794335</v>
      </c>
      <c r="G1059" s="112">
        <v>59.03164135</v>
      </c>
      <c r="N1059" s="116" t="s">
        <v>3660</v>
      </c>
      <c r="Y1059" s="2" t="s">
        <v>39</v>
      </c>
    </row>
    <row r="1060" ht="15.75" customHeight="1">
      <c r="B1060" s="2">
        <v>2.4167579E7</v>
      </c>
      <c r="E1060" s="1" t="s">
        <v>3661</v>
      </c>
      <c r="F1060" s="111">
        <v>388.2574178</v>
      </c>
      <c r="G1060" s="112">
        <v>323.9440138</v>
      </c>
      <c r="N1060" s="114" t="s">
        <v>3662</v>
      </c>
      <c r="Y1060" s="2" t="s">
        <v>39</v>
      </c>
    </row>
    <row r="1061" ht="15.75" customHeight="1">
      <c r="B1061" s="2">
        <v>2.4167579E7</v>
      </c>
      <c r="E1061" s="1" t="s">
        <v>3663</v>
      </c>
      <c r="F1061" s="111">
        <v>445.2398655</v>
      </c>
      <c r="G1061" s="112">
        <v>316.8519108</v>
      </c>
      <c r="N1061" s="114" t="s">
        <v>3664</v>
      </c>
      <c r="Y1061" s="2" t="s">
        <v>39</v>
      </c>
    </row>
    <row r="1062" ht="15.75" customHeight="1">
      <c r="B1062" s="2">
        <v>2.4167579E7</v>
      </c>
      <c r="D1062" s="117"/>
      <c r="E1062" s="117"/>
      <c r="F1062" s="118"/>
      <c r="G1062" s="119"/>
      <c r="H1062" s="120"/>
      <c r="I1062" s="120"/>
      <c r="J1062" s="120"/>
      <c r="K1062" s="120"/>
      <c r="L1062" s="120"/>
      <c r="N1062" s="120"/>
      <c r="Y1062" s="2" t="s">
        <v>39</v>
      </c>
    </row>
    <row r="1063" ht="15.75" customHeight="1">
      <c r="B1063" s="2">
        <v>2.4167579E7</v>
      </c>
      <c r="D1063" s="117"/>
      <c r="E1063" s="117"/>
      <c r="F1063" s="118"/>
      <c r="G1063" s="119"/>
      <c r="H1063" s="120"/>
      <c r="I1063" s="120"/>
      <c r="J1063" s="120"/>
      <c r="K1063" s="120"/>
      <c r="L1063" s="120"/>
      <c r="N1063" s="120"/>
      <c r="Y1063" s="2" t="s">
        <v>39</v>
      </c>
    </row>
    <row r="1064" ht="15.75" customHeight="1">
      <c r="B1064" s="2">
        <v>2.4167579E7</v>
      </c>
      <c r="D1064" s="117"/>
      <c r="E1064" s="117"/>
      <c r="F1064" s="118"/>
      <c r="G1064" s="119"/>
      <c r="H1064" s="120"/>
      <c r="I1064" s="120"/>
      <c r="J1064" s="120"/>
      <c r="K1064" s="120"/>
      <c r="L1064" s="120"/>
      <c r="N1064" s="120"/>
      <c r="Y1064" s="2" t="s">
        <v>39</v>
      </c>
    </row>
    <row r="1065" ht="15.75" customHeight="1">
      <c r="B1065" s="2">
        <v>2.4167579E7</v>
      </c>
      <c r="D1065" s="117"/>
      <c r="E1065" s="117"/>
      <c r="F1065" s="118"/>
      <c r="G1065" s="119"/>
      <c r="H1065" s="120"/>
      <c r="I1065" s="120"/>
      <c r="J1065" s="120"/>
      <c r="K1065" s="120"/>
      <c r="L1065" s="120"/>
      <c r="N1065" s="120"/>
      <c r="Y1065" s="2" t="s">
        <v>39</v>
      </c>
    </row>
    <row r="1066" ht="15.75" customHeight="1">
      <c r="B1066" s="2">
        <v>2.4167579E7</v>
      </c>
      <c r="C1066" s="1" t="s">
        <v>3665</v>
      </c>
      <c r="D1066" s="117"/>
      <c r="E1066" s="121" t="s">
        <v>3666</v>
      </c>
      <c r="F1066" s="122">
        <v>494.1438</v>
      </c>
      <c r="G1066" s="123">
        <v>404.8686029</v>
      </c>
      <c r="H1066" s="124"/>
      <c r="I1066" s="124"/>
      <c r="J1066" s="124"/>
      <c r="K1066" s="124"/>
      <c r="L1066" s="124">
        <v>80808.58830125</v>
      </c>
      <c r="N1066" s="124" t="s">
        <v>3667</v>
      </c>
      <c r="Y1066" s="2" t="s">
        <v>39</v>
      </c>
    </row>
    <row r="1067" ht="15.75" customHeight="1">
      <c r="B1067" s="2">
        <v>2.4167579E7</v>
      </c>
      <c r="D1067" s="117"/>
      <c r="E1067" s="121" t="s">
        <v>3668</v>
      </c>
      <c r="F1067" s="122">
        <v>263.0077</v>
      </c>
      <c r="G1067" s="123">
        <v>57.62315983</v>
      </c>
      <c r="H1067" s="124"/>
      <c r="I1067" s="124"/>
      <c r="J1067" s="124"/>
      <c r="K1067" s="124"/>
      <c r="L1067" s="124">
        <v>773082.6025</v>
      </c>
      <c r="N1067" s="124" t="s">
        <v>3669</v>
      </c>
      <c r="Y1067" s="2" t="s">
        <v>39</v>
      </c>
    </row>
    <row r="1068" ht="15.75" customHeight="1">
      <c r="B1068" s="2">
        <v>2.4167579E7</v>
      </c>
      <c r="D1068" s="117"/>
      <c r="E1068" s="121" t="s">
        <v>3670</v>
      </c>
      <c r="F1068" s="122">
        <v>371.0316</v>
      </c>
      <c r="G1068" s="123">
        <v>56.7677947</v>
      </c>
      <c r="H1068" s="124"/>
      <c r="I1068" s="124"/>
      <c r="J1068" s="124"/>
      <c r="K1068" s="124"/>
      <c r="L1068" s="124">
        <v>29050.01430625001</v>
      </c>
      <c r="N1068" s="124" t="s">
        <v>3586</v>
      </c>
      <c r="Y1068" s="2" t="s">
        <v>39</v>
      </c>
    </row>
    <row r="1069" ht="15.75" customHeight="1">
      <c r="B1069" s="2">
        <v>2.4167579E7</v>
      </c>
      <c r="D1069" s="117"/>
      <c r="E1069" s="121" t="s">
        <v>3671</v>
      </c>
      <c r="F1069" s="125">
        <v>217.1218</v>
      </c>
      <c r="G1069" s="126">
        <v>302.93824</v>
      </c>
      <c r="H1069" s="127"/>
      <c r="I1069" s="127"/>
      <c r="J1069" s="127"/>
      <c r="K1069" s="127"/>
      <c r="L1069" s="127">
        <v>57130.10476749998</v>
      </c>
      <c r="N1069" s="124" t="s">
        <v>3672</v>
      </c>
      <c r="Y1069" s="2" t="s">
        <v>39</v>
      </c>
    </row>
    <row r="1070" ht="15.75" customHeight="1">
      <c r="B1070" s="2">
        <v>2.4167579E7</v>
      </c>
      <c r="D1070" s="117"/>
      <c r="E1070" s="121" t="s">
        <v>3673</v>
      </c>
      <c r="F1070" s="122">
        <v>219.1705</v>
      </c>
      <c r="G1070" s="123">
        <v>54.27453835</v>
      </c>
      <c r="H1070" s="124"/>
      <c r="I1070" s="124"/>
      <c r="J1070" s="124"/>
      <c r="K1070" s="124"/>
      <c r="L1070" s="124">
        <v>200052.51522500004</v>
      </c>
      <c r="N1070" s="124" t="s">
        <v>3657</v>
      </c>
      <c r="Y1070" s="2" t="s">
        <v>39</v>
      </c>
    </row>
    <row r="1071" ht="15.75" customHeight="1">
      <c r="B1071" s="2">
        <v>2.4167579E7</v>
      </c>
      <c r="D1071" s="117"/>
      <c r="E1071" s="121" t="s">
        <v>3673</v>
      </c>
      <c r="F1071" s="122">
        <v>219.1725</v>
      </c>
      <c r="G1071" s="123">
        <v>59.15389273</v>
      </c>
      <c r="H1071" s="124"/>
      <c r="I1071" s="124"/>
      <c r="J1071" s="124"/>
      <c r="K1071" s="124"/>
      <c r="L1071" s="124">
        <v>242189.45898749997</v>
      </c>
      <c r="N1071" s="124" t="s">
        <v>3657</v>
      </c>
      <c r="Y1071" s="2" t="s">
        <v>39</v>
      </c>
    </row>
    <row r="1072" ht="15.75" customHeight="1">
      <c r="B1072" s="2">
        <v>2.4167579E7</v>
      </c>
      <c r="D1072" s="117"/>
      <c r="E1072" s="121" t="s">
        <v>3571</v>
      </c>
      <c r="F1072" s="125"/>
      <c r="G1072" s="126"/>
      <c r="H1072" s="127"/>
      <c r="I1072" s="127"/>
      <c r="J1072" s="127"/>
      <c r="K1072" s="127"/>
      <c r="L1072" s="127"/>
      <c r="N1072" s="124" t="s">
        <v>3572</v>
      </c>
      <c r="Y1072" s="2" t="s">
        <v>39</v>
      </c>
    </row>
    <row r="1073" ht="15.75" customHeight="1">
      <c r="B1073" s="2">
        <v>2.4167579E7</v>
      </c>
      <c r="D1073" s="117"/>
      <c r="E1073" s="121" t="s">
        <v>3674</v>
      </c>
      <c r="F1073" s="122">
        <v>203.18</v>
      </c>
      <c r="G1073" s="123">
        <v>217.4489953</v>
      </c>
      <c r="H1073" s="124"/>
      <c r="I1073" s="124"/>
      <c r="J1073" s="124"/>
      <c r="K1073" s="124"/>
      <c r="L1073" s="124">
        <v>72777.39670125002</v>
      </c>
      <c r="N1073" s="124" t="s">
        <v>3643</v>
      </c>
      <c r="Y1073" s="2" t="s">
        <v>39</v>
      </c>
    </row>
    <row r="1074" ht="15.75" customHeight="1">
      <c r="B1074" s="2">
        <v>2.4167579E7</v>
      </c>
      <c r="D1074" s="117"/>
      <c r="E1074" s="121" t="s">
        <v>3675</v>
      </c>
      <c r="F1074" s="122">
        <v>443.0693</v>
      </c>
      <c r="G1074" s="123">
        <v>65.42144132</v>
      </c>
      <c r="H1074" s="124"/>
      <c r="I1074" s="124"/>
      <c r="J1074" s="124"/>
      <c r="K1074" s="124"/>
      <c r="L1074" s="124">
        <v>67052.02899750003</v>
      </c>
      <c r="N1074" s="124" t="s">
        <v>3676</v>
      </c>
      <c r="Y1074" s="2" t="s">
        <v>39</v>
      </c>
    </row>
    <row r="1075" ht="15.75" customHeight="1">
      <c r="B1075" s="2">
        <v>2.4167579E7</v>
      </c>
      <c r="D1075" s="117"/>
      <c r="E1075" s="121" t="s">
        <v>3677</v>
      </c>
      <c r="F1075" s="122">
        <v>763.4664</v>
      </c>
      <c r="G1075" s="123">
        <v>416.9793184</v>
      </c>
      <c r="H1075" s="124"/>
      <c r="I1075" s="124"/>
      <c r="J1075" s="124"/>
      <c r="K1075" s="124"/>
      <c r="L1075" s="124">
        <v>442254.3911250001</v>
      </c>
      <c r="N1075" s="124" t="s">
        <v>3678</v>
      </c>
      <c r="Y1075" s="2" t="s">
        <v>39</v>
      </c>
    </row>
    <row r="1076" ht="15.75" customHeight="1">
      <c r="B1076" s="2">
        <v>2.4167579E7</v>
      </c>
      <c r="D1076" s="117"/>
      <c r="E1076" s="121" t="s">
        <v>3679</v>
      </c>
      <c r="F1076" s="122">
        <v>386.2439</v>
      </c>
      <c r="G1076" s="123">
        <v>384.9142386</v>
      </c>
      <c r="H1076" s="124"/>
      <c r="I1076" s="124"/>
      <c r="J1076" s="124"/>
      <c r="K1076" s="124"/>
      <c r="L1076" s="124">
        <v>67090.260022375</v>
      </c>
      <c r="N1076" s="124" t="s">
        <v>3570</v>
      </c>
      <c r="Y1076" s="2" t="s">
        <v>39</v>
      </c>
    </row>
    <row r="1077" ht="15.75" customHeight="1">
      <c r="B1077" s="2">
        <v>2.4167579E7</v>
      </c>
      <c r="D1077" s="117"/>
      <c r="E1077" s="121" t="s">
        <v>3680</v>
      </c>
      <c r="F1077" s="122">
        <v>133.0313</v>
      </c>
      <c r="G1077" s="123">
        <v>55.43459551</v>
      </c>
      <c r="H1077" s="124"/>
      <c r="I1077" s="124"/>
      <c r="J1077" s="124"/>
      <c r="K1077" s="124"/>
      <c r="L1077" s="124">
        <v>296942.2450000001</v>
      </c>
      <c r="N1077" s="124" t="s">
        <v>3681</v>
      </c>
      <c r="Y1077" s="2" t="s">
        <v>39</v>
      </c>
    </row>
    <row r="1078" ht="15.75" customHeight="1">
      <c r="B1078" s="2">
        <v>2.4167579E7</v>
      </c>
      <c r="D1078" s="117"/>
      <c r="E1078" s="121" t="s">
        <v>3682</v>
      </c>
      <c r="F1078" s="125">
        <v>174.0889</v>
      </c>
      <c r="G1078" s="126">
        <v>546.8533368</v>
      </c>
      <c r="H1078" s="127"/>
      <c r="I1078" s="127"/>
      <c r="J1078" s="127"/>
      <c r="K1078" s="127"/>
      <c r="L1078" s="127">
        <v>119404.47675000007</v>
      </c>
      <c r="N1078" s="124" t="s">
        <v>1034</v>
      </c>
      <c r="Y1078" s="2" t="s">
        <v>39</v>
      </c>
    </row>
    <row r="1079" ht="15.75" customHeight="1">
      <c r="B1079" s="2">
        <v>2.4167579E7</v>
      </c>
      <c r="D1079" s="117"/>
      <c r="E1079" s="121" t="s">
        <v>3683</v>
      </c>
      <c r="F1079" s="125">
        <v>219.0256</v>
      </c>
      <c r="G1079" s="126">
        <v>52.56593777</v>
      </c>
      <c r="H1079" s="127"/>
      <c r="I1079" s="127"/>
      <c r="J1079" s="127"/>
      <c r="K1079" s="127"/>
      <c r="L1079" s="127">
        <v>1101242.935875001</v>
      </c>
      <c r="N1079" s="124" t="s">
        <v>3684</v>
      </c>
      <c r="Y1079" s="2" t="s">
        <v>39</v>
      </c>
    </row>
    <row r="1080" ht="15.75" customHeight="1">
      <c r="B1080" s="2">
        <v>2.4167579E7</v>
      </c>
      <c r="D1080" s="117"/>
      <c r="E1080" s="121" t="s">
        <v>3591</v>
      </c>
      <c r="F1080" s="122">
        <v>184.1323</v>
      </c>
      <c r="G1080" s="123">
        <v>101.6831386</v>
      </c>
      <c r="H1080" s="124"/>
      <c r="I1080" s="124"/>
      <c r="J1080" s="124"/>
      <c r="K1080" s="124"/>
      <c r="L1080" s="124">
        <v>154647.5278750001</v>
      </c>
      <c r="N1080" s="124" t="s">
        <v>3592</v>
      </c>
      <c r="Y1080" s="2" t="s">
        <v>39</v>
      </c>
    </row>
    <row r="1081" ht="15.75" customHeight="1">
      <c r="B1081" s="2">
        <v>2.4167579E7</v>
      </c>
      <c r="D1081" s="117"/>
      <c r="E1081" s="121" t="s">
        <v>3685</v>
      </c>
      <c r="F1081" s="122">
        <v>121.0643</v>
      </c>
      <c r="G1081" s="123">
        <v>175.0850178</v>
      </c>
      <c r="H1081" s="124"/>
      <c r="I1081" s="124"/>
      <c r="J1081" s="124"/>
      <c r="K1081" s="124"/>
      <c r="L1081" s="124">
        <v>206645.19300000012</v>
      </c>
      <c r="N1081" s="124" t="s">
        <v>3636</v>
      </c>
      <c r="Y1081" s="2" t="s">
        <v>39</v>
      </c>
    </row>
    <row r="1082" ht="15.75" customHeight="1">
      <c r="B1082" s="2">
        <v>2.4167579E7</v>
      </c>
      <c r="D1082" s="117"/>
      <c r="E1082" s="121" t="s">
        <v>3686</v>
      </c>
      <c r="F1082" s="125"/>
      <c r="G1082" s="126"/>
      <c r="H1082" s="127"/>
      <c r="I1082" s="127"/>
      <c r="J1082" s="127"/>
      <c r="K1082" s="127"/>
      <c r="L1082" s="127"/>
      <c r="N1082" s="124" t="s">
        <v>3687</v>
      </c>
      <c r="Y1082" s="2" t="s">
        <v>39</v>
      </c>
    </row>
    <row r="1083" ht="15.75" customHeight="1">
      <c r="B1083" s="2">
        <v>2.4167579E7</v>
      </c>
      <c r="D1083" s="117"/>
      <c r="E1083" s="121" t="s">
        <v>3686</v>
      </c>
      <c r="F1083" s="125"/>
      <c r="G1083" s="126"/>
      <c r="H1083" s="127"/>
      <c r="I1083" s="127"/>
      <c r="J1083" s="127"/>
      <c r="K1083" s="127"/>
      <c r="L1083" s="127"/>
      <c r="N1083" s="124" t="s">
        <v>3687</v>
      </c>
      <c r="Y1083" s="2" t="s">
        <v>39</v>
      </c>
    </row>
    <row r="1084" ht="15.75" customHeight="1">
      <c r="B1084" s="2">
        <v>2.4167579E7</v>
      </c>
      <c r="D1084" s="117"/>
      <c r="E1084" s="121" t="s">
        <v>3597</v>
      </c>
      <c r="F1084" s="122">
        <v>102.0907</v>
      </c>
      <c r="G1084" s="123">
        <v>382.9422404</v>
      </c>
      <c r="H1084" s="124"/>
      <c r="I1084" s="124"/>
      <c r="J1084" s="124"/>
      <c r="K1084" s="124"/>
      <c r="L1084" s="124">
        <v>4580426.057500001</v>
      </c>
      <c r="N1084" s="124" t="s">
        <v>3598</v>
      </c>
      <c r="Y1084" s="2" t="s">
        <v>39</v>
      </c>
    </row>
    <row r="1085" ht="15.75" customHeight="1">
      <c r="B1085" s="2">
        <v>2.4167579E7</v>
      </c>
      <c r="D1085" s="117"/>
      <c r="E1085" s="121" t="s">
        <v>3688</v>
      </c>
      <c r="F1085" s="122">
        <v>427.2432</v>
      </c>
      <c r="G1085" s="123">
        <v>313.0598514</v>
      </c>
      <c r="H1085" s="124"/>
      <c r="I1085" s="124"/>
      <c r="J1085" s="124"/>
      <c r="K1085" s="124"/>
      <c r="L1085" s="124">
        <v>53049.03308374999</v>
      </c>
      <c r="N1085" s="124" t="s">
        <v>1379</v>
      </c>
      <c r="Y1085" s="2" t="s">
        <v>39</v>
      </c>
    </row>
    <row r="1086" ht="15.75" customHeight="1">
      <c r="B1086" s="2">
        <v>2.4167579E7</v>
      </c>
      <c r="D1086" s="117"/>
      <c r="E1086" s="121" t="s">
        <v>3689</v>
      </c>
      <c r="F1086" s="122">
        <v>199.9557</v>
      </c>
      <c r="G1086" s="123">
        <v>289.4353402</v>
      </c>
      <c r="H1086" s="124"/>
      <c r="I1086" s="124"/>
      <c r="J1086" s="124"/>
      <c r="K1086" s="124"/>
      <c r="L1086" s="124">
        <v>259441.84995000003</v>
      </c>
      <c r="N1086" s="124" t="s">
        <v>3690</v>
      </c>
      <c r="Y1086" s="2" t="s">
        <v>39</v>
      </c>
    </row>
    <row r="1087" ht="15.75" customHeight="1">
      <c r="B1087" s="2">
        <v>2.4167579E7</v>
      </c>
      <c r="D1087" s="117"/>
      <c r="E1087" s="121" t="s">
        <v>3691</v>
      </c>
      <c r="F1087" s="125"/>
      <c r="G1087" s="126"/>
      <c r="H1087" s="127"/>
      <c r="I1087" s="127"/>
      <c r="J1087" s="127"/>
      <c r="K1087" s="127"/>
      <c r="L1087" s="127"/>
      <c r="N1087" s="124" t="s">
        <v>3692</v>
      </c>
      <c r="Y1087" s="2" t="s">
        <v>39</v>
      </c>
    </row>
    <row r="1088" ht="15.75" customHeight="1">
      <c r="B1088" s="2">
        <v>2.4167579E7</v>
      </c>
      <c r="D1088" s="117"/>
      <c r="E1088" s="121" t="s">
        <v>3693</v>
      </c>
      <c r="F1088" s="122">
        <v>402.2356</v>
      </c>
      <c r="G1088" s="123">
        <v>346.912255</v>
      </c>
      <c r="H1088" s="124"/>
      <c r="I1088" s="124"/>
      <c r="J1088" s="124"/>
      <c r="K1088" s="124"/>
      <c r="L1088" s="124">
        <v>161056.13116250004</v>
      </c>
      <c r="N1088" s="124" t="s">
        <v>3694</v>
      </c>
      <c r="Y1088" s="2" t="s">
        <v>39</v>
      </c>
    </row>
    <row r="1089" ht="15.75" customHeight="1">
      <c r="B1089" s="2">
        <v>2.4167579E7</v>
      </c>
      <c r="D1089" s="117"/>
      <c r="E1089" s="121" t="s">
        <v>3607</v>
      </c>
      <c r="F1089" s="125">
        <v>445.2399</v>
      </c>
      <c r="G1089" s="126">
        <v>316.8519108</v>
      </c>
      <c r="H1089" s="127"/>
      <c r="I1089" s="127"/>
      <c r="J1089" s="127"/>
      <c r="K1089" s="127"/>
      <c r="L1089" s="127">
        <v>242992.51129999998</v>
      </c>
      <c r="N1089" s="124" t="s">
        <v>3608</v>
      </c>
      <c r="Y1089" s="2" t="s">
        <v>39</v>
      </c>
    </row>
    <row r="1090" ht="15.75" customHeight="1">
      <c r="B1090" s="2">
        <v>2.4167579E7</v>
      </c>
      <c r="D1090" s="117"/>
      <c r="E1090" s="121" t="s">
        <v>3695</v>
      </c>
      <c r="F1090" s="122">
        <v>532.0063</v>
      </c>
      <c r="G1090" s="123">
        <v>47.26725831</v>
      </c>
      <c r="H1090" s="124"/>
      <c r="I1090" s="124"/>
      <c r="J1090" s="124"/>
      <c r="K1090" s="124"/>
      <c r="L1090" s="124">
        <v>1415913.1245000004</v>
      </c>
      <c r="N1090" s="124" t="s">
        <v>3696</v>
      </c>
      <c r="Y1090" s="2" t="s">
        <v>39</v>
      </c>
    </row>
    <row r="1091" ht="15.75" customHeight="1">
      <c r="B1091" s="2">
        <v>2.4167579E7</v>
      </c>
      <c r="D1091" s="117"/>
      <c r="E1091" s="121" t="s">
        <v>3697</v>
      </c>
      <c r="F1091" s="122">
        <v>290.1647</v>
      </c>
      <c r="G1091" s="123">
        <v>66.2194691</v>
      </c>
      <c r="H1091" s="124"/>
      <c r="I1091" s="124"/>
      <c r="J1091" s="124"/>
      <c r="K1091" s="124"/>
      <c r="L1091" s="124">
        <v>204158.44356625003</v>
      </c>
      <c r="N1091" s="124" t="s">
        <v>3698</v>
      </c>
      <c r="Y1091" s="2" t="s">
        <v>39</v>
      </c>
    </row>
    <row r="1092" ht="15.75" customHeight="1">
      <c r="B1092" s="2">
        <v>2.4167579E7</v>
      </c>
      <c r="D1092" s="117"/>
      <c r="E1092" s="121" t="s">
        <v>3621</v>
      </c>
      <c r="F1092" s="125">
        <v>507.0434</v>
      </c>
      <c r="G1092" s="126">
        <v>52.74135752</v>
      </c>
      <c r="H1092" s="127"/>
      <c r="I1092" s="127"/>
      <c r="J1092" s="127"/>
      <c r="K1092" s="127"/>
      <c r="L1092" s="127">
        <v>571016.044</v>
      </c>
      <c r="N1092" s="124" t="s">
        <v>3578</v>
      </c>
      <c r="Y1092" s="2" t="s">
        <v>39</v>
      </c>
    </row>
    <row r="1093" ht="15.75" customHeight="1">
      <c r="B1093" s="2">
        <v>2.4167579E7</v>
      </c>
      <c r="D1093" s="117"/>
      <c r="E1093" s="121" t="s">
        <v>3621</v>
      </c>
      <c r="F1093" s="125">
        <v>507.0496</v>
      </c>
      <c r="G1093" s="126">
        <v>61.85844884</v>
      </c>
      <c r="H1093" s="127"/>
      <c r="I1093" s="127"/>
      <c r="J1093" s="127"/>
      <c r="K1093" s="127"/>
      <c r="L1093" s="127">
        <v>618873.5915000003</v>
      </c>
      <c r="N1093" s="124" t="s">
        <v>3578</v>
      </c>
      <c r="Y1093" s="2" t="s">
        <v>39</v>
      </c>
    </row>
    <row r="1094" ht="15.75" customHeight="1">
      <c r="B1094" s="2">
        <v>2.4167579E7</v>
      </c>
      <c r="D1094" s="117"/>
      <c r="E1094" s="121" t="s">
        <v>3699</v>
      </c>
      <c r="F1094" s="125">
        <v>447.0939</v>
      </c>
      <c r="G1094" s="126">
        <v>64.62576384</v>
      </c>
      <c r="H1094" s="127"/>
      <c r="I1094" s="127"/>
      <c r="J1094" s="127"/>
      <c r="K1094" s="127"/>
      <c r="L1094" s="127">
        <v>471956.95074999996</v>
      </c>
      <c r="N1094" s="124" t="s">
        <v>3618</v>
      </c>
      <c r="Y1094" s="2" t="s">
        <v>39</v>
      </c>
    </row>
    <row r="1095" ht="15.75" customHeight="1">
      <c r="B1095" s="2">
        <v>2.4167579E7</v>
      </c>
      <c r="D1095" s="117"/>
      <c r="E1095" s="121" t="s">
        <v>3699</v>
      </c>
      <c r="F1095" s="122">
        <v>515.0749</v>
      </c>
      <c r="G1095" s="123">
        <v>68.76874797</v>
      </c>
      <c r="H1095" s="124"/>
      <c r="I1095" s="124"/>
      <c r="J1095" s="124"/>
      <c r="K1095" s="124"/>
      <c r="L1095" s="124">
        <v>63432.262267875</v>
      </c>
      <c r="N1095" s="124" t="s">
        <v>3616</v>
      </c>
      <c r="Y1095" s="2" t="s">
        <v>39</v>
      </c>
    </row>
    <row r="1096" ht="15.75" customHeight="1">
      <c r="B1096" s="2">
        <v>2.4167579E7</v>
      </c>
      <c r="D1096" s="117"/>
      <c r="E1096" s="121" t="s">
        <v>3700</v>
      </c>
      <c r="F1096" s="125"/>
      <c r="G1096" s="126"/>
      <c r="H1096" s="127"/>
      <c r="I1096" s="127"/>
      <c r="J1096" s="127"/>
      <c r="K1096" s="127"/>
      <c r="L1096" s="127"/>
      <c r="N1096" s="124" t="s">
        <v>3701</v>
      </c>
      <c r="Y1096" s="2" t="s">
        <v>39</v>
      </c>
    </row>
    <row r="1097" ht="15.75" customHeight="1">
      <c r="B1097" s="2">
        <v>2.4167579E7</v>
      </c>
      <c r="D1097" s="117"/>
      <c r="E1097" s="121" t="s">
        <v>3702</v>
      </c>
      <c r="F1097" s="125"/>
      <c r="G1097" s="126"/>
      <c r="H1097" s="127"/>
      <c r="I1097" s="127"/>
      <c r="J1097" s="127"/>
      <c r="K1097" s="127"/>
      <c r="L1097" s="127"/>
      <c r="N1097" s="124" t="s">
        <v>3703</v>
      </c>
      <c r="Y1097" s="2" t="s">
        <v>39</v>
      </c>
    </row>
    <row r="1098" ht="15.75" customHeight="1">
      <c r="B1098" s="2">
        <v>2.4167579E7</v>
      </c>
      <c r="D1098" s="117"/>
      <c r="E1098" s="121" t="s">
        <v>3704</v>
      </c>
      <c r="F1098" s="125"/>
      <c r="G1098" s="126"/>
      <c r="H1098" s="127"/>
      <c r="I1098" s="127"/>
      <c r="J1098" s="127"/>
      <c r="K1098" s="127"/>
      <c r="L1098" s="127"/>
      <c r="N1098" s="124" t="s">
        <v>3705</v>
      </c>
      <c r="Y1098" s="2" t="s">
        <v>39</v>
      </c>
    </row>
    <row r="1099" ht="15.75" customHeight="1">
      <c r="B1099" s="2">
        <v>2.4167579E7</v>
      </c>
      <c r="D1099" s="117"/>
      <c r="E1099" s="121" t="s">
        <v>3706</v>
      </c>
      <c r="F1099" s="125"/>
      <c r="G1099" s="126"/>
      <c r="H1099" s="127"/>
      <c r="I1099" s="127"/>
      <c r="J1099" s="127"/>
      <c r="K1099" s="127"/>
      <c r="L1099" s="127"/>
      <c r="N1099" s="124" t="s">
        <v>3707</v>
      </c>
      <c r="Y1099" s="2" t="s">
        <v>39</v>
      </c>
    </row>
    <row r="1100" ht="15.75" customHeight="1">
      <c r="B1100" s="2">
        <v>2.4167579E7</v>
      </c>
      <c r="D1100" s="117"/>
      <c r="E1100" s="121" t="s">
        <v>3708</v>
      </c>
      <c r="F1100" s="125"/>
      <c r="G1100" s="126"/>
      <c r="H1100" s="127"/>
      <c r="I1100" s="127"/>
      <c r="J1100" s="127"/>
      <c r="K1100" s="127"/>
      <c r="L1100" s="127"/>
      <c r="N1100" s="124" t="s">
        <v>3709</v>
      </c>
      <c r="Y1100" s="2" t="s">
        <v>39</v>
      </c>
    </row>
    <row r="1101" ht="15.75" customHeight="1">
      <c r="B1101" s="2">
        <v>2.4167579E7</v>
      </c>
      <c r="D1101" s="117"/>
      <c r="E1101" s="121" t="s">
        <v>3708</v>
      </c>
      <c r="F1101" s="125"/>
      <c r="G1101" s="126"/>
      <c r="H1101" s="127"/>
      <c r="I1101" s="127"/>
      <c r="J1101" s="127"/>
      <c r="K1101" s="127"/>
      <c r="L1101" s="127"/>
      <c r="N1101" s="124" t="s">
        <v>3709</v>
      </c>
      <c r="Y1101" s="2" t="s">
        <v>39</v>
      </c>
    </row>
    <row r="1102" ht="15.75" customHeight="1">
      <c r="B1102" s="2">
        <v>2.4167579E7</v>
      </c>
      <c r="D1102" s="117"/>
      <c r="E1102" s="121" t="s">
        <v>3710</v>
      </c>
      <c r="F1102" s="122">
        <v>560.6329</v>
      </c>
      <c r="G1102" s="123">
        <v>54.48810693</v>
      </c>
      <c r="H1102" s="124"/>
      <c r="I1102" s="124"/>
      <c r="J1102" s="124"/>
      <c r="K1102" s="124"/>
      <c r="L1102" s="124">
        <v>262538.5360500001</v>
      </c>
      <c r="N1102" s="124" t="s">
        <v>3588</v>
      </c>
      <c r="Y1102" s="2" t="s">
        <v>39</v>
      </c>
    </row>
    <row r="1103" ht="15.75" customHeight="1">
      <c r="B1103" s="2">
        <v>2.4167579E7</v>
      </c>
      <c r="D1103" s="117"/>
      <c r="E1103" s="121" t="s">
        <v>3711</v>
      </c>
      <c r="F1103" s="125">
        <v>385.2365</v>
      </c>
      <c r="G1103" s="126">
        <v>364.4714851</v>
      </c>
      <c r="H1103" s="127"/>
      <c r="I1103" s="127"/>
      <c r="J1103" s="127"/>
      <c r="K1103" s="127"/>
      <c r="L1103" s="127">
        <v>97244.19442499998</v>
      </c>
      <c r="N1103" s="124" t="s">
        <v>3712</v>
      </c>
      <c r="Y1103" s="2" t="s">
        <v>39</v>
      </c>
    </row>
    <row r="1104" ht="15.75" customHeight="1">
      <c r="B1104" s="2">
        <v>2.4167579E7</v>
      </c>
      <c r="D1104" s="117"/>
      <c r="E1104" s="121" t="s">
        <v>3713</v>
      </c>
      <c r="F1104" s="125"/>
      <c r="G1104" s="126"/>
      <c r="H1104" s="127"/>
      <c r="I1104" s="127"/>
      <c r="J1104" s="127"/>
      <c r="K1104" s="127"/>
      <c r="L1104" s="127"/>
      <c r="N1104" s="124" t="s">
        <v>3714</v>
      </c>
      <c r="Y1104" s="2" t="s">
        <v>39</v>
      </c>
    </row>
    <row r="1105" ht="15.75" customHeight="1">
      <c r="B1105" s="2">
        <v>2.4167579E7</v>
      </c>
      <c r="D1105" s="117"/>
      <c r="E1105" s="121" t="s">
        <v>3715</v>
      </c>
      <c r="F1105" s="122">
        <v>383.1159</v>
      </c>
      <c r="G1105" s="123">
        <v>54.22581966</v>
      </c>
      <c r="H1105" s="124"/>
      <c r="I1105" s="124"/>
      <c r="J1105" s="124"/>
      <c r="K1105" s="124"/>
      <c r="L1105" s="124">
        <v>1163671.5301249998</v>
      </c>
      <c r="N1105" s="124" t="s">
        <v>3716</v>
      </c>
      <c r="Y1105" s="2" t="s">
        <v>39</v>
      </c>
    </row>
    <row r="1106" ht="15.75" customHeight="1">
      <c r="B1106" s="2">
        <v>2.4167579E7</v>
      </c>
      <c r="D1106" s="117"/>
      <c r="E1106" s="121" t="s">
        <v>3717</v>
      </c>
      <c r="F1106" s="125">
        <v>289.2509</v>
      </c>
      <c r="G1106" s="126">
        <v>305.3372924</v>
      </c>
      <c r="H1106" s="127"/>
      <c r="I1106" s="127"/>
      <c r="J1106" s="127"/>
      <c r="K1106" s="127"/>
      <c r="L1106" s="127">
        <v>182688.73057875002</v>
      </c>
      <c r="N1106" s="124" t="s">
        <v>3718</v>
      </c>
      <c r="Y1106" s="2" t="s">
        <v>39</v>
      </c>
    </row>
    <row r="1107" ht="15.75" customHeight="1">
      <c r="B1107" s="2">
        <v>2.4167579E7</v>
      </c>
      <c r="D1107" s="117"/>
      <c r="E1107" s="121" t="s">
        <v>3719</v>
      </c>
      <c r="F1107" s="125"/>
      <c r="G1107" s="126"/>
      <c r="H1107" s="127"/>
      <c r="I1107" s="127"/>
      <c r="J1107" s="127"/>
      <c r="K1107" s="127"/>
      <c r="L1107" s="127"/>
      <c r="N1107" s="124" t="s">
        <v>3720</v>
      </c>
      <c r="Y1107" s="2" t="s">
        <v>39</v>
      </c>
    </row>
    <row r="1108" ht="15.75" customHeight="1">
      <c r="B1108" s="2">
        <v>2.4167579E7</v>
      </c>
      <c r="D1108" s="117"/>
      <c r="E1108" s="121" t="s">
        <v>3721</v>
      </c>
      <c r="F1108" s="125">
        <v>447.0913</v>
      </c>
      <c r="G1108" s="126">
        <v>58.83490086</v>
      </c>
      <c r="H1108" s="127"/>
      <c r="I1108" s="127"/>
      <c r="J1108" s="127"/>
      <c r="K1108" s="127"/>
      <c r="L1108" s="127">
        <v>451946.262875</v>
      </c>
      <c r="N1108" s="124" t="s">
        <v>3722</v>
      </c>
      <c r="Y1108" s="2" t="s">
        <v>39</v>
      </c>
    </row>
    <row r="1109" ht="15.75" customHeight="1">
      <c r="B1109" s="2">
        <v>2.4167579E7</v>
      </c>
      <c r="D1109" s="117"/>
      <c r="E1109" s="121" t="s">
        <v>3646</v>
      </c>
      <c r="F1109" s="122">
        <v>225.1106</v>
      </c>
      <c r="G1109" s="123">
        <v>89.06438169</v>
      </c>
      <c r="H1109" s="124"/>
      <c r="I1109" s="124"/>
      <c r="J1109" s="124"/>
      <c r="K1109" s="124"/>
      <c r="L1109" s="124">
        <v>77777.79000375</v>
      </c>
      <c r="N1109" s="124" t="s">
        <v>3647</v>
      </c>
      <c r="Y1109" s="2" t="s">
        <v>39</v>
      </c>
    </row>
    <row r="1110" ht="15.75" customHeight="1">
      <c r="B1110" s="2">
        <v>2.4167579E7</v>
      </c>
      <c r="D1110" s="117"/>
      <c r="E1110" s="121" t="s">
        <v>3723</v>
      </c>
      <c r="F1110" s="125">
        <v>387.1794</v>
      </c>
      <c r="G1110" s="126">
        <v>59.03164135</v>
      </c>
      <c r="H1110" s="127"/>
      <c r="I1110" s="127"/>
      <c r="J1110" s="127"/>
      <c r="K1110" s="127"/>
      <c r="L1110" s="127">
        <v>149588.80442499998</v>
      </c>
      <c r="N1110" s="124" t="s">
        <v>3660</v>
      </c>
      <c r="Y1110" s="2" t="s">
        <v>39</v>
      </c>
    </row>
    <row r="1111" ht="15.75" customHeight="1">
      <c r="B1111" s="2">
        <v>2.4167579E7</v>
      </c>
      <c r="D1111" s="117"/>
      <c r="E1111" s="121" t="s">
        <v>3724</v>
      </c>
      <c r="F1111" s="122">
        <v>403.2318</v>
      </c>
      <c r="G1111" s="123">
        <v>312.3098851</v>
      </c>
      <c r="H1111" s="124"/>
      <c r="I1111" s="124"/>
      <c r="J1111" s="124"/>
      <c r="K1111" s="124"/>
      <c r="L1111" s="124">
        <v>57404.28188625001</v>
      </c>
      <c r="N1111" s="128" t="s">
        <v>3725</v>
      </c>
      <c r="Y1111" s="2" t="s">
        <v>39</v>
      </c>
    </row>
    <row r="1112" ht="15.75" customHeight="1">
      <c r="B1112" s="2">
        <v>2.4167579E7</v>
      </c>
      <c r="D1112" s="117"/>
      <c r="E1112" s="121" t="s">
        <v>3726</v>
      </c>
      <c r="F1112" s="122">
        <v>388.2574</v>
      </c>
      <c r="G1112" s="123">
        <v>323.9440138</v>
      </c>
      <c r="H1112" s="124"/>
      <c r="I1112" s="124"/>
      <c r="J1112" s="124"/>
      <c r="K1112" s="124"/>
      <c r="L1112" s="124">
        <v>140286.50937499997</v>
      </c>
      <c r="N1112" s="128" t="s">
        <v>3662</v>
      </c>
      <c r="Y1112" s="2" t="s">
        <v>39</v>
      </c>
    </row>
    <row r="1113" ht="15.75" customHeight="1">
      <c r="B1113" s="2">
        <v>2.4167579E7</v>
      </c>
      <c r="D1113" s="117"/>
      <c r="E1113" s="121" t="s">
        <v>3727</v>
      </c>
      <c r="F1113" s="125"/>
      <c r="G1113" s="126"/>
      <c r="H1113" s="127"/>
      <c r="I1113" s="127"/>
      <c r="J1113" s="127"/>
      <c r="K1113" s="127"/>
      <c r="L1113" s="127"/>
      <c r="N1113" s="124" t="s">
        <v>3664</v>
      </c>
      <c r="Y1113" s="2" t="s">
        <v>39</v>
      </c>
    </row>
    <row r="1114" ht="15.75" customHeight="1">
      <c r="B1114" s="2">
        <v>2.4167579E7</v>
      </c>
      <c r="D1114" s="117"/>
      <c r="E1114" s="121" t="s">
        <v>3728</v>
      </c>
      <c r="F1114" s="125">
        <v>288.1542</v>
      </c>
      <c r="G1114" s="126">
        <v>90.83365871</v>
      </c>
      <c r="H1114" s="127"/>
      <c r="I1114" s="127"/>
      <c r="J1114" s="127"/>
      <c r="K1114" s="127"/>
      <c r="L1114" s="127">
        <v>176087.12390874996</v>
      </c>
      <c r="N1114" s="124" t="s">
        <v>3729</v>
      </c>
      <c r="Y1114" s="2" t="s">
        <v>39</v>
      </c>
    </row>
    <row r="1115" ht="15.75" customHeight="1">
      <c r="B1115" s="2">
        <v>2.4167579E7</v>
      </c>
      <c r="D1115" s="117"/>
      <c r="E1115" s="121" t="s">
        <v>3728</v>
      </c>
      <c r="F1115" s="125">
        <v>288.1549</v>
      </c>
      <c r="G1115" s="126">
        <v>89.8633653</v>
      </c>
      <c r="H1115" s="127"/>
      <c r="I1115" s="127"/>
      <c r="J1115" s="127"/>
      <c r="K1115" s="127"/>
      <c r="L1115" s="127">
        <v>179442.48064124997</v>
      </c>
      <c r="N1115" s="124" t="s">
        <v>3729</v>
      </c>
      <c r="Y1115" s="2" t="s">
        <v>39</v>
      </c>
    </row>
    <row r="1116" ht="15.75" customHeight="1">
      <c r="B1116" s="2">
        <v>2.4167579E7</v>
      </c>
      <c r="D1116" s="117"/>
      <c r="E1116" s="121" t="s">
        <v>3730</v>
      </c>
      <c r="F1116" s="125">
        <v>484.3267</v>
      </c>
      <c r="G1116" s="126">
        <v>500.1525349</v>
      </c>
      <c r="H1116" s="127"/>
      <c r="I1116" s="127"/>
      <c r="J1116" s="127"/>
      <c r="K1116" s="127"/>
      <c r="L1116" s="127">
        <v>44023.25345625001</v>
      </c>
      <c r="N1116" s="124" t="s">
        <v>3731</v>
      </c>
      <c r="Y1116" s="2" t="s">
        <v>39</v>
      </c>
    </row>
    <row r="1117" ht="15.75" customHeight="1">
      <c r="B1117" s="2">
        <v>2.4167579E7</v>
      </c>
      <c r="C1117" s="1" t="s">
        <v>3732</v>
      </c>
      <c r="E1117" s="1" t="s">
        <v>3733</v>
      </c>
      <c r="F1117" s="114">
        <v>361.2714944</v>
      </c>
      <c r="G1117" s="112">
        <v>389.5977991</v>
      </c>
      <c r="N1117" s="114" t="s">
        <v>3734</v>
      </c>
      <c r="Y1117" s="2" t="s">
        <v>39</v>
      </c>
    </row>
    <row r="1118" ht="15.75" customHeight="1">
      <c r="B1118" s="2">
        <v>2.4167579E7</v>
      </c>
      <c r="E1118" s="1" t="s">
        <v>3733</v>
      </c>
      <c r="F1118" s="114">
        <v>361.2716873</v>
      </c>
      <c r="G1118" s="112">
        <v>371.7837934</v>
      </c>
      <c r="N1118" s="114" t="s">
        <v>3734</v>
      </c>
      <c r="Y1118" s="2" t="s">
        <v>39</v>
      </c>
    </row>
    <row r="1119" ht="15.75" customHeight="1">
      <c r="B1119" s="2">
        <v>2.4167579E7</v>
      </c>
      <c r="E1119" s="1" t="s">
        <v>3735</v>
      </c>
      <c r="F1119" s="114">
        <v>188.1748104</v>
      </c>
      <c r="G1119" s="112">
        <v>44.77062676</v>
      </c>
      <c r="N1119" s="114" t="s">
        <v>3736</v>
      </c>
      <c r="Y1119" s="2" t="s">
        <v>39</v>
      </c>
    </row>
    <row r="1120" ht="15.75" customHeight="1">
      <c r="B1120" s="2">
        <v>2.4167579E7</v>
      </c>
      <c r="E1120" s="1" t="s">
        <v>3737</v>
      </c>
      <c r="F1120" s="114">
        <v>409.1489123</v>
      </c>
      <c r="G1120" s="112">
        <v>270.9264407</v>
      </c>
      <c r="N1120" s="114" t="s">
        <v>3738</v>
      </c>
      <c r="Y1120" s="2" t="s">
        <v>39</v>
      </c>
    </row>
    <row r="1121" ht="15.75" customHeight="1">
      <c r="B1121" s="2">
        <v>2.4167579E7</v>
      </c>
      <c r="E1121" s="1" t="s">
        <v>3739</v>
      </c>
      <c r="F1121" s="114">
        <v>561.2915179</v>
      </c>
      <c r="G1121" s="112">
        <v>381.5898631</v>
      </c>
      <c r="N1121" s="114" t="s">
        <v>3740</v>
      </c>
      <c r="Y1121" s="2" t="s">
        <v>39</v>
      </c>
    </row>
    <row r="1122" ht="15.75" customHeight="1">
      <c r="B1122" s="2">
        <v>2.4167579E7</v>
      </c>
      <c r="E1122" s="1" t="s">
        <v>3741</v>
      </c>
      <c r="F1122" s="114">
        <v>259.0627836</v>
      </c>
      <c r="G1122" s="112">
        <v>46.28067535</v>
      </c>
      <c r="N1122" s="114" t="s">
        <v>3742</v>
      </c>
      <c r="Y1122" s="2" t="s">
        <v>39</v>
      </c>
    </row>
    <row r="1123" ht="15.75" customHeight="1">
      <c r="B1123" s="2">
        <v>2.4167579E7</v>
      </c>
      <c r="E1123" s="1" t="s">
        <v>3743</v>
      </c>
      <c r="F1123" s="114">
        <v>311.202895</v>
      </c>
      <c r="G1123" s="112">
        <v>95.40133272</v>
      </c>
      <c r="N1123" s="114" t="s">
        <v>3744</v>
      </c>
      <c r="Y1123" s="2" t="s">
        <v>39</v>
      </c>
    </row>
    <row r="1124" ht="15.75" customHeight="1">
      <c r="B1124" s="2">
        <v>2.4167579E7</v>
      </c>
      <c r="E1124" s="1" t="s">
        <v>3743</v>
      </c>
      <c r="F1124" s="114">
        <v>311.2033135</v>
      </c>
      <c r="G1124" s="112">
        <v>99.44719123</v>
      </c>
      <c r="N1124" s="114" t="s">
        <v>3744</v>
      </c>
      <c r="Y1124" s="2" t="s">
        <v>39</v>
      </c>
    </row>
    <row r="1125" ht="15.75" customHeight="1">
      <c r="B1125" s="2">
        <v>2.4167579E7</v>
      </c>
      <c r="E1125" s="1" t="s">
        <v>3745</v>
      </c>
      <c r="F1125" s="114"/>
      <c r="G1125" s="112"/>
      <c r="N1125" s="114" t="s">
        <v>3746</v>
      </c>
      <c r="Y1125" s="2" t="s">
        <v>39</v>
      </c>
    </row>
    <row r="1126" ht="15.75" customHeight="1">
      <c r="B1126" s="2">
        <v>2.4167579E7</v>
      </c>
      <c r="E1126" s="1" t="s">
        <v>3747</v>
      </c>
      <c r="F1126" s="114">
        <v>503.2884577</v>
      </c>
      <c r="G1126" s="112">
        <v>365.8640552</v>
      </c>
      <c r="N1126" s="114" t="s">
        <v>3748</v>
      </c>
      <c r="Y1126" s="2" t="s">
        <v>39</v>
      </c>
    </row>
    <row r="1127" ht="15.75" customHeight="1">
      <c r="B1127" s="2">
        <v>2.4167579E7</v>
      </c>
      <c r="E1127" s="1" t="s">
        <v>3749</v>
      </c>
      <c r="F1127" s="114">
        <v>269.222086</v>
      </c>
      <c r="G1127" s="112">
        <v>181.2634544</v>
      </c>
      <c r="N1127" s="114" t="s">
        <v>3750</v>
      </c>
      <c r="Y1127" s="2" t="s">
        <v>39</v>
      </c>
    </row>
    <row r="1128" ht="15.75" customHeight="1">
      <c r="B1128" s="2">
        <v>2.4167579E7</v>
      </c>
      <c r="E1128" s="1" t="s">
        <v>3751</v>
      </c>
      <c r="F1128" s="114"/>
      <c r="G1128" s="112"/>
      <c r="N1128" s="114" t="s">
        <v>3752</v>
      </c>
      <c r="Y1128" s="2" t="s">
        <v>39</v>
      </c>
    </row>
    <row r="1129" ht="15.75" customHeight="1">
      <c r="B1129" s="2">
        <v>2.4167579E7</v>
      </c>
      <c r="E1129" s="1" t="s">
        <v>3753</v>
      </c>
      <c r="F1129" s="114"/>
      <c r="G1129" s="112"/>
      <c r="N1129" s="114" t="s">
        <v>733</v>
      </c>
      <c r="Y1129" s="2" t="s">
        <v>39</v>
      </c>
    </row>
    <row r="1130" ht="15.75" customHeight="1">
      <c r="B1130" s="2">
        <v>2.4167579E7</v>
      </c>
      <c r="E1130" s="1" t="s">
        <v>3754</v>
      </c>
      <c r="F1130" s="114"/>
      <c r="G1130" s="112"/>
      <c r="N1130" s="114" t="s">
        <v>3755</v>
      </c>
      <c r="Y1130" s="2" t="s">
        <v>39</v>
      </c>
    </row>
    <row r="1131" ht="15.75" customHeight="1">
      <c r="B1131" s="2">
        <v>2.4167579E7</v>
      </c>
      <c r="E1131" s="1" t="s">
        <v>3756</v>
      </c>
      <c r="F1131" s="114">
        <v>504.3047197</v>
      </c>
      <c r="G1131" s="112">
        <v>398.1836767</v>
      </c>
      <c r="N1131" s="114" t="s">
        <v>3757</v>
      </c>
      <c r="Y1131" s="2" t="s">
        <v>39</v>
      </c>
    </row>
    <row r="1132" ht="15.75" customHeight="1">
      <c r="B1132" s="2">
        <v>2.4167579E7</v>
      </c>
      <c r="E1132" s="1" t="s">
        <v>3758</v>
      </c>
      <c r="F1132" s="129">
        <v>502.2901412</v>
      </c>
      <c r="G1132" s="112">
        <v>377.3662448</v>
      </c>
      <c r="N1132" s="114" t="s">
        <v>3759</v>
      </c>
      <c r="Y1132" s="2" t="s">
        <v>39</v>
      </c>
    </row>
    <row r="1133" ht="15.75" customHeight="1">
      <c r="B1133" s="2">
        <v>2.4167579E7</v>
      </c>
      <c r="E1133" s="1" t="s">
        <v>3760</v>
      </c>
      <c r="F1133" s="114">
        <v>500.2747301</v>
      </c>
      <c r="G1133" s="112">
        <v>357.0677895</v>
      </c>
      <c r="N1133" s="114" t="s">
        <v>3761</v>
      </c>
      <c r="Y1133" s="2" t="s">
        <v>39</v>
      </c>
    </row>
    <row r="1134" ht="15.75" customHeight="1">
      <c r="B1134" s="2">
        <v>2.4167579E7</v>
      </c>
      <c r="E1134" s="1" t="s">
        <v>3762</v>
      </c>
      <c r="F1134" s="114">
        <v>530.3207987</v>
      </c>
      <c r="G1134" s="112">
        <v>418.0428622</v>
      </c>
      <c r="N1134" s="114" t="s">
        <v>3763</v>
      </c>
      <c r="Y1134" s="2" t="s">
        <v>39</v>
      </c>
    </row>
    <row r="1135" ht="15.75" customHeight="1">
      <c r="B1135" s="2">
        <v>2.4167579E7</v>
      </c>
      <c r="E1135" s="1" t="s">
        <v>3764</v>
      </c>
      <c r="F1135" s="114">
        <v>310.20076</v>
      </c>
      <c r="G1135" s="112">
        <v>101.0337747</v>
      </c>
      <c r="N1135" s="114" t="s">
        <v>3765</v>
      </c>
      <c r="Y1135" s="2" t="s">
        <v>39</v>
      </c>
    </row>
    <row r="1136" ht="15.75" customHeight="1">
      <c r="B1136" s="2">
        <v>2.4167579E7</v>
      </c>
      <c r="E1136" s="1" t="s">
        <v>3766</v>
      </c>
      <c r="F1136" s="114"/>
      <c r="G1136" s="112"/>
      <c r="N1136" s="114" t="s">
        <v>1047</v>
      </c>
      <c r="Y1136" s="2" t="s">
        <v>39</v>
      </c>
    </row>
    <row r="1137" ht="15.75" customHeight="1">
      <c r="B1137" s="2">
        <v>2.4167579E7</v>
      </c>
      <c r="E1137" s="1" t="s">
        <v>3767</v>
      </c>
      <c r="F1137" s="129"/>
      <c r="G1137" s="112"/>
      <c r="N1137" s="114" t="s">
        <v>3768</v>
      </c>
      <c r="Y1137" s="2" t="s">
        <v>39</v>
      </c>
    </row>
    <row r="1138" ht="15.75" customHeight="1">
      <c r="B1138" s="2">
        <v>2.4167579E7</v>
      </c>
      <c r="E1138" s="1" t="s">
        <v>3769</v>
      </c>
      <c r="F1138" s="114">
        <v>467.1506183</v>
      </c>
      <c r="G1138" s="112">
        <v>273.5323978</v>
      </c>
      <c r="N1138" s="114" t="s">
        <v>3770</v>
      </c>
      <c r="Y1138" s="2" t="s">
        <v>39</v>
      </c>
    </row>
    <row r="1139" ht="15.75" customHeight="1">
      <c r="B1139" s="2">
        <v>2.4167579E7</v>
      </c>
      <c r="E1139" s="1" t="s">
        <v>3771</v>
      </c>
      <c r="F1139" s="129">
        <v>427.1589519</v>
      </c>
      <c r="G1139" s="112">
        <v>284.8796403</v>
      </c>
      <c r="N1139" s="114" t="s">
        <v>3772</v>
      </c>
      <c r="Y1139" s="2" t="s">
        <v>39</v>
      </c>
    </row>
    <row r="1140" ht="15.75" customHeight="1">
      <c r="B1140" s="2">
        <v>2.4167579E7</v>
      </c>
      <c r="E1140" s="1" t="s">
        <v>3773</v>
      </c>
      <c r="F1140" s="129"/>
      <c r="G1140" s="112"/>
      <c r="N1140" s="114" t="s">
        <v>3774</v>
      </c>
      <c r="Y1140" s="2" t="s">
        <v>39</v>
      </c>
    </row>
    <row r="1141" ht="15.75" customHeight="1">
      <c r="B1141" s="2">
        <v>2.4167579E7</v>
      </c>
      <c r="E1141" s="1" t="s">
        <v>3773</v>
      </c>
      <c r="F1141" s="114">
        <v>427.159462</v>
      </c>
      <c r="G1141" s="112">
        <v>281.7272671</v>
      </c>
      <c r="N1141" s="114" t="s">
        <v>3774</v>
      </c>
      <c r="Y1141" s="2" t="s">
        <v>39</v>
      </c>
    </row>
    <row r="1142" ht="15.75" customHeight="1">
      <c r="B1142" s="2">
        <v>2.4167579E7</v>
      </c>
      <c r="E1142" s="1" t="s">
        <v>3775</v>
      </c>
      <c r="F1142" s="114"/>
      <c r="G1142" s="112"/>
      <c r="N1142" s="114" t="s">
        <v>3776</v>
      </c>
      <c r="Y1142" s="2" t="s">
        <v>39</v>
      </c>
    </row>
    <row r="1143" ht="15.75" customHeight="1">
      <c r="B1143" s="2">
        <v>2.4167579E7</v>
      </c>
      <c r="E1143" s="1" t="s">
        <v>3777</v>
      </c>
      <c r="F1143" s="114"/>
      <c r="G1143" s="112"/>
      <c r="N1143" s="114" t="s">
        <v>3778</v>
      </c>
      <c r="Y1143" s="2" t="s">
        <v>39</v>
      </c>
    </row>
    <row r="1144" ht="15.75" customHeight="1">
      <c r="B1144" s="2">
        <v>2.4167579E7</v>
      </c>
      <c r="E1144" s="1" t="s">
        <v>3779</v>
      </c>
      <c r="F1144" s="114">
        <v>462.1954886</v>
      </c>
      <c r="G1144" s="112">
        <v>286.333041</v>
      </c>
      <c r="N1144" s="114" t="s">
        <v>3780</v>
      </c>
      <c r="Y1144" s="2" t="s">
        <v>39</v>
      </c>
    </row>
    <row r="1145" ht="15.75" customHeight="1">
      <c r="B1145" s="2">
        <v>2.4167579E7</v>
      </c>
      <c r="C1145" s="130" t="s">
        <v>3781</v>
      </c>
      <c r="D1145" s="131"/>
      <c r="E1145" s="132" t="s">
        <v>3782</v>
      </c>
      <c r="F1145" s="133">
        <v>223.132</v>
      </c>
      <c r="G1145" s="134">
        <v>299.39</v>
      </c>
      <c r="H1145" s="103"/>
      <c r="I1145" s="103"/>
      <c r="J1145" s="103"/>
      <c r="K1145" s="103"/>
      <c r="L1145" s="103">
        <v>132861.968</v>
      </c>
      <c r="N1145" s="135" t="s">
        <v>3783</v>
      </c>
      <c r="Y1145" s="2" t="s">
        <v>39</v>
      </c>
    </row>
    <row r="1146" ht="15.75" customHeight="1">
      <c r="B1146" s="2">
        <v>2.4167579E7</v>
      </c>
      <c r="D1146" s="131"/>
      <c r="E1146" s="132" t="s">
        <v>3784</v>
      </c>
      <c r="F1146" s="136">
        <v>110.977</v>
      </c>
      <c r="G1146" s="137">
        <v>206.63</v>
      </c>
      <c r="H1146" s="103"/>
      <c r="I1146" s="103"/>
      <c r="J1146" s="103"/>
      <c r="K1146" s="103"/>
      <c r="L1146" s="103">
        <v>18002.5992</v>
      </c>
      <c r="N1146" s="135" t="s">
        <v>3785</v>
      </c>
      <c r="Y1146" s="2" t="s">
        <v>39</v>
      </c>
    </row>
    <row r="1147" ht="15.75" customHeight="1">
      <c r="B1147" s="2">
        <v>2.4167579E7</v>
      </c>
      <c r="D1147" s="131"/>
      <c r="E1147" s="132" t="s">
        <v>3786</v>
      </c>
      <c r="F1147" s="136">
        <v>247.061</v>
      </c>
      <c r="G1147" s="137">
        <v>30.12</v>
      </c>
      <c r="H1147" s="103"/>
      <c r="I1147" s="103"/>
      <c r="J1147" s="103"/>
      <c r="K1147" s="103"/>
      <c r="L1147" s="103">
        <v>24773.0459</v>
      </c>
      <c r="N1147" s="135" t="s">
        <v>3787</v>
      </c>
      <c r="Y1147" s="2" t="s">
        <v>39</v>
      </c>
    </row>
    <row r="1148" ht="15.75" customHeight="1">
      <c r="B1148" s="2">
        <v>2.4167579E7</v>
      </c>
      <c r="D1148" s="131"/>
      <c r="E1148" s="132" t="s">
        <v>3788</v>
      </c>
      <c r="F1148" s="133">
        <v>293.037</v>
      </c>
      <c r="G1148" s="134">
        <v>163.73</v>
      </c>
      <c r="H1148" s="103"/>
      <c r="I1148" s="103"/>
      <c r="J1148" s="103"/>
      <c r="K1148" s="103"/>
      <c r="L1148" s="103">
        <v>113719.847</v>
      </c>
      <c r="N1148" s="135" t="s">
        <v>3789</v>
      </c>
      <c r="Y1148" s="2" t="s">
        <v>39</v>
      </c>
    </row>
    <row r="1149" ht="15.75" customHeight="1">
      <c r="B1149" s="2">
        <v>2.4167579E7</v>
      </c>
      <c r="D1149" s="131"/>
      <c r="E1149" s="132" t="s">
        <v>3790</v>
      </c>
      <c r="F1149" s="133">
        <v>467.151</v>
      </c>
      <c r="G1149" s="134">
        <v>273.53</v>
      </c>
      <c r="H1149" s="103"/>
      <c r="I1149" s="103"/>
      <c r="J1149" s="103"/>
      <c r="K1149" s="103"/>
      <c r="L1149" s="103">
        <v>187990.713</v>
      </c>
      <c r="N1149" s="135" t="s">
        <v>3770</v>
      </c>
      <c r="Y1149" s="2" t="s">
        <v>39</v>
      </c>
    </row>
    <row r="1150" ht="15.75" customHeight="1">
      <c r="B1150" s="2">
        <v>2.4167579E7</v>
      </c>
      <c r="D1150" s="131"/>
      <c r="E1150" s="132" t="s">
        <v>3791</v>
      </c>
      <c r="F1150" s="138"/>
      <c r="G1150" s="139"/>
      <c r="H1150" s="140"/>
      <c r="I1150" s="140"/>
      <c r="J1150" s="140"/>
      <c r="K1150" s="140"/>
      <c r="L1150" s="140" t="s">
        <v>326</v>
      </c>
      <c r="N1150" s="135" t="s">
        <v>3792</v>
      </c>
      <c r="Y1150" s="2" t="s">
        <v>39</v>
      </c>
    </row>
    <row r="1151" ht="15.75" customHeight="1">
      <c r="B1151" s="2">
        <v>2.4167579E7</v>
      </c>
      <c r="D1151" s="131"/>
      <c r="E1151" s="132" t="s">
        <v>3743</v>
      </c>
      <c r="F1151" s="136">
        <v>311.203</v>
      </c>
      <c r="G1151" s="137">
        <v>95.4</v>
      </c>
      <c r="H1151" s="103"/>
      <c r="I1151" s="103"/>
      <c r="J1151" s="103"/>
      <c r="K1151" s="103"/>
      <c r="L1151" s="103">
        <v>1095127.21</v>
      </c>
      <c r="N1151" s="135" t="s">
        <v>3744</v>
      </c>
      <c r="Y1151" s="2" t="s">
        <v>39</v>
      </c>
    </row>
    <row r="1152" ht="15.75" customHeight="1">
      <c r="B1152" s="2">
        <v>2.4167579E7</v>
      </c>
      <c r="D1152" s="131"/>
      <c r="E1152" s="132" t="s">
        <v>3743</v>
      </c>
      <c r="F1152" s="136">
        <v>311.203</v>
      </c>
      <c r="G1152" s="137">
        <v>99.45</v>
      </c>
      <c r="H1152" s="103"/>
      <c r="I1152" s="103"/>
      <c r="J1152" s="103"/>
      <c r="K1152" s="103"/>
      <c r="L1152" s="103">
        <v>1055758.21</v>
      </c>
      <c r="N1152" s="135" t="s">
        <v>3744</v>
      </c>
      <c r="Y1152" s="2" t="s">
        <v>39</v>
      </c>
    </row>
    <row r="1153" ht="15.75" customHeight="1">
      <c r="B1153" s="2">
        <v>2.4167579E7</v>
      </c>
      <c r="D1153" s="131"/>
      <c r="E1153" s="132" t="s">
        <v>128</v>
      </c>
      <c r="F1153" s="138"/>
      <c r="G1153" s="139"/>
      <c r="H1153" s="140"/>
      <c r="I1153" s="140"/>
      <c r="J1153" s="140"/>
      <c r="K1153" s="140"/>
      <c r="L1153" s="140" t="s">
        <v>326</v>
      </c>
      <c r="N1153" s="135" t="s">
        <v>1709</v>
      </c>
      <c r="Y1153" s="2" t="s">
        <v>39</v>
      </c>
    </row>
    <row r="1154" ht="15.75" customHeight="1">
      <c r="B1154" s="2">
        <v>2.4167579E7</v>
      </c>
      <c r="D1154" s="131"/>
      <c r="E1154" s="132" t="s">
        <v>3793</v>
      </c>
      <c r="F1154" s="136">
        <v>228.135</v>
      </c>
      <c r="G1154" s="137">
        <v>348.05</v>
      </c>
      <c r="H1154" s="103"/>
      <c r="I1154" s="103"/>
      <c r="J1154" s="103"/>
      <c r="K1154" s="103"/>
      <c r="L1154" s="103">
        <v>2396141.63</v>
      </c>
      <c r="N1154" s="135" t="s">
        <v>3794</v>
      </c>
      <c r="Y1154" s="2" t="s">
        <v>39</v>
      </c>
    </row>
    <row r="1155" ht="15.75" customHeight="1">
      <c r="B1155" s="2">
        <v>2.4167579E7</v>
      </c>
      <c r="D1155" s="131"/>
      <c r="E1155" s="132" t="s">
        <v>3795</v>
      </c>
      <c r="F1155" s="133">
        <v>187.093</v>
      </c>
      <c r="G1155" s="134">
        <v>267.82</v>
      </c>
      <c r="H1155" s="103"/>
      <c r="I1155" s="103"/>
      <c r="J1155" s="103"/>
      <c r="K1155" s="103"/>
      <c r="L1155" s="103">
        <v>109318.853</v>
      </c>
      <c r="N1155" s="135" t="s">
        <v>3796</v>
      </c>
      <c r="Y1155" s="2" t="s">
        <v>39</v>
      </c>
    </row>
    <row r="1156" ht="15.75" customHeight="1">
      <c r="B1156" s="2">
        <v>2.4167579E7</v>
      </c>
      <c r="D1156" s="131"/>
      <c r="E1156" s="132" t="s">
        <v>317</v>
      </c>
      <c r="F1156" s="136">
        <v>320.034</v>
      </c>
      <c r="G1156" s="137">
        <v>50.75</v>
      </c>
      <c r="H1156" s="103"/>
      <c r="I1156" s="103"/>
      <c r="J1156" s="103"/>
      <c r="K1156" s="103"/>
      <c r="L1156" s="103">
        <v>112835.263</v>
      </c>
      <c r="N1156" s="135" t="s">
        <v>3797</v>
      </c>
      <c r="Y1156" s="2" t="s">
        <v>39</v>
      </c>
    </row>
    <row r="1157" ht="15.75" customHeight="1">
      <c r="B1157" s="2">
        <v>2.4167579E7</v>
      </c>
      <c r="D1157" s="131"/>
      <c r="E1157" s="132" t="s">
        <v>3646</v>
      </c>
      <c r="F1157" s="138"/>
      <c r="G1157" s="139"/>
      <c r="H1157" s="140"/>
      <c r="I1157" s="140"/>
      <c r="J1157" s="140"/>
      <c r="K1157" s="140"/>
      <c r="L1157" s="140" t="s">
        <v>326</v>
      </c>
      <c r="N1157" s="135" t="s">
        <v>3647</v>
      </c>
      <c r="Y1157" s="2" t="s">
        <v>39</v>
      </c>
    </row>
    <row r="1158" ht="15.75" customHeight="1">
      <c r="B1158" s="2">
        <v>2.4167579E7</v>
      </c>
      <c r="D1158" s="131"/>
      <c r="E1158" s="132" t="s">
        <v>3798</v>
      </c>
      <c r="F1158" s="138"/>
      <c r="G1158" s="139"/>
      <c r="H1158" s="140"/>
      <c r="I1158" s="140"/>
      <c r="J1158" s="140"/>
      <c r="K1158" s="140"/>
      <c r="L1158" s="140" t="s">
        <v>326</v>
      </c>
      <c r="N1158" s="135" t="s">
        <v>3799</v>
      </c>
      <c r="Y1158" s="2" t="s">
        <v>39</v>
      </c>
    </row>
    <row r="1159" ht="15.75" customHeight="1">
      <c r="B1159" s="2">
        <v>2.4167579E7</v>
      </c>
      <c r="D1159" s="131"/>
      <c r="E1159" s="132" t="s">
        <v>3800</v>
      </c>
      <c r="F1159" s="138"/>
      <c r="G1159" s="139"/>
      <c r="H1159" s="140"/>
      <c r="I1159" s="140"/>
      <c r="J1159" s="140"/>
      <c r="K1159" s="140"/>
      <c r="L1159" s="140" t="s">
        <v>326</v>
      </c>
      <c r="N1159" s="135" t="s">
        <v>3801</v>
      </c>
      <c r="Y1159" s="2" t="s">
        <v>39</v>
      </c>
    </row>
    <row r="1160" ht="15.75" customHeight="1">
      <c r="B1160" s="2">
        <v>2.4167579E7</v>
      </c>
      <c r="D1160" s="131"/>
      <c r="E1160" s="132" t="s">
        <v>3800</v>
      </c>
      <c r="F1160" s="136">
        <v>350.029</v>
      </c>
      <c r="G1160" s="137">
        <v>48.72</v>
      </c>
      <c r="H1160" s="103"/>
      <c r="I1160" s="103"/>
      <c r="J1160" s="103"/>
      <c r="K1160" s="103"/>
      <c r="L1160" s="103">
        <v>244627.503</v>
      </c>
      <c r="N1160" s="135" t="s">
        <v>3801</v>
      </c>
      <c r="Y1160" s="2" t="s">
        <v>39</v>
      </c>
    </row>
    <row r="1161" ht="15.75" customHeight="1">
      <c r="B1161" s="2">
        <v>2.4167579E7</v>
      </c>
      <c r="D1161" s="131"/>
      <c r="E1161" s="132" t="s">
        <v>3802</v>
      </c>
      <c r="F1161" s="136">
        <v>326.936</v>
      </c>
      <c r="G1161" s="137">
        <v>93.32</v>
      </c>
      <c r="H1161" s="103"/>
      <c r="I1161" s="103"/>
      <c r="J1161" s="103"/>
      <c r="K1161" s="103"/>
      <c r="L1161" s="103">
        <v>81614.1631</v>
      </c>
      <c r="N1161" s="135" t="s">
        <v>3803</v>
      </c>
      <c r="Y1161" s="2" t="s">
        <v>39</v>
      </c>
    </row>
    <row r="1162" ht="15.75" customHeight="1">
      <c r="B1162" s="2">
        <v>2.4167579E7</v>
      </c>
      <c r="D1162" s="131"/>
      <c r="E1162" s="132" t="s">
        <v>3804</v>
      </c>
      <c r="F1162" s="136">
        <v>155.142</v>
      </c>
      <c r="G1162" s="137">
        <v>72.42</v>
      </c>
      <c r="H1162" s="103"/>
      <c r="I1162" s="103"/>
      <c r="J1162" s="103"/>
      <c r="K1162" s="103"/>
      <c r="L1162" s="103">
        <v>102758.298</v>
      </c>
      <c r="N1162" s="135" t="s">
        <v>3805</v>
      </c>
      <c r="Y1162" s="2" t="s">
        <v>39</v>
      </c>
    </row>
    <row r="1163" ht="15.75" customHeight="1">
      <c r="B1163" s="2">
        <v>2.4167579E7</v>
      </c>
      <c r="D1163" s="131"/>
      <c r="E1163" s="132" t="s">
        <v>3806</v>
      </c>
      <c r="F1163" s="138"/>
      <c r="G1163" s="139"/>
      <c r="H1163" s="140"/>
      <c r="I1163" s="140"/>
      <c r="J1163" s="140"/>
      <c r="K1163" s="140"/>
      <c r="L1163" s="140" t="s">
        <v>326</v>
      </c>
      <c r="N1163" s="135" t="s">
        <v>3807</v>
      </c>
      <c r="Y1163" s="2" t="s">
        <v>39</v>
      </c>
    </row>
    <row r="1164" ht="15.75" customHeight="1">
      <c r="B1164" s="2">
        <v>2.4167579E7</v>
      </c>
      <c r="D1164" s="131"/>
      <c r="E1164" s="132" t="s">
        <v>3808</v>
      </c>
      <c r="F1164" s="138"/>
      <c r="G1164" s="139"/>
      <c r="H1164" s="140"/>
      <c r="I1164" s="140"/>
      <c r="J1164" s="140"/>
      <c r="K1164" s="140"/>
      <c r="L1164" s="140" t="s">
        <v>326</v>
      </c>
      <c r="N1164" s="135" t="s">
        <v>1124</v>
      </c>
      <c r="Y1164" s="2" t="s">
        <v>39</v>
      </c>
    </row>
    <row r="1165" ht="15.75" customHeight="1">
      <c r="B1165" s="2">
        <v>2.4167579E7</v>
      </c>
      <c r="D1165" s="131"/>
      <c r="E1165" s="132" t="s">
        <v>3809</v>
      </c>
      <c r="F1165" s="136">
        <v>211.169</v>
      </c>
      <c r="G1165" s="137">
        <v>312.33</v>
      </c>
      <c r="H1165" s="103"/>
      <c r="I1165" s="103"/>
      <c r="J1165" s="103"/>
      <c r="K1165" s="103"/>
      <c r="L1165" s="103">
        <v>273303.369</v>
      </c>
      <c r="N1165" s="135" t="s">
        <v>3810</v>
      </c>
      <c r="Y1165" s="2" t="s">
        <v>39</v>
      </c>
    </row>
    <row r="1166" ht="15.75" customHeight="1">
      <c r="B1166" s="2">
        <v>2.4167579E7</v>
      </c>
      <c r="D1166" s="131"/>
      <c r="E1166" s="132" t="s">
        <v>3811</v>
      </c>
      <c r="F1166" s="133">
        <v>239.164</v>
      </c>
      <c r="G1166" s="134">
        <v>205.12</v>
      </c>
      <c r="H1166" s="103"/>
      <c r="I1166" s="103"/>
      <c r="J1166" s="103"/>
      <c r="K1166" s="103"/>
      <c r="L1166" s="103">
        <v>579281.984</v>
      </c>
      <c r="N1166" s="135" t="s">
        <v>3812</v>
      </c>
      <c r="Y1166" s="2" t="s">
        <v>39</v>
      </c>
    </row>
    <row r="1167" ht="15.75" customHeight="1">
      <c r="B1167" s="2">
        <v>2.4167579E7</v>
      </c>
      <c r="D1167" s="131"/>
      <c r="E1167" s="132" t="s">
        <v>3811</v>
      </c>
      <c r="F1167" s="138"/>
      <c r="G1167" s="139"/>
      <c r="H1167" s="140"/>
      <c r="I1167" s="140"/>
      <c r="J1167" s="140"/>
      <c r="K1167" s="140"/>
      <c r="L1167" s="140" t="s">
        <v>326</v>
      </c>
      <c r="N1167" s="135" t="s">
        <v>3813</v>
      </c>
      <c r="Y1167" s="2" t="s">
        <v>39</v>
      </c>
    </row>
    <row r="1168" ht="15.75" customHeight="1">
      <c r="B1168" s="2">
        <v>2.4167579E7</v>
      </c>
      <c r="D1168" s="131"/>
      <c r="E1168" s="132" t="s">
        <v>3814</v>
      </c>
      <c r="F1168" s="133">
        <v>251.2</v>
      </c>
      <c r="G1168" s="134">
        <v>525.91</v>
      </c>
      <c r="H1168" s="103"/>
      <c r="I1168" s="103"/>
      <c r="J1168" s="103"/>
      <c r="K1168" s="103"/>
      <c r="L1168" s="103">
        <v>255487.264</v>
      </c>
      <c r="N1168" s="135" t="s">
        <v>3815</v>
      </c>
      <c r="Y1168" s="2" t="s">
        <v>39</v>
      </c>
    </row>
    <row r="1169" ht="15.75" customHeight="1">
      <c r="B1169" s="2">
        <v>2.4167579E7</v>
      </c>
      <c r="D1169" s="131"/>
      <c r="E1169" s="132" t="s">
        <v>3816</v>
      </c>
      <c r="F1169" s="136">
        <v>357.244</v>
      </c>
      <c r="G1169" s="137">
        <v>86.0</v>
      </c>
      <c r="H1169" s="103"/>
      <c r="I1169" s="103"/>
      <c r="J1169" s="103"/>
      <c r="K1169" s="103"/>
      <c r="L1169" s="103">
        <v>94899.8918</v>
      </c>
      <c r="N1169" s="135" t="s">
        <v>3817</v>
      </c>
      <c r="Y1169" s="2" t="s">
        <v>39</v>
      </c>
    </row>
    <row r="1170" ht="15.75" customHeight="1">
      <c r="B1170" s="2">
        <v>2.4167579E7</v>
      </c>
      <c r="D1170" s="131"/>
      <c r="E1170" s="132" t="s">
        <v>3818</v>
      </c>
      <c r="F1170" s="138"/>
      <c r="G1170" s="139"/>
      <c r="H1170" s="140"/>
      <c r="I1170" s="140"/>
      <c r="J1170" s="140"/>
      <c r="K1170" s="140"/>
      <c r="L1170" s="140" t="s">
        <v>326</v>
      </c>
      <c r="N1170" s="135" t="s">
        <v>3819</v>
      </c>
      <c r="Y1170" s="2" t="s">
        <v>39</v>
      </c>
    </row>
    <row r="1171" ht="15.75" customHeight="1">
      <c r="B1171" s="2">
        <v>2.4167579E7</v>
      </c>
      <c r="D1171" s="131"/>
      <c r="E1171" s="132" t="s">
        <v>3820</v>
      </c>
      <c r="F1171" s="136">
        <v>282.043</v>
      </c>
      <c r="G1171" s="137">
        <v>47.36</v>
      </c>
      <c r="H1171" s="103"/>
      <c r="I1171" s="103"/>
      <c r="J1171" s="103"/>
      <c r="K1171" s="103"/>
      <c r="L1171" s="103">
        <v>216037.559</v>
      </c>
      <c r="N1171" s="135" t="s">
        <v>3821</v>
      </c>
      <c r="Y1171" s="2" t="s">
        <v>39</v>
      </c>
    </row>
    <row r="1172" ht="15.75" customHeight="1">
      <c r="B1172" s="2">
        <v>2.4167579E7</v>
      </c>
      <c r="D1172" s="131"/>
      <c r="E1172" s="132" t="s">
        <v>3820</v>
      </c>
      <c r="F1172" s="136">
        <v>282.046</v>
      </c>
      <c r="G1172" s="137">
        <v>82.24</v>
      </c>
      <c r="H1172" s="103"/>
      <c r="I1172" s="103"/>
      <c r="J1172" s="103"/>
      <c r="K1172" s="103"/>
      <c r="L1172" s="103">
        <v>178743.672</v>
      </c>
      <c r="N1172" s="135" t="s">
        <v>3821</v>
      </c>
      <c r="Y1172" s="2" t="s">
        <v>39</v>
      </c>
    </row>
    <row r="1173" ht="15.75" customHeight="1">
      <c r="B1173" s="2">
        <v>2.4167579E7</v>
      </c>
      <c r="D1173" s="131"/>
      <c r="E1173" s="132" t="s">
        <v>3822</v>
      </c>
      <c r="F1173" s="136">
        <v>228.988</v>
      </c>
      <c r="G1173" s="137">
        <v>21.21</v>
      </c>
      <c r="H1173" s="103"/>
      <c r="I1173" s="103"/>
      <c r="J1173" s="103"/>
      <c r="K1173" s="103"/>
      <c r="L1173" s="103">
        <v>127212.682</v>
      </c>
      <c r="N1173" s="135" t="s">
        <v>3823</v>
      </c>
      <c r="Y1173" s="2" t="s">
        <v>39</v>
      </c>
    </row>
    <row r="1174" ht="15.75" customHeight="1">
      <c r="B1174" s="2">
        <v>2.4167579E7</v>
      </c>
      <c r="D1174" s="131"/>
      <c r="E1174" s="132" t="s">
        <v>3824</v>
      </c>
      <c r="F1174" s="136">
        <v>476.016</v>
      </c>
      <c r="G1174" s="137">
        <v>53.32</v>
      </c>
      <c r="H1174" s="103"/>
      <c r="I1174" s="103"/>
      <c r="J1174" s="103"/>
      <c r="K1174" s="103"/>
      <c r="L1174" s="103">
        <v>93235.3939</v>
      </c>
      <c r="N1174" s="135" t="s">
        <v>3825</v>
      </c>
      <c r="Y1174" s="2" t="s">
        <v>39</v>
      </c>
    </row>
    <row r="1175" ht="15.75" customHeight="1">
      <c r="B1175" s="2">
        <v>2.4167579E7</v>
      </c>
      <c r="D1175" s="131"/>
      <c r="E1175" s="132" t="s">
        <v>3826</v>
      </c>
      <c r="F1175" s="136">
        <v>140.071</v>
      </c>
      <c r="G1175" s="137">
        <v>68.62</v>
      </c>
      <c r="H1175" s="103"/>
      <c r="I1175" s="103"/>
      <c r="J1175" s="103"/>
      <c r="K1175" s="103"/>
      <c r="L1175" s="103">
        <v>4064461.67</v>
      </c>
      <c r="N1175" s="135" t="s">
        <v>3827</v>
      </c>
      <c r="Y1175" s="2" t="s">
        <v>39</v>
      </c>
    </row>
    <row r="1176" ht="15.75" customHeight="1">
      <c r="B1176" s="2">
        <v>2.4167579E7</v>
      </c>
      <c r="D1176" s="131"/>
      <c r="E1176" s="132" t="s">
        <v>3828</v>
      </c>
      <c r="F1176" s="136">
        <v>132.08</v>
      </c>
      <c r="G1176" s="137">
        <v>366.79</v>
      </c>
      <c r="H1176" s="103"/>
      <c r="I1176" s="103"/>
      <c r="J1176" s="103"/>
      <c r="K1176" s="103"/>
      <c r="L1176" s="103">
        <v>282118.372</v>
      </c>
      <c r="N1176" s="135" t="s">
        <v>3829</v>
      </c>
      <c r="Y1176" s="2" t="s">
        <v>39</v>
      </c>
    </row>
    <row r="1177" ht="15.75" customHeight="1">
      <c r="B1177" s="2">
        <v>2.4167579E7</v>
      </c>
      <c r="D1177" s="131"/>
      <c r="E1177" s="132" t="s">
        <v>3830</v>
      </c>
      <c r="F1177" s="136">
        <v>587.287</v>
      </c>
      <c r="G1177" s="137">
        <v>418.3</v>
      </c>
      <c r="H1177" s="103"/>
      <c r="I1177" s="103"/>
      <c r="J1177" s="103"/>
      <c r="K1177" s="103"/>
      <c r="L1177" s="103">
        <v>354555.529</v>
      </c>
      <c r="N1177" s="135" t="s">
        <v>3831</v>
      </c>
      <c r="Y1177" s="2" t="s">
        <v>39</v>
      </c>
    </row>
    <row r="1178" ht="15.75" customHeight="1">
      <c r="B1178" s="2">
        <v>2.4167579E7</v>
      </c>
      <c r="D1178" s="131"/>
      <c r="E1178" s="132" t="s">
        <v>3832</v>
      </c>
      <c r="F1178" s="136">
        <v>170.036</v>
      </c>
      <c r="G1178" s="137">
        <v>60.67</v>
      </c>
      <c r="H1178" s="103"/>
      <c r="I1178" s="103"/>
      <c r="J1178" s="103"/>
      <c r="K1178" s="103"/>
      <c r="L1178" s="103">
        <v>758578.743</v>
      </c>
      <c r="N1178" s="135" t="s">
        <v>3833</v>
      </c>
      <c r="Y1178" s="2" t="s">
        <v>39</v>
      </c>
    </row>
    <row r="1179" ht="15.75" customHeight="1">
      <c r="B1179" s="2">
        <v>2.4167579E7</v>
      </c>
      <c r="D1179" s="131"/>
      <c r="E1179" s="132" t="s">
        <v>3834</v>
      </c>
      <c r="F1179" s="133">
        <v>586.301</v>
      </c>
      <c r="G1179" s="134">
        <v>445.1</v>
      </c>
      <c r="H1179" s="103"/>
      <c r="I1179" s="103"/>
      <c r="J1179" s="103"/>
      <c r="K1179" s="103"/>
      <c r="L1179" s="103">
        <v>315890.854</v>
      </c>
      <c r="N1179" s="135" t="s">
        <v>3835</v>
      </c>
      <c r="Y1179" s="2" t="s">
        <v>39</v>
      </c>
    </row>
    <row r="1180" ht="15.75" customHeight="1">
      <c r="B1180" s="2">
        <v>2.4167579E7</v>
      </c>
      <c r="D1180" s="131"/>
      <c r="E1180" s="132" t="s">
        <v>3735</v>
      </c>
      <c r="F1180" s="136">
        <v>188.175</v>
      </c>
      <c r="G1180" s="137">
        <v>44.77</v>
      </c>
      <c r="H1180" s="103"/>
      <c r="I1180" s="103"/>
      <c r="J1180" s="103"/>
      <c r="K1180" s="103"/>
      <c r="L1180" s="103">
        <v>631935.144</v>
      </c>
      <c r="N1180" s="135" t="s">
        <v>3736</v>
      </c>
      <c r="Y1180" s="2" t="s">
        <v>39</v>
      </c>
    </row>
    <row r="1181" ht="15.75" customHeight="1">
      <c r="B1181" s="2">
        <v>2.4167579E7</v>
      </c>
      <c r="D1181" s="131"/>
      <c r="E1181" s="132" t="s">
        <v>3836</v>
      </c>
      <c r="F1181" s="136">
        <v>203.143</v>
      </c>
      <c r="G1181" s="137">
        <v>158.98</v>
      </c>
      <c r="H1181" s="103"/>
      <c r="I1181" s="103"/>
      <c r="J1181" s="103"/>
      <c r="K1181" s="103"/>
      <c r="L1181" s="103">
        <v>617050.756</v>
      </c>
      <c r="N1181" s="135" t="s">
        <v>3837</v>
      </c>
      <c r="Y1181" s="2" t="s">
        <v>39</v>
      </c>
    </row>
    <row r="1182" ht="15.75" customHeight="1">
      <c r="B1182" s="2">
        <v>2.4167579E7</v>
      </c>
      <c r="D1182" s="131"/>
      <c r="E1182" s="132" t="s">
        <v>3838</v>
      </c>
      <c r="F1182" s="133">
        <v>225.111</v>
      </c>
      <c r="G1182" s="134">
        <v>89.06</v>
      </c>
      <c r="H1182" s="103"/>
      <c r="I1182" s="103"/>
      <c r="J1182" s="103"/>
      <c r="K1182" s="103"/>
      <c r="L1182" s="103">
        <v>78065.253</v>
      </c>
      <c r="N1182" s="135" t="s">
        <v>3596</v>
      </c>
      <c r="Y1182" s="2" t="s">
        <v>39</v>
      </c>
    </row>
    <row r="1183" ht="15.75" customHeight="1">
      <c r="B1183" s="2">
        <v>2.4167579E7</v>
      </c>
      <c r="D1183" s="131"/>
      <c r="E1183" s="132" t="s">
        <v>3839</v>
      </c>
      <c r="F1183" s="133">
        <v>267.171</v>
      </c>
      <c r="G1183" s="134">
        <v>532.84</v>
      </c>
      <c r="H1183" s="103"/>
      <c r="I1183" s="103"/>
      <c r="J1183" s="103"/>
      <c r="K1183" s="103"/>
      <c r="L1183" s="103">
        <v>21145.9022</v>
      </c>
      <c r="N1183" s="135" t="s">
        <v>1539</v>
      </c>
      <c r="Y1183" s="2" t="s">
        <v>39</v>
      </c>
    </row>
    <row r="1184" ht="15.75" customHeight="1">
      <c r="B1184" s="2">
        <v>2.4167579E7</v>
      </c>
      <c r="D1184" s="131"/>
      <c r="E1184" s="132" t="s">
        <v>3840</v>
      </c>
      <c r="F1184" s="133">
        <v>365.177</v>
      </c>
      <c r="G1184" s="134">
        <v>278.17</v>
      </c>
      <c r="H1184" s="103"/>
      <c r="I1184" s="103"/>
      <c r="J1184" s="103"/>
      <c r="K1184" s="103"/>
      <c r="L1184" s="103">
        <v>45631.5204</v>
      </c>
      <c r="N1184" s="135" t="s">
        <v>3841</v>
      </c>
      <c r="Y1184" s="2" t="s">
        <v>39</v>
      </c>
    </row>
    <row r="1185" ht="15.75" customHeight="1">
      <c r="B1185" s="2">
        <v>2.4167579E7</v>
      </c>
      <c r="D1185" s="131"/>
      <c r="E1185" s="132" t="s">
        <v>3842</v>
      </c>
      <c r="F1185" s="136">
        <v>313.034</v>
      </c>
      <c r="G1185" s="137">
        <v>46.38</v>
      </c>
      <c r="H1185" s="103"/>
      <c r="I1185" s="103"/>
      <c r="J1185" s="103"/>
      <c r="K1185" s="103"/>
      <c r="L1185" s="103">
        <v>1069268.05</v>
      </c>
      <c r="N1185" s="135" t="s">
        <v>3843</v>
      </c>
      <c r="Y1185" s="2" t="s">
        <v>39</v>
      </c>
    </row>
    <row r="1186" ht="15.75" customHeight="1">
      <c r="B1186" s="2">
        <v>2.4167579E7</v>
      </c>
      <c r="D1186" s="131"/>
      <c r="E1186" s="132" t="s">
        <v>3844</v>
      </c>
      <c r="F1186" s="136">
        <v>375.963</v>
      </c>
      <c r="G1186" s="137">
        <v>49.37</v>
      </c>
      <c r="H1186" s="103"/>
      <c r="I1186" s="103"/>
      <c r="J1186" s="103"/>
      <c r="K1186" s="103"/>
      <c r="L1186" s="103">
        <v>99247.5787</v>
      </c>
      <c r="N1186" s="135" t="s">
        <v>3845</v>
      </c>
      <c r="Y1186" s="2" t="s">
        <v>39</v>
      </c>
    </row>
    <row r="1187" ht="15.75" customHeight="1">
      <c r="B1187" s="2">
        <v>2.4167579E7</v>
      </c>
      <c r="D1187" s="131"/>
      <c r="E1187" s="132" t="s">
        <v>3846</v>
      </c>
      <c r="F1187" s="133">
        <v>360.157</v>
      </c>
      <c r="G1187" s="134">
        <v>52.86</v>
      </c>
      <c r="H1187" s="103"/>
      <c r="I1187" s="103"/>
      <c r="J1187" s="103"/>
      <c r="K1187" s="103"/>
      <c r="L1187" s="103">
        <v>118372.295</v>
      </c>
      <c r="N1187" s="141" t="s">
        <v>3847</v>
      </c>
      <c r="Y1187" s="2" t="s">
        <v>39</v>
      </c>
    </row>
    <row r="1188" ht="15.75" customHeight="1">
      <c r="B1188" s="2">
        <v>2.4167579E7</v>
      </c>
      <c r="D1188" s="131"/>
      <c r="E1188" s="132" t="s">
        <v>3848</v>
      </c>
      <c r="F1188" s="136">
        <v>145.122</v>
      </c>
      <c r="G1188" s="137">
        <v>301.0</v>
      </c>
      <c r="H1188" s="103"/>
      <c r="I1188" s="103"/>
      <c r="J1188" s="103"/>
      <c r="K1188" s="103"/>
      <c r="L1188" s="103">
        <v>94578.2472</v>
      </c>
      <c r="N1188" s="135" t="s">
        <v>3849</v>
      </c>
      <c r="Y1188" s="2" t="s">
        <v>39</v>
      </c>
    </row>
    <row r="1189" ht="15.75" customHeight="1">
      <c r="B1189" s="2">
        <v>2.4167579E7</v>
      </c>
      <c r="D1189" s="131"/>
      <c r="E1189" s="132" t="s">
        <v>3850</v>
      </c>
      <c r="F1189" s="136">
        <v>469.044</v>
      </c>
      <c r="G1189" s="137">
        <v>46.7</v>
      </c>
      <c r="H1189" s="103"/>
      <c r="I1189" s="103"/>
      <c r="J1189" s="103"/>
      <c r="K1189" s="103"/>
      <c r="L1189" s="103">
        <v>52291.1478</v>
      </c>
      <c r="N1189" s="135" t="s">
        <v>3851</v>
      </c>
      <c r="Y1189" s="2" t="s">
        <v>39</v>
      </c>
    </row>
    <row r="1190" ht="15.75" customHeight="1">
      <c r="B1190" s="2">
        <v>2.4167579E7</v>
      </c>
      <c r="D1190" s="131"/>
      <c r="E1190" s="132" t="s">
        <v>3852</v>
      </c>
      <c r="F1190" s="136">
        <v>249.036</v>
      </c>
      <c r="G1190" s="137">
        <v>104.08</v>
      </c>
      <c r="H1190" s="103"/>
      <c r="I1190" s="103"/>
      <c r="J1190" s="103"/>
      <c r="K1190" s="103"/>
      <c r="L1190" s="103">
        <v>82289.2301</v>
      </c>
      <c r="N1190" s="135" t="s">
        <v>3853</v>
      </c>
      <c r="Y1190" s="2" t="s">
        <v>39</v>
      </c>
    </row>
    <row r="1191" ht="15.75" customHeight="1">
      <c r="B1191" s="2">
        <v>2.4167579E7</v>
      </c>
      <c r="D1191" s="131"/>
      <c r="E1191" s="132" t="s">
        <v>3854</v>
      </c>
      <c r="F1191" s="138"/>
      <c r="G1191" s="139"/>
      <c r="H1191" s="140"/>
      <c r="I1191" s="140"/>
      <c r="J1191" s="140"/>
      <c r="K1191" s="140"/>
      <c r="L1191" s="140" t="s">
        <v>326</v>
      </c>
      <c r="N1191" s="135" t="s">
        <v>3855</v>
      </c>
      <c r="Y1191" s="2" t="s">
        <v>39</v>
      </c>
    </row>
    <row r="1192" ht="15.75" customHeight="1">
      <c r="B1192" s="2">
        <v>2.4167579E7</v>
      </c>
      <c r="D1192" s="131"/>
      <c r="E1192" s="132" t="s">
        <v>3854</v>
      </c>
      <c r="F1192" s="138"/>
      <c r="G1192" s="139"/>
      <c r="H1192" s="140"/>
      <c r="I1192" s="140"/>
      <c r="J1192" s="140"/>
      <c r="K1192" s="140"/>
      <c r="L1192" s="140" t="s">
        <v>326</v>
      </c>
      <c r="N1192" s="135" t="s">
        <v>3855</v>
      </c>
      <c r="Y1192" s="2" t="s">
        <v>39</v>
      </c>
    </row>
    <row r="1193" ht="15.75" customHeight="1">
      <c r="B1193" s="2">
        <v>2.4167579E7</v>
      </c>
      <c r="D1193" s="131"/>
      <c r="E1193" s="132" t="s">
        <v>3856</v>
      </c>
      <c r="F1193" s="136">
        <v>191.076</v>
      </c>
      <c r="G1193" s="137">
        <v>45.86</v>
      </c>
      <c r="H1193" s="103"/>
      <c r="I1193" s="103"/>
      <c r="J1193" s="103"/>
      <c r="K1193" s="103"/>
      <c r="L1193" s="103">
        <v>5415242.61</v>
      </c>
      <c r="N1193" s="135" t="s">
        <v>3857</v>
      </c>
      <c r="Y1193" s="2" t="s">
        <v>39</v>
      </c>
    </row>
    <row r="1194" ht="15.75" customHeight="1">
      <c r="B1194" s="2">
        <v>2.4167579E7</v>
      </c>
      <c r="D1194" s="131"/>
      <c r="E1194" s="132" t="s">
        <v>3858</v>
      </c>
      <c r="F1194" s="136">
        <v>220.004</v>
      </c>
      <c r="G1194" s="137">
        <v>147.43</v>
      </c>
      <c r="H1194" s="103"/>
      <c r="I1194" s="103"/>
      <c r="J1194" s="103"/>
      <c r="K1194" s="103"/>
      <c r="L1194" s="103">
        <v>456167.266</v>
      </c>
      <c r="N1194" s="135" t="s">
        <v>3859</v>
      </c>
      <c r="Y1194" s="2" t="s">
        <v>39</v>
      </c>
    </row>
    <row r="1195" ht="15.75" customHeight="1">
      <c r="B1195" s="2">
        <v>2.4167579E7</v>
      </c>
      <c r="D1195" s="131"/>
      <c r="E1195" s="132" t="s">
        <v>3860</v>
      </c>
      <c r="F1195" s="136">
        <v>144.138</v>
      </c>
      <c r="G1195" s="137">
        <v>246.21</v>
      </c>
      <c r="H1195" s="103"/>
      <c r="I1195" s="103"/>
      <c r="J1195" s="103"/>
      <c r="K1195" s="103"/>
      <c r="L1195" s="103">
        <v>504958.464</v>
      </c>
      <c r="N1195" s="135" t="s">
        <v>3861</v>
      </c>
      <c r="Y1195" s="2" t="s">
        <v>39</v>
      </c>
    </row>
    <row r="1196" ht="15.75" customHeight="1">
      <c r="B1196" s="2">
        <v>2.4167579E7</v>
      </c>
      <c r="D1196" s="131"/>
      <c r="E1196" s="132" t="s">
        <v>3862</v>
      </c>
      <c r="F1196" s="133">
        <v>241.03</v>
      </c>
      <c r="G1196" s="134">
        <v>56.21</v>
      </c>
      <c r="H1196" s="103"/>
      <c r="I1196" s="103"/>
      <c r="J1196" s="103"/>
      <c r="K1196" s="103"/>
      <c r="L1196" s="103">
        <v>346503.515</v>
      </c>
      <c r="N1196" s="135" t="s">
        <v>1747</v>
      </c>
      <c r="Y1196" s="2" t="s">
        <v>39</v>
      </c>
    </row>
    <row r="1197" ht="15.75" customHeight="1">
      <c r="B1197" s="2">
        <v>2.4167579E7</v>
      </c>
      <c r="D1197" s="131"/>
      <c r="E1197" s="132" t="s">
        <v>3862</v>
      </c>
      <c r="F1197" s="133">
        <v>241.03</v>
      </c>
      <c r="G1197" s="134">
        <v>51.85</v>
      </c>
      <c r="H1197" s="103"/>
      <c r="I1197" s="103"/>
      <c r="J1197" s="103"/>
      <c r="K1197" s="103"/>
      <c r="L1197" s="103">
        <v>462327.833</v>
      </c>
      <c r="N1197" s="135" t="s">
        <v>1747</v>
      </c>
      <c r="Y1197" s="2" t="s">
        <v>39</v>
      </c>
    </row>
    <row r="1198" ht="15.75" customHeight="1">
      <c r="B1198" s="2">
        <v>2.4167579E7</v>
      </c>
      <c r="D1198" s="131"/>
      <c r="E1198" s="132" t="s">
        <v>3863</v>
      </c>
      <c r="F1198" s="138"/>
      <c r="G1198" s="139"/>
      <c r="H1198" s="140"/>
      <c r="I1198" s="140"/>
      <c r="J1198" s="140"/>
      <c r="K1198" s="140"/>
      <c r="L1198" s="140" t="s">
        <v>326</v>
      </c>
      <c r="N1198" s="141" t="s">
        <v>3864</v>
      </c>
      <c r="Y1198" s="2" t="s">
        <v>39</v>
      </c>
    </row>
    <row r="1199" ht="15.75" customHeight="1">
      <c r="B1199" s="2">
        <v>2.4167579E7</v>
      </c>
      <c r="D1199" s="131"/>
      <c r="E1199" s="132" t="s">
        <v>3863</v>
      </c>
      <c r="F1199" s="136">
        <v>259.063</v>
      </c>
      <c r="G1199" s="137">
        <v>46.28</v>
      </c>
      <c r="H1199" s="103"/>
      <c r="I1199" s="103"/>
      <c r="J1199" s="103"/>
      <c r="K1199" s="103"/>
      <c r="L1199" s="103">
        <v>935881.248</v>
      </c>
      <c r="N1199" s="141" t="s">
        <v>3864</v>
      </c>
      <c r="Y1199" s="2" t="s">
        <v>39</v>
      </c>
    </row>
    <row r="1200" ht="15.75" customHeight="1">
      <c r="B1200" s="2">
        <v>2.4167579E7</v>
      </c>
      <c r="D1200" s="131"/>
      <c r="E1200" s="132" t="s">
        <v>3865</v>
      </c>
      <c r="F1200" s="136">
        <v>287.141</v>
      </c>
      <c r="G1200" s="137">
        <v>94.43</v>
      </c>
      <c r="H1200" s="103"/>
      <c r="I1200" s="103"/>
      <c r="J1200" s="103"/>
      <c r="K1200" s="103"/>
      <c r="L1200" s="103">
        <v>194090.941</v>
      </c>
      <c r="N1200" s="135" t="s">
        <v>3866</v>
      </c>
      <c r="Y1200" s="2" t="s">
        <v>39</v>
      </c>
    </row>
    <row r="1201" ht="15.75" customHeight="1">
      <c r="B1201" s="2">
        <v>2.4167579E7</v>
      </c>
      <c r="D1201" s="131"/>
      <c r="E1201" s="132" t="s">
        <v>3867</v>
      </c>
      <c r="F1201" s="133">
        <v>289.133</v>
      </c>
      <c r="G1201" s="134">
        <v>382.45</v>
      </c>
      <c r="H1201" s="103"/>
      <c r="I1201" s="103"/>
      <c r="J1201" s="103"/>
      <c r="K1201" s="103"/>
      <c r="L1201" s="103">
        <v>1629839.75</v>
      </c>
      <c r="N1201" s="135" t="s">
        <v>3868</v>
      </c>
      <c r="Y1201" s="2" t="s">
        <v>39</v>
      </c>
    </row>
    <row r="1202" ht="15.75" customHeight="1">
      <c r="B1202" s="2">
        <v>2.4167579E7</v>
      </c>
      <c r="D1202" s="131"/>
      <c r="E1202" s="132" t="s">
        <v>3869</v>
      </c>
      <c r="F1202" s="138"/>
      <c r="G1202" s="139"/>
      <c r="H1202" s="140"/>
      <c r="I1202" s="140"/>
      <c r="J1202" s="140"/>
      <c r="K1202" s="140"/>
      <c r="L1202" s="140" t="s">
        <v>326</v>
      </c>
      <c r="N1202" s="135" t="s">
        <v>3870</v>
      </c>
      <c r="Y1202" s="2" t="s">
        <v>39</v>
      </c>
    </row>
    <row r="1203" ht="15.75" customHeight="1">
      <c r="B1203" s="2">
        <v>2.4167579E7</v>
      </c>
      <c r="D1203" s="131"/>
      <c r="E1203" s="132" t="s">
        <v>3871</v>
      </c>
      <c r="F1203" s="136">
        <v>371.315</v>
      </c>
      <c r="G1203" s="137">
        <v>372.62</v>
      </c>
      <c r="H1203" s="103"/>
      <c r="I1203" s="103"/>
      <c r="J1203" s="103"/>
      <c r="K1203" s="103"/>
      <c r="L1203" s="103">
        <v>418524.266</v>
      </c>
      <c r="N1203" s="135" t="s">
        <v>3872</v>
      </c>
      <c r="Y1203" s="2" t="s">
        <v>39</v>
      </c>
    </row>
    <row r="1204" ht="15.75" customHeight="1">
      <c r="B1204" s="2">
        <v>2.4167579E7</v>
      </c>
      <c r="D1204" s="131"/>
      <c r="E1204" s="132" t="s">
        <v>3873</v>
      </c>
      <c r="F1204" s="136">
        <v>153.054</v>
      </c>
      <c r="G1204" s="137">
        <v>195.29</v>
      </c>
      <c r="H1204" s="103"/>
      <c r="I1204" s="103"/>
      <c r="J1204" s="103"/>
      <c r="K1204" s="103"/>
      <c r="L1204" s="103">
        <v>380872.151</v>
      </c>
      <c r="N1204" s="135" t="s">
        <v>999</v>
      </c>
      <c r="Y1204" s="2" t="s">
        <v>39</v>
      </c>
    </row>
    <row r="1205" ht="15.75" customHeight="1">
      <c r="B1205" s="2">
        <v>2.4167579E7</v>
      </c>
      <c r="D1205" s="131"/>
      <c r="E1205" s="132" t="s">
        <v>3874</v>
      </c>
      <c r="F1205" s="136">
        <v>269.222</v>
      </c>
      <c r="G1205" s="137">
        <v>181.26</v>
      </c>
      <c r="H1205" s="103"/>
      <c r="I1205" s="103"/>
      <c r="J1205" s="103"/>
      <c r="K1205" s="103"/>
      <c r="L1205" s="103">
        <v>132117.383</v>
      </c>
      <c r="N1205" s="135" t="s">
        <v>3750</v>
      </c>
      <c r="Y1205" s="2" t="s">
        <v>39</v>
      </c>
    </row>
    <row r="1206" ht="15.75" customHeight="1">
      <c r="B1206" s="2">
        <v>2.4167579E7</v>
      </c>
      <c r="D1206" s="131"/>
      <c r="E1206" s="132" t="s">
        <v>3875</v>
      </c>
      <c r="F1206" s="133">
        <v>350.028</v>
      </c>
      <c r="G1206" s="134">
        <v>53.26</v>
      </c>
      <c r="H1206" s="103"/>
      <c r="I1206" s="103"/>
      <c r="J1206" s="103"/>
      <c r="K1206" s="103"/>
      <c r="L1206" s="103">
        <v>262288.187</v>
      </c>
      <c r="N1206" s="135" t="s">
        <v>3876</v>
      </c>
      <c r="Y1206" s="2" t="s">
        <v>39</v>
      </c>
    </row>
    <row r="1207" ht="15.75" customHeight="1">
      <c r="B1207" s="2">
        <v>2.4167579E7</v>
      </c>
      <c r="D1207" s="131"/>
      <c r="E1207" s="132" t="s">
        <v>3877</v>
      </c>
      <c r="F1207" s="136">
        <v>165.102</v>
      </c>
      <c r="G1207" s="137">
        <v>118.0</v>
      </c>
      <c r="H1207" s="103"/>
      <c r="I1207" s="103"/>
      <c r="J1207" s="103"/>
      <c r="K1207" s="103"/>
      <c r="L1207" s="103">
        <v>49149.9987</v>
      </c>
      <c r="N1207" s="135" t="s">
        <v>3878</v>
      </c>
      <c r="Y1207" s="2" t="s">
        <v>39</v>
      </c>
    </row>
    <row r="1208" ht="15.75" customHeight="1">
      <c r="B1208" s="2">
        <v>2.4167579E7</v>
      </c>
      <c r="D1208" s="131"/>
      <c r="E1208" s="132" t="s">
        <v>3879</v>
      </c>
      <c r="F1208" s="136">
        <v>521.133</v>
      </c>
      <c r="G1208" s="137">
        <v>152.48</v>
      </c>
      <c r="H1208" s="103"/>
      <c r="I1208" s="103"/>
      <c r="J1208" s="103"/>
      <c r="K1208" s="103"/>
      <c r="L1208" s="103">
        <v>63917.6585</v>
      </c>
      <c r="N1208" s="135" t="s">
        <v>3880</v>
      </c>
      <c r="Y1208" s="2" t="s">
        <v>39</v>
      </c>
    </row>
    <row r="1209" ht="15.75" customHeight="1">
      <c r="B1209" s="2">
        <v>2.4167579E7</v>
      </c>
      <c r="D1209" s="131"/>
      <c r="E1209" s="132" t="s">
        <v>3881</v>
      </c>
      <c r="F1209" s="138"/>
      <c r="G1209" s="139"/>
      <c r="H1209" s="140"/>
      <c r="I1209" s="140"/>
      <c r="J1209" s="140"/>
      <c r="K1209" s="140"/>
      <c r="L1209" s="140" t="s">
        <v>326</v>
      </c>
      <c r="N1209" s="135" t="s">
        <v>3882</v>
      </c>
      <c r="Y1209" s="2" t="s">
        <v>39</v>
      </c>
    </row>
    <row r="1210" ht="15.75" customHeight="1">
      <c r="B1210" s="2">
        <v>2.4167579E7</v>
      </c>
      <c r="D1210" s="131"/>
      <c r="E1210" s="132" t="s">
        <v>3883</v>
      </c>
      <c r="F1210" s="138"/>
      <c r="G1210" s="139"/>
      <c r="H1210" s="140"/>
      <c r="I1210" s="140"/>
      <c r="J1210" s="140"/>
      <c r="K1210" s="140"/>
      <c r="L1210" s="140" t="s">
        <v>326</v>
      </c>
      <c r="N1210" s="135" t="s">
        <v>3884</v>
      </c>
      <c r="Y1210" s="2" t="s">
        <v>39</v>
      </c>
    </row>
    <row r="1211" ht="15.75" customHeight="1">
      <c r="B1211" s="2">
        <v>2.4167579E7</v>
      </c>
      <c r="D1211" s="131"/>
      <c r="E1211" s="132" t="s">
        <v>384</v>
      </c>
      <c r="F1211" s="136">
        <v>133.06</v>
      </c>
      <c r="G1211" s="137">
        <v>578.73</v>
      </c>
      <c r="H1211" s="103"/>
      <c r="I1211" s="103"/>
      <c r="J1211" s="103"/>
      <c r="K1211" s="103"/>
      <c r="L1211" s="103">
        <v>415983.198</v>
      </c>
      <c r="N1211" s="135" t="s">
        <v>1216</v>
      </c>
      <c r="Y1211" s="2" t="s">
        <v>39</v>
      </c>
    </row>
    <row r="1212" ht="15.75" customHeight="1">
      <c r="B1212" s="2">
        <v>2.4167579E7</v>
      </c>
      <c r="D1212" s="131"/>
      <c r="E1212" s="132" t="s">
        <v>3751</v>
      </c>
      <c r="F1212" s="138"/>
      <c r="G1212" s="139"/>
      <c r="H1212" s="140"/>
      <c r="I1212" s="140"/>
      <c r="J1212" s="140"/>
      <c r="K1212" s="140"/>
      <c r="L1212" s="140" t="s">
        <v>326</v>
      </c>
      <c r="N1212" s="135" t="s">
        <v>3752</v>
      </c>
      <c r="Y1212" s="2" t="s">
        <v>39</v>
      </c>
    </row>
    <row r="1213" ht="15.75" customHeight="1">
      <c r="B1213" s="2">
        <v>2.4167579E7</v>
      </c>
      <c r="D1213" s="131"/>
      <c r="E1213" s="132" t="s">
        <v>3885</v>
      </c>
      <c r="F1213" s="133">
        <v>310.201</v>
      </c>
      <c r="G1213" s="134">
        <v>101.03</v>
      </c>
      <c r="H1213" s="103"/>
      <c r="I1213" s="103"/>
      <c r="J1213" s="103"/>
      <c r="K1213" s="103"/>
      <c r="L1213" s="103">
        <v>5955962.94</v>
      </c>
      <c r="N1213" s="135" t="s">
        <v>3765</v>
      </c>
      <c r="Y1213" s="2" t="s">
        <v>39</v>
      </c>
    </row>
    <row r="1214" ht="15.75" customHeight="1">
      <c r="B1214" s="2">
        <v>2.4167579E7</v>
      </c>
      <c r="D1214" s="131"/>
      <c r="E1214" s="132" t="s">
        <v>3886</v>
      </c>
      <c r="F1214" s="133">
        <v>198.086</v>
      </c>
      <c r="G1214" s="134">
        <v>58.13</v>
      </c>
      <c r="H1214" s="103"/>
      <c r="I1214" s="103"/>
      <c r="J1214" s="103"/>
      <c r="K1214" s="103"/>
      <c r="L1214" s="103">
        <v>541603.257</v>
      </c>
      <c r="N1214" s="135" t="s">
        <v>2612</v>
      </c>
      <c r="Y1214" s="2" t="s">
        <v>39</v>
      </c>
    </row>
    <row r="1215" ht="15.75" customHeight="1">
      <c r="B1215" s="2">
        <v>2.4167579E7</v>
      </c>
      <c r="D1215" s="131"/>
      <c r="E1215" s="132" t="s">
        <v>3887</v>
      </c>
      <c r="F1215" s="133">
        <v>181.061</v>
      </c>
      <c r="G1215" s="134">
        <v>523.22</v>
      </c>
      <c r="H1215" s="103"/>
      <c r="I1215" s="103"/>
      <c r="J1215" s="103"/>
      <c r="K1215" s="103"/>
      <c r="L1215" s="103">
        <v>162683.584</v>
      </c>
      <c r="N1215" s="135" t="s">
        <v>3888</v>
      </c>
      <c r="Y1215" s="2" t="s">
        <v>39</v>
      </c>
    </row>
    <row r="1216" ht="15.75" customHeight="1">
      <c r="B1216" s="2">
        <v>2.4167579E7</v>
      </c>
      <c r="D1216" s="131"/>
      <c r="E1216" s="132" t="s">
        <v>3889</v>
      </c>
      <c r="F1216" s="136">
        <v>129.127</v>
      </c>
      <c r="G1216" s="137">
        <v>48.56</v>
      </c>
      <c r="H1216" s="103"/>
      <c r="I1216" s="103"/>
      <c r="J1216" s="103"/>
      <c r="K1216" s="103"/>
      <c r="L1216" s="103">
        <v>237891.471</v>
      </c>
      <c r="N1216" s="135" t="s">
        <v>3890</v>
      </c>
      <c r="Y1216" s="2" t="s">
        <v>39</v>
      </c>
    </row>
    <row r="1217" ht="15.75" customHeight="1">
      <c r="B1217" s="2">
        <v>2.4167579E7</v>
      </c>
      <c r="D1217" s="131"/>
      <c r="E1217" s="132" t="s">
        <v>3891</v>
      </c>
      <c r="F1217" s="138"/>
      <c r="G1217" s="139"/>
      <c r="H1217" s="140"/>
      <c r="I1217" s="140"/>
      <c r="J1217" s="140"/>
      <c r="K1217" s="140"/>
      <c r="L1217" s="140" t="s">
        <v>326</v>
      </c>
      <c r="N1217" s="114"/>
      <c r="Y1217" s="2" t="s">
        <v>39</v>
      </c>
    </row>
    <row r="1218" ht="15.75" customHeight="1">
      <c r="B1218" s="2">
        <v>2.4167579E7</v>
      </c>
      <c r="D1218" s="131"/>
      <c r="E1218" s="132" t="s">
        <v>3892</v>
      </c>
      <c r="F1218" s="138"/>
      <c r="G1218" s="139"/>
      <c r="H1218" s="140"/>
      <c r="I1218" s="140"/>
      <c r="J1218" s="140"/>
      <c r="K1218" s="140"/>
      <c r="L1218" s="140" t="s">
        <v>326</v>
      </c>
      <c r="N1218" s="114"/>
      <c r="Y1218" s="2" t="s">
        <v>39</v>
      </c>
    </row>
    <row r="1219" ht="15.75" customHeight="1">
      <c r="B1219" s="2">
        <v>2.4167579E7</v>
      </c>
      <c r="D1219" s="131"/>
      <c r="E1219" s="132" t="s">
        <v>3893</v>
      </c>
      <c r="F1219" s="136">
        <v>568.345</v>
      </c>
      <c r="G1219" s="137">
        <v>268.65</v>
      </c>
      <c r="H1219" s="103"/>
      <c r="I1219" s="103"/>
      <c r="J1219" s="103"/>
      <c r="K1219" s="103"/>
      <c r="L1219" s="103">
        <v>129299.288</v>
      </c>
      <c r="N1219" s="114"/>
      <c r="Y1219" s="2" t="s">
        <v>39</v>
      </c>
    </row>
    <row r="1220" ht="15.75" customHeight="1">
      <c r="B1220" s="2">
        <v>2.4167579E7</v>
      </c>
      <c r="D1220" s="131"/>
      <c r="E1220" s="132" t="s">
        <v>3894</v>
      </c>
      <c r="F1220" s="136">
        <v>502.326</v>
      </c>
      <c r="G1220" s="137">
        <v>411.41</v>
      </c>
      <c r="H1220" s="103"/>
      <c r="I1220" s="103"/>
      <c r="J1220" s="103"/>
      <c r="K1220" s="103"/>
      <c r="L1220" s="103">
        <v>2261343.39</v>
      </c>
      <c r="N1220" s="114"/>
      <c r="Y1220" s="2" t="s">
        <v>39</v>
      </c>
    </row>
    <row r="1221" ht="15.75" customHeight="1">
      <c r="B1221" s="2">
        <v>2.4167579E7</v>
      </c>
      <c r="D1221" s="131"/>
      <c r="E1221" s="132" t="s">
        <v>3895</v>
      </c>
      <c r="F1221" s="138"/>
      <c r="G1221" s="139"/>
      <c r="H1221" s="140"/>
      <c r="I1221" s="140"/>
      <c r="J1221" s="140"/>
      <c r="K1221" s="140"/>
      <c r="L1221" s="140" t="s">
        <v>326</v>
      </c>
      <c r="N1221" s="114"/>
      <c r="Y1221" s="2" t="s">
        <v>39</v>
      </c>
    </row>
    <row r="1222" ht="15.75" customHeight="1">
      <c r="B1222" s="2">
        <v>2.4167579E7</v>
      </c>
      <c r="D1222" s="131"/>
      <c r="E1222" s="132" t="s">
        <v>3896</v>
      </c>
      <c r="F1222" s="133">
        <v>259.062</v>
      </c>
      <c r="G1222" s="134">
        <v>61.3</v>
      </c>
      <c r="H1222" s="103"/>
      <c r="I1222" s="103"/>
      <c r="J1222" s="103"/>
      <c r="K1222" s="103"/>
      <c r="L1222" s="103">
        <v>913030.851</v>
      </c>
      <c r="N1222" s="114"/>
      <c r="Y1222" s="2" t="s">
        <v>39</v>
      </c>
    </row>
    <row r="1223" ht="15.75" customHeight="1">
      <c r="B1223" s="2">
        <v>2.4167579E7</v>
      </c>
      <c r="D1223" s="131"/>
      <c r="E1223" s="132" t="s">
        <v>3897</v>
      </c>
      <c r="F1223" s="136">
        <v>530.28</v>
      </c>
      <c r="G1223" s="137">
        <v>335.45</v>
      </c>
      <c r="H1223" s="103"/>
      <c r="I1223" s="103"/>
      <c r="J1223" s="103"/>
      <c r="K1223" s="103"/>
      <c r="L1223" s="103">
        <v>321602.872</v>
      </c>
      <c r="N1223" s="114"/>
      <c r="Y1223" s="2" t="s">
        <v>39</v>
      </c>
    </row>
    <row r="1224" ht="15.75" customHeight="1">
      <c r="B1224" s="2">
        <v>2.4167579E7</v>
      </c>
      <c r="D1224" s="131"/>
      <c r="E1224" s="132" t="s">
        <v>3898</v>
      </c>
      <c r="F1224" s="133">
        <v>277.179</v>
      </c>
      <c r="G1224" s="134">
        <v>446.07</v>
      </c>
      <c r="H1224" s="103"/>
      <c r="I1224" s="103"/>
      <c r="J1224" s="103"/>
      <c r="K1224" s="103"/>
      <c r="L1224" s="103">
        <v>148312.563</v>
      </c>
      <c r="N1224" s="114"/>
      <c r="Y1224" s="2" t="s">
        <v>39</v>
      </c>
    </row>
    <row r="1225" ht="15.75" customHeight="1">
      <c r="B1225" s="2">
        <v>2.4167579E7</v>
      </c>
      <c r="D1225" s="131"/>
      <c r="E1225" s="132" t="s">
        <v>3899</v>
      </c>
      <c r="F1225" s="136">
        <v>373.231</v>
      </c>
      <c r="G1225" s="137">
        <v>515.91</v>
      </c>
      <c r="H1225" s="103"/>
      <c r="I1225" s="103"/>
      <c r="J1225" s="103"/>
      <c r="K1225" s="103"/>
      <c r="L1225" s="103">
        <v>57616.0452</v>
      </c>
      <c r="N1225" s="114"/>
      <c r="Y1225" s="2" t="s">
        <v>39</v>
      </c>
    </row>
    <row r="1226" ht="15.75" customHeight="1">
      <c r="B1226" s="2">
        <v>2.4167579E7</v>
      </c>
      <c r="D1226" s="131"/>
      <c r="E1226" s="132" t="s">
        <v>3900</v>
      </c>
      <c r="F1226" s="136">
        <v>592.261</v>
      </c>
      <c r="G1226" s="137">
        <v>421.71</v>
      </c>
      <c r="H1226" s="103"/>
      <c r="I1226" s="103"/>
      <c r="J1226" s="103"/>
      <c r="K1226" s="103"/>
      <c r="L1226" s="103">
        <v>58138.0463</v>
      </c>
      <c r="N1226" s="114"/>
      <c r="Y1226" s="2" t="s">
        <v>39</v>
      </c>
    </row>
    <row r="1227" ht="15.75" customHeight="1">
      <c r="B1227" s="2">
        <v>2.4167579E7</v>
      </c>
      <c r="D1227" s="131"/>
      <c r="E1227" s="132" t="s">
        <v>3901</v>
      </c>
      <c r="F1227" s="136">
        <v>181.096</v>
      </c>
      <c r="G1227" s="137">
        <v>545.27</v>
      </c>
      <c r="H1227" s="103"/>
      <c r="I1227" s="103"/>
      <c r="J1227" s="103"/>
      <c r="K1227" s="103"/>
      <c r="L1227" s="103">
        <v>159547.842</v>
      </c>
      <c r="N1227" s="114"/>
      <c r="Y1227" s="2" t="s">
        <v>39</v>
      </c>
    </row>
    <row r="1228" ht="15.75" customHeight="1">
      <c r="B1228" s="2">
        <v>2.4167579E7</v>
      </c>
      <c r="D1228" s="131"/>
      <c r="E1228" s="132" t="s">
        <v>3902</v>
      </c>
      <c r="F1228" s="136">
        <v>395.036</v>
      </c>
      <c r="G1228" s="137">
        <v>46.88</v>
      </c>
      <c r="H1228" s="103"/>
      <c r="I1228" s="103"/>
      <c r="J1228" s="103"/>
      <c r="K1228" s="103"/>
      <c r="L1228" s="103">
        <v>1183099.47</v>
      </c>
      <c r="N1228" s="114"/>
      <c r="Y1228" s="2" t="s">
        <v>39</v>
      </c>
    </row>
    <row r="1229" ht="15.75" customHeight="1">
      <c r="B1229" s="2">
        <v>2.4167579E7</v>
      </c>
      <c r="D1229" s="131"/>
      <c r="E1229" s="132" t="s">
        <v>3902</v>
      </c>
      <c r="F1229" s="136">
        <v>395.036</v>
      </c>
      <c r="G1229" s="137">
        <v>57.55</v>
      </c>
      <c r="H1229" s="103"/>
      <c r="I1229" s="103"/>
      <c r="J1229" s="103"/>
      <c r="K1229" s="103"/>
      <c r="L1229" s="103">
        <v>1177313.39</v>
      </c>
      <c r="N1229" s="114"/>
      <c r="Y1229" s="2" t="s">
        <v>39</v>
      </c>
    </row>
    <row r="1230" ht="15.75" customHeight="1">
      <c r="B1230" s="2">
        <v>2.4167579E7</v>
      </c>
      <c r="D1230" s="131"/>
      <c r="E1230" s="132" t="s">
        <v>3903</v>
      </c>
      <c r="F1230" s="136">
        <v>230.047</v>
      </c>
      <c r="G1230" s="137">
        <v>24.49</v>
      </c>
      <c r="H1230" s="103"/>
      <c r="I1230" s="103"/>
      <c r="J1230" s="103"/>
      <c r="K1230" s="103"/>
      <c r="L1230" s="103">
        <v>67738.5095</v>
      </c>
      <c r="N1230" s="114"/>
      <c r="Y1230" s="2" t="s">
        <v>39</v>
      </c>
    </row>
    <row r="1231" ht="15.75" customHeight="1">
      <c r="B1231" s="2">
        <v>2.4167579E7</v>
      </c>
      <c r="D1231" s="131"/>
      <c r="E1231" s="132" t="s">
        <v>3904</v>
      </c>
      <c r="F1231" s="133">
        <v>365.092</v>
      </c>
      <c r="G1231" s="134">
        <v>349.52</v>
      </c>
      <c r="H1231" s="103"/>
      <c r="I1231" s="103"/>
      <c r="J1231" s="103"/>
      <c r="K1231" s="103"/>
      <c r="L1231" s="103">
        <v>69492.8112</v>
      </c>
      <c r="N1231" s="114"/>
      <c r="Y1231" s="2" t="s">
        <v>39</v>
      </c>
    </row>
    <row r="1232" ht="15.75" customHeight="1">
      <c r="B1232" s="2">
        <v>2.4167579E7</v>
      </c>
      <c r="D1232" s="131"/>
      <c r="E1232" s="132" t="s">
        <v>3905</v>
      </c>
      <c r="F1232" s="136">
        <v>184.169</v>
      </c>
      <c r="G1232" s="137">
        <v>115.31</v>
      </c>
      <c r="H1232" s="103"/>
      <c r="I1232" s="103"/>
      <c r="J1232" s="103"/>
      <c r="K1232" s="103"/>
      <c r="L1232" s="103">
        <v>50312.9203</v>
      </c>
      <c r="N1232" s="114"/>
      <c r="Y1232" s="2" t="s">
        <v>39</v>
      </c>
    </row>
    <row r="1233" ht="15.75" customHeight="1">
      <c r="B1233" s="2">
        <v>2.4167579E7</v>
      </c>
      <c r="D1233" s="131"/>
      <c r="E1233" s="132" t="s">
        <v>3906</v>
      </c>
      <c r="F1233" s="136">
        <v>133.101</v>
      </c>
      <c r="G1233" s="137">
        <v>55.82</v>
      </c>
      <c r="H1233" s="103"/>
      <c r="I1233" s="103"/>
      <c r="J1233" s="103"/>
      <c r="K1233" s="103"/>
      <c r="L1233" s="103">
        <v>2708000.32</v>
      </c>
      <c r="N1233" s="114"/>
      <c r="Y1233" s="2" t="s">
        <v>39</v>
      </c>
    </row>
    <row r="1234" ht="15.75" customHeight="1">
      <c r="B1234" s="2">
        <v>2.4167579E7</v>
      </c>
      <c r="D1234" s="131"/>
      <c r="E1234" s="132" t="s">
        <v>3907</v>
      </c>
      <c r="F1234" s="138"/>
      <c r="G1234" s="139"/>
      <c r="H1234" s="140"/>
      <c r="I1234" s="140"/>
      <c r="J1234" s="140"/>
      <c r="K1234" s="140"/>
      <c r="L1234" s="140" t="s">
        <v>326</v>
      </c>
      <c r="N1234" s="114"/>
      <c r="Y1234" s="2" t="s">
        <v>39</v>
      </c>
    </row>
    <row r="1235" ht="15.75" customHeight="1">
      <c r="B1235" s="2">
        <v>2.4167579E7</v>
      </c>
      <c r="D1235" s="131"/>
      <c r="E1235" s="132" t="s">
        <v>3907</v>
      </c>
      <c r="F1235" s="138"/>
      <c r="G1235" s="139"/>
      <c r="H1235" s="140"/>
      <c r="I1235" s="140"/>
      <c r="J1235" s="140"/>
      <c r="K1235" s="140"/>
      <c r="L1235" s="140" t="s">
        <v>326</v>
      </c>
      <c r="N1235" s="114"/>
      <c r="Y1235" s="2" t="s">
        <v>39</v>
      </c>
    </row>
    <row r="1236" ht="15.75" customHeight="1">
      <c r="B1236" s="2">
        <v>2.4167579E7</v>
      </c>
      <c r="D1236" s="131"/>
      <c r="E1236" s="132" t="s">
        <v>3908</v>
      </c>
      <c r="F1236" s="138"/>
      <c r="G1236" s="139"/>
      <c r="H1236" s="140"/>
      <c r="I1236" s="140"/>
      <c r="J1236" s="140"/>
      <c r="K1236" s="140"/>
      <c r="L1236" s="140" t="s">
        <v>326</v>
      </c>
      <c r="N1236" s="114"/>
      <c r="Y1236" s="2" t="s">
        <v>39</v>
      </c>
    </row>
    <row r="1237" ht="15.75" customHeight="1">
      <c r="B1237" s="2">
        <v>2.4167579E7</v>
      </c>
      <c r="D1237" s="131"/>
      <c r="E1237" s="132" t="s">
        <v>3909</v>
      </c>
      <c r="F1237" s="133">
        <v>467.15</v>
      </c>
      <c r="G1237" s="134">
        <v>287.47</v>
      </c>
      <c r="H1237" s="103"/>
      <c r="I1237" s="103"/>
      <c r="J1237" s="103"/>
      <c r="K1237" s="103"/>
      <c r="L1237" s="103">
        <v>217750.811</v>
      </c>
      <c r="N1237" s="114"/>
      <c r="Y1237" s="2" t="s">
        <v>39</v>
      </c>
    </row>
    <row r="1238" ht="15.75" customHeight="1">
      <c r="B1238" s="2">
        <v>2.4167579E7</v>
      </c>
      <c r="D1238" s="131"/>
      <c r="E1238" s="132" t="s">
        <v>3910</v>
      </c>
      <c r="F1238" s="136">
        <v>89.001</v>
      </c>
      <c r="G1238" s="137">
        <v>343.28</v>
      </c>
      <c r="H1238" s="103"/>
      <c r="I1238" s="103"/>
      <c r="J1238" s="103"/>
      <c r="K1238" s="103"/>
      <c r="L1238" s="103">
        <v>66308.4704</v>
      </c>
      <c r="N1238" s="114"/>
      <c r="Y1238" s="2" t="s">
        <v>39</v>
      </c>
    </row>
    <row r="1239" ht="15.75" customHeight="1">
      <c r="B1239" s="2">
        <v>2.4167579E7</v>
      </c>
      <c r="D1239" s="131"/>
      <c r="E1239" s="132" t="s">
        <v>3910</v>
      </c>
      <c r="F1239" s="136">
        <v>95.973</v>
      </c>
      <c r="G1239" s="137">
        <v>20.95</v>
      </c>
      <c r="H1239" s="103"/>
      <c r="I1239" s="103"/>
      <c r="J1239" s="103"/>
      <c r="K1239" s="103"/>
      <c r="L1239" s="103">
        <v>163678.369</v>
      </c>
      <c r="N1239" s="114"/>
      <c r="Y1239" s="2" t="s">
        <v>39</v>
      </c>
    </row>
    <row r="1240" ht="15.75" customHeight="1">
      <c r="B1240" s="2">
        <v>2.4167579E7</v>
      </c>
      <c r="D1240" s="131"/>
      <c r="E1240" s="132" t="s">
        <v>3910</v>
      </c>
      <c r="F1240" s="136">
        <v>103.055</v>
      </c>
      <c r="G1240" s="137">
        <v>532.66</v>
      </c>
      <c r="H1240" s="103"/>
      <c r="I1240" s="103"/>
      <c r="J1240" s="103"/>
      <c r="K1240" s="103"/>
      <c r="L1240" s="103">
        <v>224245.201</v>
      </c>
      <c r="N1240" s="114"/>
      <c r="Y1240" s="2" t="s">
        <v>39</v>
      </c>
    </row>
    <row r="1241" ht="15.75" customHeight="1">
      <c r="B1241" s="2">
        <v>2.4167579E7</v>
      </c>
      <c r="D1241" s="131"/>
      <c r="E1241" s="132" t="s">
        <v>3910</v>
      </c>
      <c r="F1241" s="136">
        <v>103.094</v>
      </c>
      <c r="G1241" s="137">
        <v>265.57</v>
      </c>
      <c r="H1241" s="103"/>
      <c r="I1241" s="103"/>
      <c r="J1241" s="103"/>
      <c r="K1241" s="103"/>
      <c r="L1241" s="103">
        <v>512770.62</v>
      </c>
      <c r="N1241" s="114"/>
      <c r="Y1241" s="2" t="s">
        <v>39</v>
      </c>
    </row>
    <row r="1242" ht="15.75" customHeight="1">
      <c r="B1242" s="2">
        <v>2.4167579E7</v>
      </c>
      <c r="D1242" s="131"/>
      <c r="E1242" s="132" t="s">
        <v>3910</v>
      </c>
      <c r="F1242" s="136">
        <v>105.11</v>
      </c>
      <c r="G1242" s="137">
        <v>52.96</v>
      </c>
      <c r="H1242" s="103"/>
      <c r="I1242" s="103"/>
      <c r="J1242" s="103"/>
      <c r="K1242" s="103"/>
      <c r="L1242" s="103">
        <v>3172182.59</v>
      </c>
      <c r="N1242" s="114"/>
      <c r="Y1242" s="2" t="s">
        <v>39</v>
      </c>
    </row>
    <row r="1243" ht="15.75" customHeight="1">
      <c r="B1243" s="2">
        <v>2.4167579E7</v>
      </c>
      <c r="D1243" s="131"/>
      <c r="E1243" s="132" t="s">
        <v>3910</v>
      </c>
      <c r="F1243" s="136">
        <v>113.969</v>
      </c>
      <c r="G1243" s="137">
        <v>10.69</v>
      </c>
      <c r="H1243" s="103"/>
      <c r="I1243" s="103"/>
      <c r="J1243" s="103"/>
      <c r="K1243" s="103"/>
      <c r="L1243" s="103">
        <v>120050.645</v>
      </c>
      <c r="N1243" s="114"/>
      <c r="Y1243" s="2" t="s">
        <v>39</v>
      </c>
    </row>
    <row r="1244" ht="15.75" customHeight="1">
      <c r="B1244" s="2">
        <v>2.4167579E7</v>
      </c>
      <c r="D1244" s="131"/>
      <c r="E1244" s="132" t="s">
        <v>3910</v>
      </c>
      <c r="F1244" s="136">
        <v>115.069</v>
      </c>
      <c r="G1244" s="137">
        <v>557.81</v>
      </c>
      <c r="H1244" s="103"/>
      <c r="I1244" s="103"/>
      <c r="J1244" s="103"/>
      <c r="K1244" s="103"/>
      <c r="L1244" s="103">
        <v>14091.0589</v>
      </c>
      <c r="N1244" s="114"/>
      <c r="Y1244" s="2" t="s">
        <v>39</v>
      </c>
    </row>
    <row r="1245" ht="15.75" customHeight="1">
      <c r="B1245" s="2">
        <v>2.4167579E7</v>
      </c>
      <c r="D1245" s="131"/>
      <c r="E1245" s="132" t="s">
        <v>3910</v>
      </c>
      <c r="F1245" s="136">
        <v>116.08</v>
      </c>
      <c r="G1245" s="137">
        <v>171.11</v>
      </c>
      <c r="H1245" s="103"/>
      <c r="I1245" s="103"/>
      <c r="J1245" s="103"/>
      <c r="K1245" s="103"/>
      <c r="L1245" s="103">
        <v>249127.351</v>
      </c>
      <c r="N1245" s="114"/>
      <c r="Y1245" s="2" t="s">
        <v>39</v>
      </c>
    </row>
    <row r="1246" ht="15.75" customHeight="1">
      <c r="B1246" s="2">
        <v>2.4167579E7</v>
      </c>
      <c r="D1246" s="131"/>
      <c r="E1246" s="132" t="s">
        <v>3910</v>
      </c>
      <c r="F1246" s="136">
        <v>117.073</v>
      </c>
      <c r="G1246" s="137">
        <v>223.55</v>
      </c>
      <c r="H1246" s="103"/>
      <c r="I1246" s="103"/>
      <c r="J1246" s="103"/>
      <c r="K1246" s="103"/>
      <c r="L1246" s="103">
        <v>68767.3345</v>
      </c>
      <c r="N1246" s="114"/>
      <c r="Y1246" s="2" t="s">
        <v>39</v>
      </c>
    </row>
    <row r="1247" ht="15.75" customHeight="1">
      <c r="B1247" s="2">
        <v>2.4167579E7</v>
      </c>
      <c r="D1247" s="131"/>
      <c r="E1247" s="132" t="s">
        <v>3910</v>
      </c>
      <c r="F1247" s="136">
        <v>119.514</v>
      </c>
      <c r="G1247" s="137">
        <v>19.9</v>
      </c>
      <c r="H1247" s="103"/>
      <c r="I1247" s="103"/>
      <c r="J1247" s="103"/>
      <c r="K1247" s="103"/>
      <c r="L1247" s="103">
        <v>55991.1406</v>
      </c>
      <c r="N1247" s="114"/>
      <c r="Y1247" s="2" t="s">
        <v>39</v>
      </c>
    </row>
    <row r="1248" ht="15.75" customHeight="1">
      <c r="B1248" s="2">
        <v>2.4167579E7</v>
      </c>
      <c r="D1248" s="131"/>
      <c r="E1248" s="132" t="s">
        <v>3910</v>
      </c>
      <c r="F1248" s="136">
        <v>124.966</v>
      </c>
      <c r="G1248" s="137">
        <v>269.15</v>
      </c>
      <c r="H1248" s="103"/>
      <c r="I1248" s="103"/>
      <c r="J1248" s="103"/>
      <c r="K1248" s="103"/>
      <c r="L1248" s="103">
        <v>457854.882</v>
      </c>
      <c r="N1248" s="114"/>
      <c r="Y1248" s="2" t="s">
        <v>39</v>
      </c>
    </row>
    <row r="1249" ht="15.75" customHeight="1">
      <c r="B1249" s="2">
        <v>2.4167579E7</v>
      </c>
      <c r="D1249" s="131"/>
      <c r="E1249" s="132" t="s">
        <v>3910</v>
      </c>
      <c r="F1249" s="136">
        <v>128.019</v>
      </c>
      <c r="G1249" s="137">
        <v>47.44</v>
      </c>
      <c r="H1249" s="103"/>
      <c r="I1249" s="103"/>
      <c r="J1249" s="103"/>
      <c r="K1249" s="103"/>
      <c r="L1249" s="103">
        <v>97239.6123</v>
      </c>
      <c r="N1249" s="114"/>
      <c r="Y1249" s="2" t="s">
        <v>39</v>
      </c>
    </row>
    <row r="1250" ht="15.75" customHeight="1">
      <c r="B1250" s="2">
        <v>2.4167579E7</v>
      </c>
      <c r="D1250" s="131"/>
      <c r="E1250" s="132" t="s">
        <v>3910</v>
      </c>
      <c r="F1250" s="136">
        <v>130.993</v>
      </c>
      <c r="G1250" s="137">
        <v>19.6</v>
      </c>
      <c r="H1250" s="103"/>
      <c r="I1250" s="103"/>
      <c r="J1250" s="103"/>
      <c r="K1250" s="103"/>
      <c r="L1250" s="103">
        <v>61121.1024</v>
      </c>
      <c r="N1250" s="114"/>
      <c r="Y1250" s="2" t="s">
        <v>39</v>
      </c>
    </row>
    <row r="1251" ht="15.75" customHeight="1">
      <c r="B1251" s="2">
        <v>2.4167579E7</v>
      </c>
      <c r="D1251" s="131"/>
      <c r="E1251" s="132" t="s">
        <v>3910</v>
      </c>
      <c r="F1251" s="136">
        <v>140.991</v>
      </c>
      <c r="G1251" s="137">
        <v>354.67</v>
      </c>
      <c r="H1251" s="103"/>
      <c r="I1251" s="103"/>
      <c r="J1251" s="103"/>
      <c r="K1251" s="103"/>
      <c r="L1251" s="103">
        <v>910463.676</v>
      </c>
      <c r="N1251" s="114"/>
      <c r="Y1251" s="2" t="s">
        <v>39</v>
      </c>
    </row>
    <row r="1252" ht="15.75" customHeight="1">
      <c r="B1252" s="2">
        <v>2.4167579E7</v>
      </c>
      <c r="D1252" s="131"/>
      <c r="E1252" s="132" t="s">
        <v>3910</v>
      </c>
      <c r="F1252" s="136">
        <v>140.993</v>
      </c>
      <c r="G1252" s="137">
        <v>334.45</v>
      </c>
      <c r="H1252" s="103"/>
      <c r="I1252" s="103"/>
      <c r="J1252" s="103"/>
      <c r="K1252" s="103"/>
      <c r="L1252" s="103">
        <v>1153932.41</v>
      </c>
      <c r="N1252" s="114"/>
      <c r="Y1252" s="2" t="s">
        <v>39</v>
      </c>
    </row>
    <row r="1253" ht="15.75" customHeight="1">
      <c r="B1253" s="2">
        <v>2.4167579E7</v>
      </c>
      <c r="D1253" s="131"/>
      <c r="E1253" s="132" t="s">
        <v>3910</v>
      </c>
      <c r="F1253" s="136">
        <v>151.124</v>
      </c>
      <c r="G1253" s="137">
        <v>93.0</v>
      </c>
      <c r="H1253" s="103"/>
      <c r="I1253" s="103"/>
      <c r="J1253" s="103"/>
      <c r="K1253" s="103"/>
      <c r="L1253" s="103">
        <v>25699.9702</v>
      </c>
      <c r="N1253" s="114"/>
      <c r="Y1253" s="2" t="s">
        <v>39</v>
      </c>
    </row>
    <row r="1254" ht="15.75" customHeight="1">
      <c r="B1254" s="2">
        <v>2.4167579E7</v>
      </c>
      <c r="D1254" s="131"/>
      <c r="E1254" s="132" t="s">
        <v>3910</v>
      </c>
      <c r="F1254" s="136">
        <v>151.99</v>
      </c>
      <c r="G1254" s="137">
        <v>333.96</v>
      </c>
      <c r="H1254" s="103"/>
      <c r="I1254" s="103"/>
      <c r="J1254" s="103"/>
      <c r="K1254" s="103"/>
      <c r="L1254" s="103">
        <v>74787.9729</v>
      </c>
      <c r="N1254" s="114"/>
      <c r="Y1254" s="2" t="s">
        <v>39</v>
      </c>
    </row>
    <row r="1255" ht="15.75" customHeight="1">
      <c r="B1255" s="2">
        <v>2.4167579E7</v>
      </c>
      <c r="D1255" s="131"/>
      <c r="E1255" s="132" t="s">
        <v>3910</v>
      </c>
      <c r="F1255" s="136">
        <v>152.115</v>
      </c>
      <c r="G1255" s="137">
        <v>162.21</v>
      </c>
      <c r="H1255" s="103"/>
      <c r="I1255" s="103"/>
      <c r="J1255" s="103"/>
      <c r="K1255" s="103"/>
      <c r="L1255" s="103">
        <v>59461.66</v>
      </c>
      <c r="N1255" s="114"/>
      <c r="Y1255" s="2" t="s">
        <v>39</v>
      </c>
    </row>
    <row r="1256" ht="15.75" customHeight="1">
      <c r="B1256" s="2">
        <v>2.4167579E7</v>
      </c>
      <c r="D1256" s="131"/>
      <c r="E1256" s="132" t="s">
        <v>3910</v>
      </c>
      <c r="F1256" s="136">
        <v>157.992</v>
      </c>
      <c r="G1256" s="137">
        <v>314.36</v>
      </c>
      <c r="H1256" s="103"/>
      <c r="I1256" s="103"/>
      <c r="J1256" s="103"/>
      <c r="K1256" s="103"/>
      <c r="L1256" s="103">
        <v>215809.787</v>
      </c>
      <c r="N1256" s="114"/>
      <c r="Y1256" s="2" t="s">
        <v>39</v>
      </c>
    </row>
    <row r="1257" ht="15.75" customHeight="1">
      <c r="B1257" s="2">
        <v>2.4167579E7</v>
      </c>
      <c r="D1257" s="131"/>
      <c r="E1257" s="132" t="s">
        <v>3910</v>
      </c>
      <c r="F1257" s="136">
        <v>159.099</v>
      </c>
      <c r="G1257" s="137">
        <v>14.56</v>
      </c>
      <c r="H1257" s="103"/>
      <c r="I1257" s="103"/>
      <c r="J1257" s="103"/>
      <c r="K1257" s="103"/>
      <c r="L1257" s="103">
        <v>2806205.2</v>
      </c>
      <c r="N1257" s="114"/>
      <c r="Y1257" s="2" t="s">
        <v>39</v>
      </c>
    </row>
    <row r="1258" ht="15.75" customHeight="1">
      <c r="B1258" s="2">
        <v>2.4167579E7</v>
      </c>
      <c r="D1258" s="131"/>
      <c r="E1258" s="132" t="s">
        <v>3910</v>
      </c>
      <c r="F1258" s="136">
        <v>165.99</v>
      </c>
      <c r="G1258" s="137">
        <v>482.19</v>
      </c>
      <c r="H1258" s="103"/>
      <c r="I1258" s="103"/>
      <c r="J1258" s="103"/>
      <c r="K1258" s="103"/>
      <c r="L1258" s="103">
        <v>41174.8966</v>
      </c>
      <c r="N1258" s="114"/>
      <c r="Y1258" s="2" t="s">
        <v>39</v>
      </c>
    </row>
    <row r="1259" ht="15.75" customHeight="1">
      <c r="B1259" s="2">
        <v>2.4167579E7</v>
      </c>
      <c r="D1259" s="131"/>
      <c r="E1259" s="132" t="s">
        <v>3910</v>
      </c>
      <c r="F1259" s="136">
        <v>174.99</v>
      </c>
      <c r="G1259" s="137">
        <v>34.24</v>
      </c>
      <c r="H1259" s="103"/>
      <c r="I1259" s="103"/>
      <c r="J1259" s="103"/>
      <c r="K1259" s="103"/>
      <c r="L1259" s="103">
        <v>62181.2898</v>
      </c>
      <c r="N1259" s="114"/>
      <c r="Y1259" s="2" t="s">
        <v>39</v>
      </c>
    </row>
    <row r="1260" ht="15.75" customHeight="1">
      <c r="B1260" s="2">
        <v>2.4167579E7</v>
      </c>
      <c r="D1260" s="131"/>
      <c r="E1260" s="132" t="s">
        <v>3910</v>
      </c>
      <c r="F1260" s="136">
        <v>175.131</v>
      </c>
      <c r="G1260" s="137">
        <v>54.63</v>
      </c>
      <c r="H1260" s="103"/>
      <c r="I1260" s="103"/>
      <c r="J1260" s="103"/>
      <c r="K1260" s="103"/>
      <c r="L1260" s="103">
        <v>243783.095</v>
      </c>
      <c r="N1260" s="114"/>
      <c r="Y1260" s="2" t="s">
        <v>39</v>
      </c>
    </row>
    <row r="1261" ht="15.75" customHeight="1">
      <c r="B1261" s="2">
        <v>2.4167579E7</v>
      </c>
      <c r="D1261" s="131"/>
      <c r="E1261" s="132" t="s">
        <v>3910</v>
      </c>
      <c r="F1261" s="136">
        <v>177.163</v>
      </c>
      <c r="G1261" s="137">
        <v>207.01</v>
      </c>
      <c r="H1261" s="103"/>
      <c r="I1261" s="103"/>
      <c r="J1261" s="103"/>
      <c r="K1261" s="103"/>
      <c r="L1261" s="103">
        <v>376601.438</v>
      </c>
      <c r="N1261" s="114"/>
      <c r="Y1261" s="2" t="s">
        <v>39</v>
      </c>
    </row>
    <row r="1262" ht="15.75" customHeight="1">
      <c r="B1262" s="2">
        <v>2.4167579E7</v>
      </c>
      <c r="D1262" s="131"/>
      <c r="E1262" s="132" t="s">
        <v>3910</v>
      </c>
      <c r="F1262" s="136">
        <v>182.961</v>
      </c>
      <c r="G1262" s="137">
        <v>369.48</v>
      </c>
      <c r="H1262" s="103"/>
      <c r="I1262" s="103"/>
      <c r="J1262" s="103"/>
      <c r="K1262" s="103"/>
      <c r="L1262" s="103">
        <v>1215104.88</v>
      </c>
      <c r="N1262" s="114"/>
      <c r="Y1262" s="2" t="s">
        <v>39</v>
      </c>
    </row>
    <row r="1263" ht="15.75" customHeight="1">
      <c r="B1263" s="2">
        <v>2.4167579E7</v>
      </c>
      <c r="D1263" s="131"/>
      <c r="E1263" s="132" t="s">
        <v>3910</v>
      </c>
      <c r="F1263" s="136">
        <v>189.959</v>
      </c>
      <c r="G1263" s="137">
        <v>90.26</v>
      </c>
      <c r="H1263" s="103"/>
      <c r="I1263" s="103"/>
      <c r="J1263" s="103"/>
      <c r="K1263" s="103"/>
      <c r="L1263" s="103">
        <v>102529.175</v>
      </c>
      <c r="N1263" s="114"/>
      <c r="Y1263" s="2" t="s">
        <v>39</v>
      </c>
    </row>
    <row r="1264" ht="15.75" customHeight="1">
      <c r="B1264" s="2">
        <v>2.4167579E7</v>
      </c>
      <c r="D1264" s="131"/>
      <c r="E1264" s="132" t="s">
        <v>3910</v>
      </c>
      <c r="F1264" s="136">
        <v>191.179</v>
      </c>
      <c r="G1264" s="137">
        <v>367.17</v>
      </c>
      <c r="H1264" s="103"/>
      <c r="I1264" s="103"/>
      <c r="J1264" s="103"/>
      <c r="K1264" s="103"/>
      <c r="L1264" s="103">
        <v>103115.093</v>
      </c>
      <c r="N1264" s="114"/>
      <c r="Y1264" s="2" t="s">
        <v>39</v>
      </c>
    </row>
    <row r="1265" ht="15.75" customHeight="1">
      <c r="B1265" s="2">
        <v>2.4167579E7</v>
      </c>
      <c r="D1265" s="131"/>
      <c r="E1265" s="132" t="s">
        <v>3910</v>
      </c>
      <c r="F1265" s="136">
        <v>198.082</v>
      </c>
      <c r="G1265" s="137">
        <v>58.49</v>
      </c>
      <c r="H1265" s="103"/>
      <c r="I1265" s="103"/>
      <c r="J1265" s="103"/>
      <c r="K1265" s="103"/>
      <c r="L1265" s="103">
        <v>546403.062</v>
      </c>
      <c r="N1265" s="114"/>
      <c r="Y1265" s="2" t="s">
        <v>39</v>
      </c>
    </row>
    <row r="1266" ht="15.75" customHeight="1">
      <c r="B1266" s="2">
        <v>2.4167579E7</v>
      </c>
      <c r="D1266" s="131"/>
      <c r="E1266" s="132" t="s">
        <v>3910</v>
      </c>
      <c r="F1266" s="136">
        <v>200.092</v>
      </c>
      <c r="G1266" s="137">
        <v>531.62</v>
      </c>
      <c r="H1266" s="103"/>
      <c r="I1266" s="103"/>
      <c r="J1266" s="103"/>
      <c r="K1266" s="103"/>
      <c r="L1266" s="103">
        <v>61770.1303</v>
      </c>
      <c r="N1266" s="114"/>
      <c r="Y1266" s="2" t="s">
        <v>39</v>
      </c>
    </row>
    <row r="1267" ht="15.75" customHeight="1">
      <c r="B1267" s="2">
        <v>2.4167579E7</v>
      </c>
      <c r="D1267" s="131"/>
      <c r="E1267" s="132" t="s">
        <v>3910</v>
      </c>
      <c r="F1267" s="136">
        <v>200.143</v>
      </c>
      <c r="G1267" s="137">
        <v>235.33</v>
      </c>
      <c r="H1267" s="103"/>
      <c r="I1267" s="103"/>
      <c r="J1267" s="103"/>
      <c r="K1267" s="103"/>
      <c r="L1267" s="103">
        <v>505025.652</v>
      </c>
      <c r="N1267" s="114"/>
      <c r="Y1267" s="2" t="s">
        <v>39</v>
      </c>
    </row>
    <row r="1268" ht="15.75" customHeight="1">
      <c r="B1268" s="2">
        <v>2.4167579E7</v>
      </c>
      <c r="D1268" s="131"/>
      <c r="E1268" s="132" t="s">
        <v>3910</v>
      </c>
      <c r="F1268" s="136">
        <v>201.99</v>
      </c>
      <c r="G1268" s="137">
        <v>6.31</v>
      </c>
      <c r="H1268" s="103"/>
      <c r="I1268" s="103"/>
      <c r="J1268" s="103"/>
      <c r="K1268" s="103"/>
      <c r="L1268" s="103">
        <v>863539.713</v>
      </c>
      <c r="N1268" s="114"/>
      <c r="Y1268" s="2" t="s">
        <v>39</v>
      </c>
    </row>
    <row r="1269" ht="15.75" customHeight="1">
      <c r="B1269" s="2">
        <v>2.4167579E7</v>
      </c>
      <c r="D1269" s="131"/>
      <c r="E1269" s="132" t="s">
        <v>3910</v>
      </c>
      <c r="F1269" s="136">
        <v>214.056</v>
      </c>
      <c r="G1269" s="137">
        <v>47.96</v>
      </c>
      <c r="H1269" s="103"/>
      <c r="I1269" s="103"/>
      <c r="J1269" s="103"/>
      <c r="K1269" s="103"/>
      <c r="L1269" s="103">
        <v>776021.549</v>
      </c>
      <c r="N1269" s="114"/>
      <c r="Y1269" s="2" t="s">
        <v>39</v>
      </c>
    </row>
    <row r="1270" ht="15.75" customHeight="1">
      <c r="B1270" s="2">
        <v>2.4167579E7</v>
      </c>
      <c r="D1270" s="131"/>
      <c r="E1270" s="132" t="s">
        <v>3910</v>
      </c>
      <c r="F1270" s="136">
        <v>214.056</v>
      </c>
      <c r="G1270" s="137">
        <v>53.42</v>
      </c>
      <c r="H1270" s="103"/>
      <c r="I1270" s="103"/>
      <c r="J1270" s="103"/>
      <c r="K1270" s="103"/>
      <c r="L1270" s="103">
        <v>757875.738</v>
      </c>
      <c r="N1270" s="114"/>
      <c r="Y1270" s="2" t="s">
        <v>39</v>
      </c>
    </row>
    <row r="1271" ht="15.75" customHeight="1">
      <c r="B1271" s="2">
        <v>2.4167579E7</v>
      </c>
      <c r="D1271" s="131"/>
      <c r="E1271" s="132" t="s">
        <v>3910</v>
      </c>
      <c r="F1271" s="136">
        <v>223.153</v>
      </c>
      <c r="G1271" s="137">
        <v>74.33</v>
      </c>
      <c r="H1271" s="103"/>
      <c r="I1271" s="103"/>
      <c r="J1271" s="103"/>
      <c r="K1271" s="103"/>
      <c r="L1271" s="103">
        <v>110263.508</v>
      </c>
      <c r="N1271" s="114"/>
      <c r="Y1271" s="2" t="s">
        <v>39</v>
      </c>
    </row>
    <row r="1272" ht="15.75" customHeight="1">
      <c r="B1272" s="2">
        <v>2.4167579E7</v>
      </c>
      <c r="D1272" s="131"/>
      <c r="E1272" s="132" t="s">
        <v>3910</v>
      </c>
      <c r="F1272" s="136">
        <v>223.928</v>
      </c>
      <c r="G1272" s="137">
        <v>68.23</v>
      </c>
      <c r="H1272" s="103"/>
      <c r="I1272" s="103"/>
      <c r="J1272" s="103"/>
      <c r="K1272" s="103"/>
      <c r="L1272" s="103">
        <v>576816.774</v>
      </c>
      <c r="N1272" s="114"/>
      <c r="Y1272" s="2" t="s">
        <v>39</v>
      </c>
    </row>
    <row r="1273" ht="15.75" customHeight="1">
      <c r="B1273" s="2">
        <v>2.4167579E7</v>
      </c>
      <c r="D1273" s="131"/>
      <c r="E1273" s="132" t="s">
        <v>3910</v>
      </c>
      <c r="F1273" s="136">
        <v>224.062</v>
      </c>
      <c r="G1273" s="137">
        <v>337.55</v>
      </c>
      <c r="H1273" s="103"/>
      <c r="I1273" s="103"/>
      <c r="J1273" s="103"/>
      <c r="K1273" s="103"/>
      <c r="L1273" s="103">
        <v>600878.778</v>
      </c>
      <c r="N1273" s="114"/>
      <c r="Y1273" s="2" t="s">
        <v>39</v>
      </c>
    </row>
    <row r="1274" ht="15.75" customHeight="1">
      <c r="B1274" s="2">
        <v>2.4167579E7</v>
      </c>
      <c r="D1274" s="131"/>
      <c r="E1274" s="132" t="s">
        <v>3910</v>
      </c>
      <c r="F1274" s="136">
        <v>225.04</v>
      </c>
      <c r="G1274" s="137">
        <v>49.78</v>
      </c>
      <c r="H1274" s="103"/>
      <c r="I1274" s="103"/>
      <c r="J1274" s="103"/>
      <c r="K1274" s="103"/>
      <c r="L1274" s="103">
        <v>2570915.2</v>
      </c>
      <c r="N1274" s="114"/>
      <c r="Y1274" s="2" t="s">
        <v>39</v>
      </c>
    </row>
    <row r="1275" ht="15.75" customHeight="1">
      <c r="B1275" s="2">
        <v>2.4167579E7</v>
      </c>
      <c r="D1275" s="131"/>
      <c r="E1275" s="132" t="s">
        <v>3910</v>
      </c>
      <c r="F1275" s="136">
        <v>235.153</v>
      </c>
      <c r="G1275" s="137">
        <v>193.6</v>
      </c>
      <c r="H1275" s="103"/>
      <c r="I1275" s="103"/>
      <c r="J1275" s="103"/>
      <c r="K1275" s="103"/>
      <c r="L1275" s="103">
        <v>145382.47</v>
      </c>
      <c r="N1275" s="114"/>
      <c r="Y1275" s="2" t="s">
        <v>39</v>
      </c>
    </row>
    <row r="1276" ht="15.75" customHeight="1">
      <c r="B1276" s="2">
        <v>2.4167579E7</v>
      </c>
      <c r="D1276" s="131"/>
      <c r="E1276" s="132" t="s">
        <v>3910</v>
      </c>
      <c r="F1276" s="136">
        <v>240.195</v>
      </c>
      <c r="G1276" s="137">
        <v>304.66</v>
      </c>
      <c r="H1276" s="103"/>
      <c r="I1276" s="103"/>
      <c r="J1276" s="103"/>
      <c r="K1276" s="103"/>
      <c r="L1276" s="103">
        <v>50244.0457</v>
      </c>
      <c r="N1276" s="114"/>
      <c r="Y1276" s="2" t="s">
        <v>39</v>
      </c>
    </row>
    <row r="1277" ht="15.75" customHeight="1">
      <c r="B1277" s="2">
        <v>2.4167579E7</v>
      </c>
      <c r="D1277" s="131"/>
      <c r="E1277" s="132" t="s">
        <v>3910</v>
      </c>
      <c r="F1277" s="136">
        <v>242.924</v>
      </c>
      <c r="G1277" s="137">
        <v>49.53</v>
      </c>
      <c r="H1277" s="103"/>
      <c r="I1277" s="103"/>
      <c r="J1277" s="103"/>
      <c r="K1277" s="103"/>
      <c r="L1277" s="103">
        <v>7196627.11</v>
      </c>
      <c r="N1277" s="114"/>
      <c r="Y1277" s="2" t="s">
        <v>39</v>
      </c>
    </row>
    <row r="1278" ht="15.75" customHeight="1">
      <c r="B1278" s="2">
        <v>2.4167579E7</v>
      </c>
      <c r="D1278" s="131"/>
      <c r="E1278" s="132" t="s">
        <v>3910</v>
      </c>
      <c r="F1278" s="136">
        <v>254.014</v>
      </c>
      <c r="G1278" s="137">
        <v>318.56</v>
      </c>
      <c r="H1278" s="103"/>
      <c r="I1278" s="103"/>
      <c r="J1278" s="103"/>
      <c r="K1278" s="103"/>
      <c r="L1278" s="103">
        <v>62933.4272</v>
      </c>
      <c r="N1278" s="114"/>
      <c r="Y1278" s="2" t="s">
        <v>39</v>
      </c>
    </row>
    <row r="1279" ht="15.75" customHeight="1">
      <c r="B1279" s="2">
        <v>2.4167579E7</v>
      </c>
      <c r="D1279" s="131"/>
      <c r="E1279" s="132" t="s">
        <v>3910</v>
      </c>
      <c r="F1279" s="136">
        <v>262.113</v>
      </c>
      <c r="G1279" s="137">
        <v>273.89</v>
      </c>
      <c r="H1279" s="103"/>
      <c r="I1279" s="103"/>
      <c r="J1279" s="103"/>
      <c r="K1279" s="103"/>
      <c r="L1279" s="103">
        <v>136060.705</v>
      </c>
      <c r="N1279" s="114"/>
      <c r="Y1279" s="2" t="s">
        <v>39</v>
      </c>
    </row>
    <row r="1280" ht="15.75" customHeight="1">
      <c r="B1280" s="2">
        <v>2.4167579E7</v>
      </c>
      <c r="D1280" s="131"/>
      <c r="E1280" s="132" t="s">
        <v>3910</v>
      </c>
      <c r="F1280" s="136">
        <v>264.014</v>
      </c>
      <c r="G1280" s="137">
        <v>69.38</v>
      </c>
      <c r="H1280" s="103"/>
      <c r="I1280" s="103"/>
      <c r="J1280" s="103"/>
      <c r="K1280" s="103"/>
      <c r="L1280" s="103">
        <v>125692.375</v>
      </c>
      <c r="N1280" s="114"/>
      <c r="Y1280" s="2" t="s">
        <v>39</v>
      </c>
    </row>
    <row r="1281" ht="15.75" customHeight="1">
      <c r="B1281" s="2">
        <v>2.4167579E7</v>
      </c>
      <c r="D1281" s="131"/>
      <c r="E1281" s="132" t="s">
        <v>3910</v>
      </c>
      <c r="F1281" s="136">
        <v>271.151</v>
      </c>
      <c r="G1281" s="137">
        <v>85.79</v>
      </c>
      <c r="H1281" s="103"/>
      <c r="I1281" s="103"/>
      <c r="J1281" s="103"/>
      <c r="K1281" s="103"/>
      <c r="L1281" s="103">
        <v>142098.924</v>
      </c>
      <c r="N1281" s="114"/>
      <c r="Y1281" s="2" t="s">
        <v>39</v>
      </c>
    </row>
    <row r="1282" ht="15.75" customHeight="1">
      <c r="B1282" s="2">
        <v>2.4167579E7</v>
      </c>
      <c r="D1282" s="131"/>
      <c r="E1282" s="132" t="s">
        <v>3910</v>
      </c>
      <c r="F1282" s="136">
        <v>282.183</v>
      </c>
      <c r="G1282" s="137">
        <v>318.74</v>
      </c>
      <c r="H1282" s="103"/>
      <c r="I1282" s="103"/>
      <c r="J1282" s="103"/>
      <c r="K1282" s="103"/>
      <c r="L1282" s="103">
        <v>99847.5073</v>
      </c>
      <c r="N1282" s="114"/>
      <c r="Y1282" s="2" t="s">
        <v>39</v>
      </c>
    </row>
    <row r="1283" ht="15.75" customHeight="1">
      <c r="B1283" s="2">
        <v>2.4167579E7</v>
      </c>
      <c r="D1283" s="131"/>
      <c r="E1283" s="132" t="s">
        <v>3910</v>
      </c>
      <c r="F1283" s="136">
        <v>284.996</v>
      </c>
      <c r="G1283" s="137">
        <v>52.31</v>
      </c>
      <c r="H1283" s="103"/>
      <c r="I1283" s="103"/>
      <c r="J1283" s="103"/>
      <c r="K1283" s="103"/>
      <c r="L1283" s="103">
        <v>443098.577</v>
      </c>
      <c r="N1283" s="114"/>
      <c r="Y1283" s="2" t="s">
        <v>39</v>
      </c>
    </row>
    <row r="1284" ht="15.75" customHeight="1">
      <c r="B1284" s="2">
        <v>2.4167579E7</v>
      </c>
      <c r="D1284" s="131"/>
      <c r="E1284" s="132" t="s">
        <v>3910</v>
      </c>
      <c r="F1284" s="136">
        <v>287.143</v>
      </c>
      <c r="G1284" s="137">
        <v>114.06</v>
      </c>
      <c r="H1284" s="103"/>
      <c r="I1284" s="103"/>
      <c r="J1284" s="103"/>
      <c r="K1284" s="103"/>
      <c r="L1284" s="103">
        <v>300651.939</v>
      </c>
      <c r="N1284" s="114"/>
      <c r="Y1284" s="2" t="s">
        <v>39</v>
      </c>
    </row>
    <row r="1285" ht="15.75" customHeight="1">
      <c r="B1285" s="2">
        <v>2.4167579E7</v>
      </c>
      <c r="D1285" s="131"/>
      <c r="E1285" s="132" t="s">
        <v>3910</v>
      </c>
      <c r="F1285" s="136">
        <v>299.137</v>
      </c>
      <c r="G1285" s="137">
        <v>387.45</v>
      </c>
      <c r="H1285" s="103"/>
      <c r="I1285" s="103"/>
      <c r="J1285" s="103"/>
      <c r="K1285" s="103"/>
      <c r="L1285" s="103">
        <v>2081994.0</v>
      </c>
      <c r="N1285" s="114"/>
      <c r="Y1285" s="2" t="s">
        <v>39</v>
      </c>
    </row>
    <row r="1286" ht="15.75" customHeight="1">
      <c r="B1286" s="2">
        <v>2.4167579E7</v>
      </c>
      <c r="D1286" s="131"/>
      <c r="E1286" s="132" t="s">
        <v>3910</v>
      </c>
      <c r="F1286" s="136">
        <v>299.137</v>
      </c>
      <c r="G1286" s="137">
        <v>388.11</v>
      </c>
      <c r="H1286" s="103"/>
      <c r="I1286" s="103"/>
      <c r="J1286" s="103"/>
      <c r="K1286" s="103"/>
      <c r="L1286" s="103">
        <v>1865865.44</v>
      </c>
      <c r="N1286" s="114"/>
      <c r="Y1286" s="2" t="s">
        <v>39</v>
      </c>
    </row>
    <row r="1287" ht="15.75" customHeight="1">
      <c r="B1287" s="2">
        <v>2.4167579E7</v>
      </c>
      <c r="D1287" s="131"/>
      <c r="E1287" s="132" t="s">
        <v>3910</v>
      </c>
      <c r="F1287" s="136">
        <v>300.92</v>
      </c>
      <c r="G1287" s="137">
        <v>21.21</v>
      </c>
      <c r="H1287" s="103"/>
      <c r="I1287" s="103"/>
      <c r="J1287" s="103"/>
      <c r="K1287" s="103"/>
      <c r="L1287" s="103">
        <v>92536.7781</v>
      </c>
      <c r="N1287" s="114"/>
      <c r="Y1287" s="2" t="s">
        <v>39</v>
      </c>
    </row>
    <row r="1288" ht="15.75" customHeight="1">
      <c r="B1288" s="2">
        <v>2.4167579E7</v>
      </c>
      <c r="D1288" s="131"/>
      <c r="E1288" s="132" t="s">
        <v>3910</v>
      </c>
      <c r="F1288" s="136">
        <v>306.975</v>
      </c>
      <c r="G1288" s="137">
        <v>49.32</v>
      </c>
      <c r="H1288" s="103"/>
      <c r="I1288" s="103"/>
      <c r="J1288" s="103"/>
      <c r="K1288" s="103"/>
      <c r="L1288" s="103">
        <v>594620.177</v>
      </c>
      <c r="N1288" s="114"/>
      <c r="Y1288" s="2" t="s">
        <v>39</v>
      </c>
    </row>
    <row r="1289" ht="15.75" customHeight="1">
      <c r="B1289" s="2">
        <v>2.4167579E7</v>
      </c>
      <c r="D1289" s="131"/>
      <c r="E1289" s="132" t="s">
        <v>3910</v>
      </c>
      <c r="F1289" s="136">
        <v>306.976</v>
      </c>
      <c r="G1289" s="137">
        <v>52.7</v>
      </c>
      <c r="H1289" s="103"/>
      <c r="I1289" s="103"/>
      <c r="J1289" s="103"/>
      <c r="K1289" s="103"/>
      <c r="L1289" s="103">
        <v>608401.989</v>
      </c>
      <c r="N1289" s="114"/>
      <c r="Y1289" s="2" t="s">
        <v>39</v>
      </c>
    </row>
    <row r="1290" ht="15.75" customHeight="1">
      <c r="B1290" s="2">
        <v>2.4167579E7</v>
      </c>
      <c r="D1290" s="131"/>
      <c r="E1290" s="132" t="s">
        <v>3910</v>
      </c>
      <c r="F1290" s="136">
        <v>309.018</v>
      </c>
      <c r="G1290" s="137">
        <v>114.45</v>
      </c>
      <c r="H1290" s="103"/>
      <c r="I1290" s="103"/>
      <c r="J1290" s="103"/>
      <c r="K1290" s="103"/>
      <c r="L1290" s="103">
        <v>779934.445</v>
      </c>
      <c r="N1290" s="114"/>
      <c r="Y1290" s="2" t="s">
        <v>39</v>
      </c>
    </row>
    <row r="1291" ht="15.75" customHeight="1">
      <c r="B1291" s="2">
        <v>2.4167579E7</v>
      </c>
      <c r="D1291" s="131"/>
      <c r="E1291" s="132" t="s">
        <v>3910</v>
      </c>
      <c r="F1291" s="136">
        <v>328.915</v>
      </c>
      <c r="G1291" s="137">
        <v>55.03</v>
      </c>
      <c r="H1291" s="103"/>
      <c r="I1291" s="103"/>
      <c r="J1291" s="103"/>
      <c r="K1291" s="103"/>
      <c r="L1291" s="103">
        <v>1064097.63</v>
      </c>
      <c r="N1291" s="114"/>
      <c r="Y1291" s="2" t="s">
        <v>39</v>
      </c>
    </row>
    <row r="1292" ht="15.75" customHeight="1">
      <c r="B1292" s="2">
        <v>2.4167579E7</v>
      </c>
      <c r="D1292" s="131"/>
      <c r="E1292" s="132" t="s">
        <v>3910</v>
      </c>
      <c r="F1292" s="136">
        <v>328.985</v>
      </c>
      <c r="G1292" s="137">
        <v>167.19</v>
      </c>
      <c r="H1292" s="103"/>
      <c r="I1292" s="103"/>
      <c r="J1292" s="103"/>
      <c r="K1292" s="103"/>
      <c r="L1292" s="103">
        <v>31871.0891</v>
      </c>
      <c r="N1292" s="114"/>
      <c r="Y1292" s="2" t="s">
        <v>39</v>
      </c>
    </row>
    <row r="1293" ht="15.75" customHeight="1">
      <c r="B1293" s="2">
        <v>2.4167579E7</v>
      </c>
      <c r="D1293" s="131"/>
      <c r="E1293" s="132" t="s">
        <v>3910</v>
      </c>
      <c r="F1293" s="136">
        <v>332.995</v>
      </c>
      <c r="G1293" s="137">
        <v>156.9</v>
      </c>
      <c r="H1293" s="103"/>
      <c r="I1293" s="103"/>
      <c r="J1293" s="103"/>
      <c r="K1293" s="103"/>
      <c r="L1293" s="103">
        <v>58116.3897</v>
      </c>
      <c r="N1293" s="114"/>
      <c r="Y1293" s="2" t="s">
        <v>39</v>
      </c>
    </row>
    <row r="1294" ht="15.75" customHeight="1">
      <c r="B1294" s="2">
        <v>2.4167579E7</v>
      </c>
      <c r="D1294" s="131"/>
      <c r="E1294" s="132" t="s">
        <v>3910</v>
      </c>
      <c r="F1294" s="136">
        <v>333.297</v>
      </c>
      <c r="G1294" s="137">
        <v>538.28</v>
      </c>
      <c r="H1294" s="103"/>
      <c r="I1294" s="103"/>
      <c r="J1294" s="103"/>
      <c r="K1294" s="103"/>
      <c r="L1294" s="103">
        <v>155059.061</v>
      </c>
      <c r="N1294" s="114"/>
      <c r="Y1294" s="2" t="s">
        <v>39</v>
      </c>
    </row>
    <row r="1295" ht="15.75" customHeight="1">
      <c r="B1295" s="2">
        <v>2.4167579E7</v>
      </c>
      <c r="D1295" s="131"/>
      <c r="E1295" s="132" t="s">
        <v>3910</v>
      </c>
      <c r="F1295" s="136">
        <v>368.122</v>
      </c>
      <c r="G1295" s="137">
        <v>318.09</v>
      </c>
      <c r="H1295" s="103"/>
      <c r="I1295" s="103"/>
      <c r="J1295" s="103"/>
      <c r="K1295" s="103"/>
      <c r="L1295" s="103">
        <v>693179.504</v>
      </c>
      <c r="N1295" s="114"/>
      <c r="Y1295" s="2" t="s">
        <v>39</v>
      </c>
    </row>
    <row r="1296" ht="15.75" customHeight="1">
      <c r="B1296" s="2">
        <v>2.4167579E7</v>
      </c>
      <c r="D1296" s="131"/>
      <c r="E1296" s="132" t="s">
        <v>3910</v>
      </c>
      <c r="F1296" s="136">
        <v>403.004</v>
      </c>
      <c r="G1296" s="137">
        <v>58.2</v>
      </c>
      <c r="H1296" s="103"/>
      <c r="I1296" s="103"/>
      <c r="J1296" s="103"/>
      <c r="K1296" s="103"/>
      <c r="L1296" s="103">
        <v>110442.16</v>
      </c>
      <c r="N1296" s="114"/>
      <c r="Y1296" s="2" t="s">
        <v>39</v>
      </c>
    </row>
    <row r="1297" ht="15.75" customHeight="1">
      <c r="B1297" s="2">
        <v>2.4167579E7</v>
      </c>
      <c r="D1297" s="131"/>
      <c r="E1297" s="132" t="s">
        <v>3910</v>
      </c>
      <c r="F1297" s="136">
        <v>463.026</v>
      </c>
      <c r="G1297" s="137">
        <v>46.51</v>
      </c>
      <c r="H1297" s="103"/>
      <c r="I1297" s="103"/>
      <c r="J1297" s="103"/>
      <c r="K1297" s="103"/>
      <c r="L1297" s="103">
        <v>1581746.54</v>
      </c>
      <c r="N1297" s="114"/>
      <c r="Y1297" s="2" t="s">
        <v>39</v>
      </c>
    </row>
    <row r="1298" ht="15.75" customHeight="1">
      <c r="B1298" s="2">
        <v>2.4167579E7</v>
      </c>
      <c r="D1298" s="131"/>
      <c r="E1298" s="132" t="s">
        <v>3910</v>
      </c>
      <c r="F1298" s="136">
        <v>472.915</v>
      </c>
      <c r="G1298" s="137">
        <v>47.96</v>
      </c>
      <c r="H1298" s="103"/>
      <c r="I1298" s="103"/>
      <c r="J1298" s="103"/>
      <c r="K1298" s="103"/>
      <c r="L1298" s="103">
        <v>221477.036</v>
      </c>
      <c r="N1298" s="114"/>
      <c r="Y1298" s="2" t="s">
        <v>39</v>
      </c>
    </row>
    <row r="1299" ht="15.75" customHeight="1">
      <c r="B1299" s="2">
        <v>2.4167579E7</v>
      </c>
      <c r="D1299" s="131"/>
      <c r="E1299" s="132" t="s">
        <v>3910</v>
      </c>
      <c r="F1299" s="136">
        <v>486.002</v>
      </c>
      <c r="G1299" s="137">
        <v>46.18</v>
      </c>
      <c r="H1299" s="103"/>
      <c r="I1299" s="103"/>
      <c r="J1299" s="103"/>
      <c r="K1299" s="103"/>
      <c r="L1299" s="103">
        <v>189712.303</v>
      </c>
      <c r="N1299" s="114"/>
      <c r="Y1299" s="2" t="s">
        <v>39</v>
      </c>
    </row>
    <row r="1300" ht="15.75" customHeight="1">
      <c r="B1300" s="2">
        <v>2.4167579E7</v>
      </c>
      <c r="D1300" s="131"/>
      <c r="E1300" s="132" t="s">
        <v>3910</v>
      </c>
      <c r="F1300" s="136">
        <v>486.003</v>
      </c>
      <c r="G1300" s="137">
        <v>46.97</v>
      </c>
      <c r="H1300" s="103"/>
      <c r="I1300" s="103"/>
      <c r="J1300" s="103"/>
      <c r="K1300" s="103"/>
      <c r="L1300" s="103">
        <v>191095.894</v>
      </c>
      <c r="N1300" s="114"/>
      <c r="Y1300" s="2" t="s">
        <v>39</v>
      </c>
    </row>
    <row r="1301" ht="15.75" customHeight="1">
      <c r="B1301" s="2">
        <v>2.4167579E7</v>
      </c>
      <c r="D1301" s="131"/>
      <c r="E1301" s="132" t="s">
        <v>3910</v>
      </c>
      <c r="F1301" s="136">
        <v>491.009</v>
      </c>
      <c r="G1301" s="137">
        <v>55.61</v>
      </c>
      <c r="H1301" s="103"/>
      <c r="I1301" s="103"/>
      <c r="J1301" s="103"/>
      <c r="K1301" s="103"/>
      <c r="L1301" s="103">
        <v>825856.338</v>
      </c>
      <c r="N1301" s="114"/>
      <c r="Y1301" s="2" t="s">
        <v>39</v>
      </c>
    </row>
    <row r="1302" ht="15.75" customHeight="1">
      <c r="B1302" s="2">
        <v>2.4167579E7</v>
      </c>
      <c r="D1302" s="131"/>
      <c r="E1302" s="132" t="s">
        <v>3910</v>
      </c>
      <c r="F1302" s="136">
        <v>514.874</v>
      </c>
      <c r="G1302" s="137">
        <v>49.04</v>
      </c>
      <c r="H1302" s="103"/>
      <c r="I1302" s="103"/>
      <c r="J1302" s="103"/>
      <c r="K1302" s="103"/>
      <c r="L1302" s="103">
        <v>5053485.42</v>
      </c>
      <c r="N1302" s="114"/>
      <c r="Y1302" s="2" t="s">
        <v>39</v>
      </c>
    </row>
    <row r="1303" ht="15.75" customHeight="1">
      <c r="B1303" s="2">
        <v>2.4167579E7</v>
      </c>
      <c r="D1303" s="131"/>
      <c r="E1303" s="132" t="s">
        <v>3910</v>
      </c>
      <c r="F1303" s="136">
        <v>514.874</v>
      </c>
      <c r="G1303" s="137">
        <v>49.41</v>
      </c>
      <c r="H1303" s="103"/>
      <c r="I1303" s="103"/>
      <c r="J1303" s="103"/>
      <c r="K1303" s="103"/>
      <c r="L1303" s="103">
        <v>4712236.28</v>
      </c>
      <c r="N1303" s="114"/>
      <c r="Y1303" s="2" t="s">
        <v>39</v>
      </c>
    </row>
    <row r="1304" ht="15.75" customHeight="1">
      <c r="B1304" s="2">
        <v>2.4167579E7</v>
      </c>
      <c r="D1304" s="131"/>
      <c r="E1304" s="132" t="s">
        <v>3910</v>
      </c>
      <c r="F1304" s="136">
        <v>516.849</v>
      </c>
      <c r="G1304" s="137">
        <v>51.94</v>
      </c>
      <c r="H1304" s="103"/>
      <c r="I1304" s="103"/>
      <c r="J1304" s="103"/>
      <c r="K1304" s="103"/>
      <c r="L1304" s="103">
        <v>514141.357</v>
      </c>
      <c r="N1304" s="114"/>
      <c r="Y1304" s="2" t="s">
        <v>39</v>
      </c>
    </row>
    <row r="1305" ht="15.75" customHeight="1">
      <c r="B1305" s="2">
        <v>2.4167579E7</v>
      </c>
      <c r="D1305" s="131"/>
      <c r="E1305" s="132" t="s">
        <v>3910</v>
      </c>
      <c r="F1305" s="136">
        <v>516.996</v>
      </c>
      <c r="G1305" s="137">
        <v>47.19</v>
      </c>
      <c r="H1305" s="103"/>
      <c r="I1305" s="103"/>
      <c r="J1305" s="103"/>
      <c r="K1305" s="103"/>
      <c r="L1305" s="103">
        <v>1109576.36</v>
      </c>
      <c r="N1305" s="114"/>
      <c r="Y1305" s="2" t="s">
        <v>39</v>
      </c>
    </row>
    <row r="1306" ht="15.75" customHeight="1">
      <c r="B1306" s="2">
        <v>2.4167579E7</v>
      </c>
      <c r="D1306" s="131"/>
      <c r="E1306" s="132" t="s">
        <v>3910</v>
      </c>
      <c r="F1306" s="136">
        <v>518.905</v>
      </c>
      <c r="G1306" s="137">
        <v>441.09</v>
      </c>
      <c r="H1306" s="103"/>
      <c r="I1306" s="103"/>
      <c r="J1306" s="103"/>
      <c r="K1306" s="103"/>
      <c r="L1306" s="103">
        <v>77187.9915</v>
      </c>
      <c r="N1306" s="114"/>
      <c r="Y1306" s="2" t="s">
        <v>39</v>
      </c>
    </row>
    <row r="1307" ht="15.75" customHeight="1">
      <c r="B1307" s="2">
        <v>2.4167579E7</v>
      </c>
      <c r="D1307" s="131"/>
      <c r="E1307" s="132" t="s">
        <v>3910</v>
      </c>
      <c r="F1307" s="136">
        <v>531.012</v>
      </c>
      <c r="G1307" s="137">
        <v>46.84</v>
      </c>
      <c r="H1307" s="103"/>
      <c r="I1307" s="103"/>
      <c r="J1307" s="103"/>
      <c r="K1307" s="103"/>
      <c r="L1307" s="103">
        <v>2186818.86</v>
      </c>
      <c r="N1307" s="114"/>
      <c r="Y1307" s="2" t="s">
        <v>39</v>
      </c>
    </row>
    <row r="1308" ht="15.75" customHeight="1">
      <c r="B1308" s="2">
        <v>2.4167579E7</v>
      </c>
      <c r="D1308" s="131"/>
      <c r="E1308" s="132" t="s">
        <v>3910</v>
      </c>
      <c r="F1308" s="136">
        <v>541.828</v>
      </c>
      <c r="G1308" s="137">
        <v>443.97</v>
      </c>
      <c r="H1308" s="103"/>
      <c r="I1308" s="103"/>
      <c r="J1308" s="103"/>
      <c r="K1308" s="103"/>
      <c r="L1308" s="103">
        <v>78832.2559</v>
      </c>
      <c r="N1308" s="114"/>
      <c r="Y1308" s="2" t="s">
        <v>39</v>
      </c>
    </row>
    <row r="1309" ht="15.75" customHeight="1">
      <c r="B1309" s="2">
        <v>2.4167579E7</v>
      </c>
      <c r="D1309" s="131"/>
      <c r="E1309" s="132" t="s">
        <v>3910</v>
      </c>
      <c r="F1309" s="136">
        <v>548.946</v>
      </c>
      <c r="G1309" s="137">
        <v>48.19</v>
      </c>
      <c r="H1309" s="103"/>
      <c r="I1309" s="103"/>
      <c r="J1309" s="103"/>
      <c r="K1309" s="103"/>
      <c r="L1309" s="103">
        <v>208458.361</v>
      </c>
      <c r="N1309" s="114"/>
      <c r="Y1309" s="2" t="s">
        <v>39</v>
      </c>
    </row>
    <row r="1310" ht="15.75" customHeight="1">
      <c r="B1310" s="2">
        <v>2.4167579E7</v>
      </c>
      <c r="D1310" s="131"/>
      <c r="E1310" s="132" t="s">
        <v>3910</v>
      </c>
      <c r="F1310" s="136">
        <v>562.29</v>
      </c>
      <c r="G1310" s="137">
        <v>392.88</v>
      </c>
      <c r="H1310" s="103"/>
      <c r="I1310" s="103"/>
      <c r="J1310" s="103"/>
      <c r="K1310" s="103"/>
      <c r="L1310" s="103">
        <v>291388.653</v>
      </c>
      <c r="N1310" s="114"/>
      <c r="Y1310" s="2" t="s">
        <v>39</v>
      </c>
    </row>
    <row r="1311" ht="15.75" customHeight="1">
      <c r="B1311" s="2">
        <v>2.4167579E7</v>
      </c>
      <c r="D1311" s="131"/>
      <c r="E1311" s="132" t="s">
        <v>3910</v>
      </c>
      <c r="F1311" s="136">
        <v>562.291</v>
      </c>
      <c r="G1311" s="137">
        <v>394.85</v>
      </c>
      <c r="H1311" s="103"/>
      <c r="I1311" s="103"/>
      <c r="J1311" s="103"/>
      <c r="K1311" s="103"/>
      <c r="L1311" s="103">
        <v>451992.358</v>
      </c>
      <c r="N1311" s="114"/>
      <c r="Y1311" s="2" t="s">
        <v>39</v>
      </c>
    </row>
    <row r="1312" ht="15.75" customHeight="1">
      <c r="B1312" s="2">
        <v>2.4167579E7</v>
      </c>
      <c r="D1312" s="131"/>
      <c r="E1312" s="132" t="s">
        <v>3910</v>
      </c>
      <c r="F1312" s="136">
        <v>572.802</v>
      </c>
      <c r="G1312" s="137">
        <v>49.88</v>
      </c>
      <c r="H1312" s="103"/>
      <c r="I1312" s="103"/>
      <c r="J1312" s="103"/>
      <c r="K1312" s="103"/>
      <c r="L1312" s="103">
        <v>37404.5859</v>
      </c>
      <c r="N1312" s="114"/>
      <c r="Y1312" s="2" t="s">
        <v>39</v>
      </c>
    </row>
    <row r="1313" ht="15.75" customHeight="1">
      <c r="B1313" s="2">
        <v>2.4167579E7</v>
      </c>
      <c r="D1313" s="131"/>
      <c r="E1313" s="132" t="s">
        <v>3910</v>
      </c>
      <c r="F1313" s="136">
        <v>574.255</v>
      </c>
      <c r="G1313" s="137">
        <v>390.73</v>
      </c>
      <c r="H1313" s="103"/>
      <c r="I1313" s="103"/>
      <c r="J1313" s="103"/>
      <c r="K1313" s="103"/>
      <c r="L1313" s="103">
        <v>1051681.0</v>
      </c>
      <c r="N1313" s="114"/>
      <c r="Y1313" s="2" t="s">
        <v>39</v>
      </c>
    </row>
    <row r="1314" ht="15.75" customHeight="1">
      <c r="B1314" s="2">
        <v>2.4167579E7</v>
      </c>
      <c r="D1314" s="131"/>
      <c r="E1314" s="132" t="s">
        <v>3910</v>
      </c>
      <c r="F1314" s="136">
        <v>574.257</v>
      </c>
      <c r="G1314" s="137">
        <v>393.8</v>
      </c>
      <c r="H1314" s="103"/>
      <c r="I1314" s="103"/>
      <c r="J1314" s="103"/>
      <c r="K1314" s="103"/>
      <c r="L1314" s="103">
        <v>1013903.46</v>
      </c>
      <c r="N1314" s="114"/>
      <c r="Y1314" s="2" t="s">
        <v>39</v>
      </c>
    </row>
    <row r="1315" ht="15.75" customHeight="1">
      <c r="B1315" s="2">
        <v>2.4167579E7</v>
      </c>
      <c r="D1315" s="131"/>
      <c r="E1315" s="132" t="s">
        <v>3910</v>
      </c>
      <c r="F1315" s="136">
        <v>584.261</v>
      </c>
      <c r="G1315" s="137">
        <v>324.89</v>
      </c>
      <c r="H1315" s="103"/>
      <c r="I1315" s="103"/>
      <c r="J1315" s="103"/>
      <c r="K1315" s="103"/>
      <c r="L1315" s="103">
        <v>354623.696</v>
      </c>
      <c r="N1315" s="114"/>
      <c r="Y1315" s="2" t="s">
        <v>39</v>
      </c>
    </row>
    <row r="1316" ht="15.75" customHeight="1">
      <c r="B1316" s="2">
        <v>2.4167579E7</v>
      </c>
      <c r="D1316" s="131"/>
      <c r="E1316" s="132" t="s">
        <v>3910</v>
      </c>
      <c r="F1316" s="136">
        <v>584.98</v>
      </c>
      <c r="G1316" s="137">
        <v>48.14</v>
      </c>
      <c r="H1316" s="103"/>
      <c r="I1316" s="103"/>
      <c r="J1316" s="103"/>
      <c r="K1316" s="103"/>
      <c r="L1316" s="103">
        <v>427653.798</v>
      </c>
      <c r="N1316" s="114"/>
      <c r="Y1316" s="2" t="s">
        <v>39</v>
      </c>
    </row>
    <row r="1317" ht="15.75" customHeight="1">
      <c r="B1317" s="2">
        <v>2.4167579E7</v>
      </c>
      <c r="D1317" s="131"/>
      <c r="E1317" s="132" t="s">
        <v>3910</v>
      </c>
      <c r="F1317" s="136">
        <v>599.0</v>
      </c>
      <c r="G1317" s="137">
        <v>47.63</v>
      </c>
      <c r="H1317" s="103"/>
      <c r="I1317" s="103"/>
      <c r="J1317" s="103"/>
      <c r="K1317" s="103"/>
      <c r="L1317" s="103">
        <v>726453.731</v>
      </c>
      <c r="N1317" s="114"/>
      <c r="Y1317" s="2" t="s">
        <v>39</v>
      </c>
    </row>
    <row r="1318" ht="15.75" customHeight="1">
      <c r="B1318" s="2">
        <v>2.4167579E7</v>
      </c>
      <c r="D1318" s="131"/>
      <c r="E1318" s="132" t="s">
        <v>3910</v>
      </c>
      <c r="F1318" s="136">
        <v>634.65</v>
      </c>
      <c r="G1318" s="137">
        <v>52.2</v>
      </c>
      <c r="H1318" s="103"/>
      <c r="I1318" s="103"/>
      <c r="J1318" s="103"/>
      <c r="K1318" s="103"/>
      <c r="L1318" s="103">
        <v>226635.064</v>
      </c>
      <c r="N1318" s="114"/>
      <c r="Y1318" s="2" t="s">
        <v>39</v>
      </c>
    </row>
    <row r="1319" ht="15.75" customHeight="1">
      <c r="A1319" s="2" t="s">
        <v>61</v>
      </c>
      <c r="B1319" s="48">
        <v>3.582977E7</v>
      </c>
      <c r="C1319" s="80" t="s">
        <v>3911</v>
      </c>
      <c r="D1319" s="140" t="s">
        <v>636</v>
      </c>
      <c r="E1319" s="80" t="s">
        <v>3912</v>
      </c>
      <c r="F1319" s="80">
        <v>130.04973</v>
      </c>
      <c r="G1319" s="142">
        <v>1.91</v>
      </c>
      <c r="H1319" s="143"/>
      <c r="I1319" s="143"/>
      <c r="J1319" s="143"/>
      <c r="K1319" s="143"/>
      <c r="L1319" s="143"/>
      <c r="M1319" s="143"/>
      <c r="N1319" s="80" t="s">
        <v>1358</v>
      </c>
      <c r="O1319" s="80" t="s">
        <v>3913</v>
      </c>
      <c r="P1319" s="80" t="s">
        <v>3914</v>
      </c>
      <c r="Y1319" s="2" t="s">
        <v>23</v>
      </c>
    </row>
    <row r="1320" ht="15.75" customHeight="1">
      <c r="B1320" s="48">
        <v>3.582977E7</v>
      </c>
      <c r="C1320" s="80" t="s">
        <v>3911</v>
      </c>
      <c r="D1320" s="140" t="s">
        <v>636</v>
      </c>
      <c r="E1320" s="80" t="s">
        <v>386</v>
      </c>
      <c r="F1320" s="80">
        <v>147.07622</v>
      </c>
      <c r="G1320" s="142">
        <v>1.913</v>
      </c>
      <c r="H1320" s="143"/>
      <c r="I1320" s="143"/>
      <c r="J1320" s="143"/>
      <c r="K1320" s="143"/>
      <c r="L1320" s="143"/>
      <c r="M1320" s="143"/>
      <c r="N1320" s="80" t="s">
        <v>1211</v>
      </c>
      <c r="O1320" s="80" t="s">
        <v>3915</v>
      </c>
      <c r="P1320" s="80" t="s">
        <v>3916</v>
      </c>
      <c r="Y1320" s="2" t="s">
        <v>23</v>
      </c>
    </row>
    <row r="1321" ht="15.75" customHeight="1">
      <c r="B1321" s="48">
        <v>3.582977E7</v>
      </c>
      <c r="C1321" s="80" t="s">
        <v>3911</v>
      </c>
      <c r="D1321" s="140" t="s">
        <v>636</v>
      </c>
      <c r="E1321" s="80" t="s">
        <v>3538</v>
      </c>
      <c r="F1321" s="80">
        <v>147.11258</v>
      </c>
      <c r="G1321" s="142">
        <v>1.697</v>
      </c>
      <c r="H1321" s="143"/>
      <c r="I1321" s="143"/>
      <c r="J1321" s="143"/>
      <c r="K1321" s="143"/>
      <c r="L1321" s="143"/>
      <c r="M1321" s="143"/>
      <c r="N1321" s="80" t="s">
        <v>2388</v>
      </c>
      <c r="O1321" s="80" t="s">
        <v>2389</v>
      </c>
      <c r="P1321" s="80" t="s">
        <v>3917</v>
      </c>
      <c r="Y1321" s="2" t="s">
        <v>23</v>
      </c>
    </row>
    <row r="1322" ht="15.75" customHeight="1">
      <c r="B1322" s="48">
        <v>3.582977E7</v>
      </c>
      <c r="C1322" s="80" t="s">
        <v>3911</v>
      </c>
      <c r="D1322" s="140" t="s">
        <v>636</v>
      </c>
      <c r="E1322" s="80" t="s">
        <v>321</v>
      </c>
      <c r="F1322" s="80">
        <v>130.08606</v>
      </c>
      <c r="G1322" s="142">
        <v>1.693</v>
      </c>
      <c r="H1322" s="143"/>
      <c r="I1322" s="143"/>
      <c r="J1322" s="143"/>
      <c r="K1322" s="143"/>
      <c r="L1322" s="143"/>
      <c r="M1322" s="143"/>
      <c r="N1322" s="80" t="s">
        <v>2777</v>
      </c>
      <c r="O1322" s="80" t="s">
        <v>3918</v>
      </c>
      <c r="P1322" s="80" t="s">
        <v>3919</v>
      </c>
      <c r="Y1322" s="2" t="s">
        <v>23</v>
      </c>
    </row>
    <row r="1323" ht="15.75" customHeight="1">
      <c r="B1323" s="48">
        <v>3.582977E7</v>
      </c>
      <c r="C1323" s="80" t="s">
        <v>3911</v>
      </c>
      <c r="D1323" s="140" t="s">
        <v>636</v>
      </c>
      <c r="E1323" s="80" t="s">
        <v>3920</v>
      </c>
      <c r="F1323" s="80">
        <v>113.03426</v>
      </c>
      <c r="G1323" s="142">
        <v>2.565</v>
      </c>
      <c r="H1323" s="143"/>
      <c r="I1323" s="143"/>
      <c r="J1323" s="143"/>
      <c r="K1323" s="143"/>
      <c r="L1323" s="143"/>
      <c r="M1323" s="143"/>
      <c r="N1323" s="80" t="s">
        <v>3437</v>
      </c>
      <c r="O1323" s="80" t="s">
        <v>3921</v>
      </c>
      <c r="P1323" s="80" t="s">
        <v>3922</v>
      </c>
      <c r="Y1323" s="2" t="s">
        <v>23</v>
      </c>
    </row>
    <row r="1324" ht="15.75" customHeight="1">
      <c r="B1324" s="48">
        <v>3.582977E7</v>
      </c>
      <c r="C1324" s="80" t="s">
        <v>3911</v>
      </c>
      <c r="D1324" s="140" t="s">
        <v>636</v>
      </c>
      <c r="E1324" s="80" t="s">
        <v>382</v>
      </c>
      <c r="F1324" s="80">
        <v>175.11874</v>
      </c>
      <c r="G1324" s="142">
        <v>1.819</v>
      </c>
      <c r="H1324" s="143"/>
      <c r="I1324" s="143"/>
      <c r="J1324" s="143"/>
      <c r="K1324" s="143"/>
      <c r="L1324" s="143"/>
      <c r="M1324" s="143"/>
      <c r="N1324" s="80" t="s">
        <v>1526</v>
      </c>
      <c r="O1324" s="80" t="s">
        <v>3923</v>
      </c>
      <c r="P1324" s="80" t="s">
        <v>3924</v>
      </c>
      <c r="Y1324" s="2" t="s">
        <v>23</v>
      </c>
    </row>
    <row r="1325" ht="15.75" customHeight="1">
      <c r="B1325" s="48">
        <v>3.582977E7</v>
      </c>
      <c r="C1325" s="80" t="s">
        <v>3911</v>
      </c>
      <c r="D1325" s="140" t="s">
        <v>636</v>
      </c>
      <c r="E1325" s="80" t="s">
        <v>3925</v>
      </c>
      <c r="F1325" s="80">
        <v>118.08612</v>
      </c>
      <c r="G1325" s="142">
        <v>1.919</v>
      </c>
      <c r="H1325" s="143"/>
      <c r="I1325" s="143"/>
      <c r="J1325" s="143"/>
      <c r="K1325" s="143"/>
      <c r="L1325" s="143"/>
      <c r="M1325" s="143"/>
      <c r="N1325" s="80" t="s">
        <v>1324</v>
      </c>
      <c r="O1325" s="80" t="s">
        <v>1573</v>
      </c>
      <c r="P1325" s="80" t="s">
        <v>3926</v>
      </c>
      <c r="Y1325" s="2" t="s">
        <v>23</v>
      </c>
    </row>
    <row r="1326" ht="15.75" customHeight="1">
      <c r="B1326" s="48">
        <v>3.582977E7</v>
      </c>
      <c r="C1326" s="80" t="s">
        <v>3911</v>
      </c>
      <c r="D1326" s="140" t="s">
        <v>636</v>
      </c>
      <c r="E1326" s="80" t="s">
        <v>3560</v>
      </c>
      <c r="F1326" s="80">
        <v>169.03539</v>
      </c>
      <c r="G1326" s="142">
        <v>2.324</v>
      </c>
      <c r="H1326" s="143"/>
      <c r="I1326" s="143"/>
      <c r="J1326" s="143"/>
      <c r="K1326" s="143"/>
      <c r="L1326" s="143"/>
      <c r="M1326" s="143"/>
      <c r="N1326" s="80" t="s">
        <v>3442</v>
      </c>
      <c r="O1326" s="80" t="s">
        <v>3927</v>
      </c>
      <c r="P1326" s="80" t="s">
        <v>3928</v>
      </c>
      <c r="Y1326" s="2" t="s">
        <v>23</v>
      </c>
    </row>
    <row r="1327" ht="15.75" customHeight="1">
      <c r="B1327" s="48">
        <v>3.582977E7</v>
      </c>
      <c r="C1327" s="80" t="s">
        <v>3911</v>
      </c>
      <c r="D1327" s="140" t="s">
        <v>636</v>
      </c>
      <c r="E1327" s="80" t="s">
        <v>3912</v>
      </c>
      <c r="F1327" s="80">
        <v>130.04971</v>
      </c>
      <c r="G1327" s="142">
        <v>2.622</v>
      </c>
      <c r="H1327" s="143"/>
      <c r="I1327" s="143"/>
      <c r="J1327" s="143"/>
      <c r="K1327" s="143"/>
      <c r="L1327" s="143"/>
      <c r="M1327" s="143"/>
      <c r="N1327" s="80" t="s">
        <v>1358</v>
      </c>
      <c r="O1327" s="80" t="s">
        <v>3913</v>
      </c>
      <c r="P1327" s="80" t="s">
        <v>3914</v>
      </c>
      <c r="Y1327" s="2" t="s">
        <v>23</v>
      </c>
    </row>
    <row r="1328" ht="15.75" customHeight="1">
      <c r="B1328" s="48">
        <v>3.582977E7</v>
      </c>
      <c r="C1328" s="80" t="s">
        <v>3911</v>
      </c>
      <c r="D1328" s="140" t="s">
        <v>636</v>
      </c>
      <c r="E1328" s="80" t="s">
        <v>413</v>
      </c>
      <c r="F1328" s="80">
        <v>137.04559</v>
      </c>
      <c r="G1328" s="142">
        <v>2.425</v>
      </c>
      <c r="H1328" s="143"/>
      <c r="I1328" s="143"/>
      <c r="J1328" s="143"/>
      <c r="K1328" s="143"/>
      <c r="L1328" s="143"/>
      <c r="M1328" s="143"/>
      <c r="N1328" s="80" t="s">
        <v>2220</v>
      </c>
      <c r="O1328" s="80" t="s">
        <v>3929</v>
      </c>
      <c r="P1328" s="80" t="s">
        <v>3930</v>
      </c>
      <c r="Y1328" s="2" t="s">
        <v>23</v>
      </c>
    </row>
    <row r="1329" ht="15.75" customHeight="1">
      <c r="B1329" s="48">
        <v>3.582977E7</v>
      </c>
      <c r="C1329" s="80" t="s">
        <v>3911</v>
      </c>
      <c r="D1329" s="140" t="s">
        <v>636</v>
      </c>
      <c r="E1329" s="80" t="s">
        <v>3931</v>
      </c>
      <c r="F1329" s="80">
        <v>130.08609</v>
      </c>
      <c r="G1329" s="142">
        <v>2.284</v>
      </c>
      <c r="H1329" s="143"/>
      <c r="I1329" s="143"/>
      <c r="J1329" s="143"/>
      <c r="K1329" s="143"/>
      <c r="L1329" s="143"/>
      <c r="M1329" s="143"/>
      <c r="N1329" s="80" t="s">
        <v>2777</v>
      </c>
      <c r="O1329" s="80" t="s">
        <v>3932</v>
      </c>
      <c r="P1329" s="80" t="s">
        <v>3933</v>
      </c>
      <c r="Y1329" s="2" t="s">
        <v>23</v>
      </c>
    </row>
    <row r="1330" ht="15.75" customHeight="1">
      <c r="B1330" s="48">
        <v>3.582977E7</v>
      </c>
      <c r="C1330" s="80" t="s">
        <v>3911</v>
      </c>
      <c r="D1330" s="140" t="s">
        <v>636</v>
      </c>
      <c r="E1330" s="80" t="s">
        <v>257</v>
      </c>
      <c r="F1330" s="80">
        <v>138.05473</v>
      </c>
      <c r="G1330" s="142">
        <v>1.952</v>
      </c>
      <c r="H1330" s="143"/>
      <c r="I1330" s="143"/>
      <c r="J1330" s="143"/>
      <c r="K1330" s="143"/>
      <c r="L1330" s="143"/>
      <c r="M1330" s="143"/>
      <c r="N1330" s="80" t="s">
        <v>1498</v>
      </c>
      <c r="O1330" s="80" t="s">
        <v>3934</v>
      </c>
      <c r="P1330" s="80" t="s">
        <v>3935</v>
      </c>
      <c r="Y1330" s="2" t="s">
        <v>23</v>
      </c>
    </row>
    <row r="1331" ht="15.75" customHeight="1">
      <c r="B1331" s="48">
        <v>3.582977E7</v>
      </c>
      <c r="C1331" s="80" t="s">
        <v>3911</v>
      </c>
      <c r="D1331" s="140" t="s">
        <v>636</v>
      </c>
      <c r="E1331" s="80" t="s">
        <v>3559</v>
      </c>
      <c r="F1331" s="80">
        <v>61.03976</v>
      </c>
      <c r="G1331" s="142">
        <v>1.954</v>
      </c>
      <c r="H1331" s="143"/>
      <c r="I1331" s="143"/>
      <c r="J1331" s="143"/>
      <c r="K1331" s="143"/>
      <c r="L1331" s="143"/>
      <c r="M1331" s="143"/>
      <c r="N1331" s="80" t="s">
        <v>3936</v>
      </c>
      <c r="O1331" s="80" t="s">
        <v>3937</v>
      </c>
      <c r="P1331" s="80" t="s">
        <v>3938</v>
      </c>
      <c r="Y1331" s="2" t="s">
        <v>23</v>
      </c>
    </row>
    <row r="1332" ht="15.75" customHeight="1">
      <c r="B1332" s="48">
        <v>3.582977E7</v>
      </c>
      <c r="C1332" s="80" t="s">
        <v>3911</v>
      </c>
      <c r="D1332" s="140" t="s">
        <v>636</v>
      </c>
      <c r="E1332" s="80" t="s">
        <v>3939</v>
      </c>
      <c r="F1332" s="80">
        <v>152.07028</v>
      </c>
      <c r="G1332" s="142">
        <v>2.368</v>
      </c>
      <c r="H1332" s="143"/>
      <c r="I1332" s="143"/>
      <c r="J1332" s="143"/>
      <c r="K1332" s="143"/>
      <c r="L1332" s="143"/>
      <c r="M1332" s="143"/>
      <c r="N1332" s="80" t="s">
        <v>3940</v>
      </c>
      <c r="O1332" s="80" t="s">
        <v>3941</v>
      </c>
      <c r="P1332" s="80" t="s">
        <v>3942</v>
      </c>
      <c r="Y1332" s="2" t="s">
        <v>23</v>
      </c>
    </row>
    <row r="1333" ht="15.75" customHeight="1">
      <c r="B1333" s="48">
        <v>3.582977E7</v>
      </c>
      <c r="C1333" s="80" t="s">
        <v>3911</v>
      </c>
      <c r="D1333" s="140" t="s">
        <v>636</v>
      </c>
      <c r="E1333" s="80" t="s">
        <v>3943</v>
      </c>
      <c r="F1333" s="80">
        <v>144.10173</v>
      </c>
      <c r="G1333" s="142">
        <v>1.977</v>
      </c>
      <c r="H1333" s="143"/>
      <c r="I1333" s="143"/>
      <c r="J1333" s="143"/>
      <c r="K1333" s="143"/>
      <c r="L1333" s="143"/>
      <c r="M1333" s="143"/>
      <c r="N1333" s="80" t="s">
        <v>3257</v>
      </c>
      <c r="O1333" s="80" t="s">
        <v>3944</v>
      </c>
      <c r="P1333" s="80" t="s">
        <v>3945</v>
      </c>
      <c r="Y1333" s="2" t="s">
        <v>23</v>
      </c>
    </row>
    <row r="1334" ht="15.75" customHeight="1">
      <c r="B1334" s="48">
        <v>3.582977E7</v>
      </c>
      <c r="C1334" s="80" t="s">
        <v>3911</v>
      </c>
      <c r="D1334" s="140" t="s">
        <v>636</v>
      </c>
      <c r="E1334" s="80" t="s">
        <v>3561</v>
      </c>
      <c r="F1334" s="80">
        <v>118.08613</v>
      </c>
      <c r="G1334" s="142">
        <v>2.275</v>
      </c>
      <c r="H1334" s="143"/>
      <c r="I1334" s="143"/>
      <c r="J1334" s="143"/>
      <c r="K1334" s="143"/>
      <c r="L1334" s="143"/>
      <c r="M1334" s="143"/>
      <c r="N1334" s="80" t="s">
        <v>1324</v>
      </c>
      <c r="O1334" s="80" t="s">
        <v>3470</v>
      </c>
      <c r="P1334" s="80" t="s">
        <v>3946</v>
      </c>
      <c r="Y1334" s="2" t="s">
        <v>23</v>
      </c>
    </row>
    <row r="1335" ht="15.75" customHeight="1">
      <c r="B1335" s="48">
        <v>3.582977E7</v>
      </c>
      <c r="C1335" s="80" t="s">
        <v>3911</v>
      </c>
      <c r="D1335" s="140" t="s">
        <v>636</v>
      </c>
      <c r="E1335" s="80" t="s">
        <v>417</v>
      </c>
      <c r="F1335" s="80">
        <v>153.04056</v>
      </c>
      <c r="G1335" s="142">
        <v>2.599</v>
      </c>
      <c r="H1335" s="143"/>
      <c r="I1335" s="143"/>
      <c r="J1335" s="143"/>
      <c r="K1335" s="143"/>
      <c r="L1335" s="143"/>
      <c r="M1335" s="143"/>
      <c r="N1335" s="80" t="s">
        <v>3496</v>
      </c>
      <c r="O1335" s="80" t="s">
        <v>3947</v>
      </c>
      <c r="P1335" s="80" t="s">
        <v>3948</v>
      </c>
      <c r="Y1335" s="2" t="s">
        <v>23</v>
      </c>
    </row>
    <row r="1336" ht="15.75" customHeight="1">
      <c r="B1336" s="48">
        <v>3.582977E7</v>
      </c>
      <c r="C1336" s="80" t="s">
        <v>3911</v>
      </c>
      <c r="D1336" s="140" t="s">
        <v>636</v>
      </c>
      <c r="E1336" s="80" t="s">
        <v>3949</v>
      </c>
      <c r="F1336" s="80">
        <v>72.08078</v>
      </c>
      <c r="G1336" s="142">
        <v>2.275</v>
      </c>
      <c r="H1336" s="143"/>
      <c r="I1336" s="143"/>
      <c r="J1336" s="143"/>
      <c r="K1336" s="143"/>
      <c r="L1336" s="143"/>
      <c r="M1336" s="143"/>
      <c r="N1336" s="80" t="s">
        <v>3950</v>
      </c>
      <c r="O1336" s="80" t="s">
        <v>3951</v>
      </c>
      <c r="P1336" s="80" t="s">
        <v>3952</v>
      </c>
      <c r="Y1336" s="2" t="s">
        <v>23</v>
      </c>
    </row>
    <row r="1337" ht="15.75" customHeight="1">
      <c r="B1337" s="48">
        <v>3.582977E7</v>
      </c>
      <c r="C1337" s="80" t="s">
        <v>3911</v>
      </c>
      <c r="D1337" s="140" t="s">
        <v>636</v>
      </c>
      <c r="E1337" s="80" t="s">
        <v>3953</v>
      </c>
      <c r="F1337" s="80">
        <v>153.04047</v>
      </c>
      <c r="G1337" s="142">
        <v>2.788</v>
      </c>
      <c r="H1337" s="143"/>
      <c r="I1337" s="143"/>
      <c r="J1337" s="143"/>
      <c r="K1337" s="143"/>
      <c r="L1337" s="143"/>
      <c r="M1337" s="143"/>
      <c r="N1337" s="80" t="s">
        <v>3496</v>
      </c>
      <c r="O1337" s="80" t="s">
        <v>3954</v>
      </c>
      <c r="P1337" s="80" t="s">
        <v>3955</v>
      </c>
      <c r="Y1337" s="2" t="s">
        <v>23</v>
      </c>
    </row>
    <row r="1338" ht="15.75" customHeight="1">
      <c r="B1338" s="48">
        <v>3.582977E7</v>
      </c>
      <c r="C1338" s="80" t="s">
        <v>3911</v>
      </c>
      <c r="D1338" s="140" t="s">
        <v>636</v>
      </c>
      <c r="E1338" s="80" t="s">
        <v>3956</v>
      </c>
      <c r="F1338" s="80">
        <v>158.11728</v>
      </c>
      <c r="G1338" s="142">
        <v>2.159</v>
      </c>
      <c r="H1338" s="143"/>
      <c r="I1338" s="143"/>
      <c r="J1338" s="143"/>
      <c r="K1338" s="143"/>
      <c r="L1338" s="143"/>
      <c r="M1338" s="143"/>
      <c r="N1338" s="80" t="s">
        <v>3957</v>
      </c>
      <c r="O1338" s="80" t="s">
        <v>3958</v>
      </c>
      <c r="P1338" s="80" t="s">
        <v>3959</v>
      </c>
      <c r="Y1338" s="2" t="s">
        <v>23</v>
      </c>
    </row>
    <row r="1339" ht="15.75" customHeight="1">
      <c r="B1339" s="48">
        <v>3.582977E7</v>
      </c>
      <c r="C1339" s="80" t="s">
        <v>3911</v>
      </c>
      <c r="D1339" s="140" t="s">
        <v>636</v>
      </c>
      <c r="E1339" s="80" t="s">
        <v>3960</v>
      </c>
      <c r="F1339" s="80">
        <v>140.06805</v>
      </c>
      <c r="G1339" s="142">
        <v>1.875</v>
      </c>
      <c r="H1339" s="143"/>
      <c r="I1339" s="143"/>
      <c r="J1339" s="143"/>
      <c r="K1339" s="143"/>
      <c r="L1339" s="143"/>
      <c r="M1339" s="143"/>
      <c r="N1339" s="80" t="s">
        <v>1324</v>
      </c>
      <c r="O1339" s="80" t="s">
        <v>3961</v>
      </c>
      <c r="P1339" s="80" t="s">
        <v>3926</v>
      </c>
      <c r="Y1339" s="2" t="s">
        <v>23</v>
      </c>
    </row>
    <row r="1340" ht="15.75" customHeight="1">
      <c r="B1340" s="48">
        <v>3.582977E7</v>
      </c>
      <c r="C1340" s="80" t="s">
        <v>3911</v>
      </c>
      <c r="D1340" s="140" t="s">
        <v>636</v>
      </c>
      <c r="E1340" s="80" t="s">
        <v>3962</v>
      </c>
      <c r="F1340" s="80">
        <v>74.06</v>
      </c>
      <c r="G1340" s="142">
        <v>2.976</v>
      </c>
      <c r="H1340" s="143"/>
      <c r="I1340" s="143"/>
      <c r="J1340" s="143"/>
      <c r="K1340" s="143"/>
      <c r="L1340" s="143"/>
      <c r="M1340" s="143"/>
      <c r="N1340" s="80" t="s">
        <v>3963</v>
      </c>
      <c r="O1340" s="80" t="s">
        <v>3964</v>
      </c>
      <c r="P1340" s="80" t="s">
        <v>3965</v>
      </c>
      <c r="Y1340" s="2" t="s">
        <v>23</v>
      </c>
    </row>
    <row r="1341" ht="15.75" customHeight="1">
      <c r="B1341" s="48">
        <v>3.582977E7</v>
      </c>
      <c r="C1341" s="80" t="s">
        <v>3911</v>
      </c>
      <c r="D1341" s="140" t="s">
        <v>636</v>
      </c>
      <c r="E1341" s="80" t="s">
        <v>219</v>
      </c>
      <c r="F1341" s="80">
        <v>116.07055</v>
      </c>
      <c r="G1341" s="142">
        <v>1.98</v>
      </c>
      <c r="H1341" s="143"/>
      <c r="I1341" s="143"/>
      <c r="J1341" s="143"/>
      <c r="K1341" s="143"/>
      <c r="L1341" s="143"/>
      <c r="M1341" s="143"/>
      <c r="N1341" s="80" t="s">
        <v>3058</v>
      </c>
      <c r="O1341" s="80" t="s">
        <v>3966</v>
      </c>
      <c r="P1341" s="80" t="s">
        <v>3967</v>
      </c>
      <c r="Y1341" s="2" t="s">
        <v>23</v>
      </c>
    </row>
    <row r="1342" ht="15.75" customHeight="1">
      <c r="B1342" s="48">
        <v>3.582977E7</v>
      </c>
      <c r="C1342" s="80" t="s">
        <v>3911</v>
      </c>
      <c r="D1342" s="140" t="s">
        <v>636</v>
      </c>
      <c r="E1342" s="80" t="s">
        <v>3526</v>
      </c>
      <c r="F1342" s="80">
        <v>114.06612</v>
      </c>
      <c r="G1342" s="142">
        <v>1.895</v>
      </c>
      <c r="H1342" s="143"/>
      <c r="I1342" s="143"/>
      <c r="J1342" s="143"/>
      <c r="K1342" s="143"/>
      <c r="L1342" s="143"/>
      <c r="M1342" s="143"/>
      <c r="N1342" s="80" t="s">
        <v>638</v>
      </c>
      <c r="O1342" s="80" t="s">
        <v>3968</v>
      </c>
      <c r="P1342" s="80" t="s">
        <v>3969</v>
      </c>
      <c r="Y1342" s="2" t="s">
        <v>23</v>
      </c>
    </row>
    <row r="1343" ht="15.75" customHeight="1">
      <c r="B1343" s="48">
        <v>3.582977E7</v>
      </c>
      <c r="C1343" s="80" t="s">
        <v>3911</v>
      </c>
      <c r="D1343" s="140" t="s">
        <v>636</v>
      </c>
      <c r="E1343" s="80" t="s">
        <v>3970</v>
      </c>
      <c r="F1343" s="80">
        <v>265.11761</v>
      </c>
      <c r="G1343" s="142">
        <v>10.619</v>
      </c>
      <c r="H1343" s="143"/>
      <c r="I1343" s="143"/>
      <c r="J1343" s="143"/>
      <c r="K1343" s="143"/>
      <c r="L1343" s="143"/>
      <c r="M1343" s="143"/>
      <c r="N1343" s="80" t="s">
        <v>2970</v>
      </c>
      <c r="O1343" s="80" t="s">
        <v>3971</v>
      </c>
      <c r="P1343" s="80" t="s">
        <v>3972</v>
      </c>
      <c r="Y1343" s="2" t="s">
        <v>23</v>
      </c>
    </row>
    <row r="1344" ht="15.75" customHeight="1">
      <c r="B1344" s="48">
        <v>3.582977E7</v>
      </c>
      <c r="C1344" s="80" t="s">
        <v>3911</v>
      </c>
      <c r="D1344" s="140" t="s">
        <v>636</v>
      </c>
      <c r="E1344" s="80" t="s">
        <v>3973</v>
      </c>
      <c r="F1344" s="80">
        <v>204.12273</v>
      </c>
      <c r="G1344" s="142">
        <v>2.113</v>
      </c>
      <c r="H1344" s="143"/>
      <c r="I1344" s="143"/>
      <c r="J1344" s="143"/>
      <c r="K1344" s="143"/>
      <c r="L1344" s="143"/>
      <c r="M1344" s="143"/>
      <c r="N1344" s="80" t="s">
        <v>3974</v>
      </c>
      <c r="O1344" s="80" t="s">
        <v>3975</v>
      </c>
      <c r="P1344" s="80" t="s">
        <v>3976</v>
      </c>
      <c r="Y1344" s="2" t="s">
        <v>23</v>
      </c>
    </row>
    <row r="1345" ht="15.75" customHeight="1">
      <c r="B1345" s="48">
        <v>3.582977E7</v>
      </c>
      <c r="C1345" s="80" t="s">
        <v>3911</v>
      </c>
      <c r="D1345" s="140" t="s">
        <v>636</v>
      </c>
      <c r="E1345" s="80" t="s">
        <v>171</v>
      </c>
      <c r="F1345" s="80">
        <v>162.11227</v>
      </c>
      <c r="G1345" s="142">
        <v>1.906</v>
      </c>
      <c r="H1345" s="143"/>
      <c r="I1345" s="143"/>
      <c r="J1345" s="143"/>
      <c r="K1345" s="143"/>
      <c r="L1345" s="143"/>
      <c r="M1345" s="143"/>
      <c r="N1345" s="80" t="s">
        <v>1640</v>
      </c>
      <c r="O1345" s="80" t="s">
        <v>3977</v>
      </c>
      <c r="P1345" s="80" t="s">
        <v>3978</v>
      </c>
      <c r="Y1345" s="2" t="s">
        <v>23</v>
      </c>
    </row>
    <row r="1346" ht="15.75" customHeight="1">
      <c r="B1346" s="48">
        <v>3.582977E7</v>
      </c>
      <c r="C1346" s="80" t="s">
        <v>3911</v>
      </c>
      <c r="D1346" s="140" t="s">
        <v>636</v>
      </c>
      <c r="E1346" s="80" t="s">
        <v>3979</v>
      </c>
      <c r="F1346" s="80">
        <v>202.21635</v>
      </c>
      <c r="G1346" s="142">
        <v>16.126</v>
      </c>
      <c r="H1346" s="143"/>
      <c r="I1346" s="143"/>
      <c r="J1346" s="143"/>
      <c r="K1346" s="143"/>
      <c r="L1346" s="143"/>
      <c r="M1346" s="143"/>
      <c r="N1346" s="80" t="s">
        <v>3980</v>
      </c>
      <c r="O1346" s="80" t="s">
        <v>3981</v>
      </c>
      <c r="P1346" s="80" t="s">
        <v>3982</v>
      </c>
      <c r="Y1346" s="2" t="s">
        <v>23</v>
      </c>
    </row>
    <row r="1347" ht="15.75" customHeight="1">
      <c r="B1347" s="48">
        <v>3.582977E7</v>
      </c>
      <c r="C1347" s="80" t="s">
        <v>3911</v>
      </c>
      <c r="D1347" s="140" t="s">
        <v>636</v>
      </c>
      <c r="E1347" s="80" t="s">
        <v>3983</v>
      </c>
      <c r="F1347" s="80">
        <v>160.13298</v>
      </c>
      <c r="G1347" s="142">
        <v>2.004</v>
      </c>
      <c r="H1347" s="143"/>
      <c r="I1347" s="143"/>
      <c r="J1347" s="143"/>
      <c r="K1347" s="143"/>
      <c r="L1347" s="143"/>
      <c r="M1347" s="143"/>
      <c r="N1347" s="80" t="s">
        <v>3984</v>
      </c>
      <c r="O1347" s="80" t="s">
        <v>3985</v>
      </c>
      <c r="P1347" s="80" t="s">
        <v>3986</v>
      </c>
      <c r="Y1347" s="2" t="s">
        <v>23</v>
      </c>
    </row>
    <row r="1348" ht="15.75" customHeight="1">
      <c r="B1348" s="48">
        <v>3.582977E7</v>
      </c>
      <c r="C1348" s="80" t="s">
        <v>3911</v>
      </c>
      <c r="D1348" s="140" t="s">
        <v>636</v>
      </c>
      <c r="E1348" s="80" t="s">
        <v>3987</v>
      </c>
      <c r="F1348" s="80">
        <v>132.07661</v>
      </c>
      <c r="G1348" s="142">
        <v>1.934</v>
      </c>
      <c r="H1348" s="143"/>
      <c r="I1348" s="143"/>
      <c r="J1348" s="143"/>
      <c r="K1348" s="143"/>
      <c r="L1348" s="143"/>
      <c r="M1348" s="143"/>
      <c r="N1348" s="80" t="s">
        <v>1723</v>
      </c>
      <c r="O1348" s="80" t="s">
        <v>3988</v>
      </c>
      <c r="P1348" s="80" t="s">
        <v>3989</v>
      </c>
      <c r="Y1348" s="2" t="s">
        <v>23</v>
      </c>
    </row>
    <row r="1349" ht="15.75" customHeight="1">
      <c r="B1349" s="48">
        <v>3.582977E7</v>
      </c>
      <c r="C1349" s="80" t="s">
        <v>3911</v>
      </c>
      <c r="D1349" s="140" t="s">
        <v>636</v>
      </c>
      <c r="E1349" s="80" t="s">
        <v>3536</v>
      </c>
      <c r="F1349" s="80">
        <v>132.10176</v>
      </c>
      <c r="G1349" s="142">
        <v>3.589</v>
      </c>
      <c r="H1349" s="143"/>
      <c r="I1349" s="143"/>
      <c r="J1349" s="143"/>
      <c r="K1349" s="143"/>
      <c r="L1349" s="143"/>
      <c r="M1349" s="143"/>
      <c r="N1349" s="80" t="s">
        <v>2272</v>
      </c>
      <c r="O1349" s="80" t="s">
        <v>2331</v>
      </c>
      <c r="P1349" s="80" t="s">
        <v>3990</v>
      </c>
      <c r="Y1349" s="2" t="s">
        <v>23</v>
      </c>
    </row>
    <row r="1350" ht="15.75" customHeight="1">
      <c r="B1350" s="48">
        <v>3.582977E7</v>
      </c>
      <c r="C1350" s="80" t="s">
        <v>3911</v>
      </c>
      <c r="D1350" s="140" t="s">
        <v>636</v>
      </c>
      <c r="E1350" s="80" t="s">
        <v>3991</v>
      </c>
      <c r="F1350" s="80">
        <v>130.06499</v>
      </c>
      <c r="G1350" s="142">
        <v>9.073</v>
      </c>
      <c r="H1350" s="143"/>
      <c r="I1350" s="143"/>
      <c r="J1350" s="143"/>
      <c r="K1350" s="143"/>
      <c r="L1350" s="143"/>
      <c r="M1350" s="143"/>
      <c r="N1350" s="80" t="s">
        <v>3992</v>
      </c>
      <c r="O1350" s="80" t="s">
        <v>3993</v>
      </c>
      <c r="P1350" s="80" t="s">
        <v>3994</v>
      </c>
      <c r="Y1350" s="2" t="s">
        <v>23</v>
      </c>
    </row>
    <row r="1351" ht="15.75" customHeight="1">
      <c r="B1351" s="48">
        <v>3.582977E7</v>
      </c>
      <c r="C1351" s="80" t="s">
        <v>3911</v>
      </c>
      <c r="D1351" s="140" t="s">
        <v>636</v>
      </c>
      <c r="E1351" s="80" t="s">
        <v>3995</v>
      </c>
      <c r="F1351" s="80">
        <v>86.09638</v>
      </c>
      <c r="G1351" s="142">
        <v>3.59</v>
      </c>
      <c r="H1351" s="143"/>
      <c r="I1351" s="143"/>
      <c r="J1351" s="143"/>
      <c r="K1351" s="143"/>
      <c r="L1351" s="143"/>
      <c r="M1351" s="143"/>
      <c r="N1351" s="80" t="s">
        <v>3045</v>
      </c>
      <c r="O1351" s="80" t="s">
        <v>3046</v>
      </c>
      <c r="P1351" s="80" t="s">
        <v>3996</v>
      </c>
      <c r="Y1351" s="2" t="s">
        <v>23</v>
      </c>
    </row>
    <row r="1352" ht="15.75" customHeight="1">
      <c r="B1352" s="48">
        <v>3.582977E7</v>
      </c>
      <c r="C1352" s="80" t="s">
        <v>3911</v>
      </c>
      <c r="D1352" s="140" t="s">
        <v>636</v>
      </c>
      <c r="E1352" s="80" t="s">
        <v>3558</v>
      </c>
      <c r="F1352" s="80">
        <v>182.0809</v>
      </c>
      <c r="G1352" s="142">
        <v>2.807</v>
      </c>
      <c r="H1352" s="143"/>
      <c r="I1352" s="143"/>
      <c r="J1352" s="143"/>
      <c r="K1352" s="143"/>
      <c r="L1352" s="143"/>
      <c r="M1352" s="143"/>
      <c r="N1352" s="80" t="s">
        <v>2900</v>
      </c>
      <c r="O1352" s="80" t="s">
        <v>3997</v>
      </c>
      <c r="P1352" s="80" t="s">
        <v>3998</v>
      </c>
      <c r="Y1352" s="2" t="s">
        <v>23</v>
      </c>
    </row>
    <row r="1353" ht="15.75" customHeight="1">
      <c r="B1353" s="48">
        <v>3.582977E7</v>
      </c>
      <c r="C1353" s="80" t="s">
        <v>3911</v>
      </c>
      <c r="D1353" s="140" t="s">
        <v>636</v>
      </c>
      <c r="E1353" s="80" t="s">
        <v>3999</v>
      </c>
      <c r="F1353" s="80">
        <v>130.10861</v>
      </c>
      <c r="G1353" s="142">
        <v>1.93</v>
      </c>
      <c r="H1353" s="143"/>
      <c r="I1353" s="143"/>
      <c r="J1353" s="143"/>
      <c r="K1353" s="143"/>
      <c r="L1353" s="143"/>
      <c r="M1353" s="143"/>
      <c r="N1353" s="80" t="s">
        <v>4000</v>
      </c>
      <c r="O1353" s="80" t="s">
        <v>4001</v>
      </c>
      <c r="P1353" s="80" t="s">
        <v>4002</v>
      </c>
      <c r="Y1353" s="2" t="s">
        <v>23</v>
      </c>
    </row>
    <row r="1354" ht="15.75" customHeight="1">
      <c r="B1354" s="48">
        <v>3.582977E7</v>
      </c>
      <c r="C1354" s="80" t="s">
        <v>3911</v>
      </c>
      <c r="D1354" s="140" t="s">
        <v>636</v>
      </c>
      <c r="E1354" s="80" t="s">
        <v>3541</v>
      </c>
      <c r="F1354" s="80">
        <v>150.05821</v>
      </c>
      <c r="G1354" s="142">
        <v>2.487</v>
      </c>
      <c r="H1354" s="143"/>
      <c r="I1354" s="143"/>
      <c r="J1354" s="143"/>
      <c r="K1354" s="143"/>
      <c r="L1354" s="143"/>
      <c r="M1354" s="143"/>
      <c r="N1354" s="80" t="s">
        <v>2444</v>
      </c>
      <c r="O1354" s="80" t="s">
        <v>2445</v>
      </c>
      <c r="P1354" s="80" t="s">
        <v>4003</v>
      </c>
      <c r="Y1354" s="2" t="s">
        <v>23</v>
      </c>
    </row>
    <row r="1355" ht="15.75" customHeight="1">
      <c r="B1355" s="48">
        <v>3.582977E7</v>
      </c>
      <c r="C1355" s="80" t="s">
        <v>3911</v>
      </c>
      <c r="D1355" s="140" t="s">
        <v>636</v>
      </c>
      <c r="E1355" s="80" t="s">
        <v>315</v>
      </c>
      <c r="F1355" s="80">
        <v>167.05615</v>
      </c>
      <c r="G1355" s="142">
        <v>3.723</v>
      </c>
      <c r="H1355" s="143"/>
      <c r="I1355" s="143"/>
      <c r="J1355" s="143"/>
      <c r="K1355" s="143"/>
      <c r="L1355" s="143"/>
      <c r="M1355" s="143"/>
      <c r="N1355" s="80" t="s">
        <v>775</v>
      </c>
      <c r="O1355" s="80" t="s">
        <v>4004</v>
      </c>
      <c r="P1355" s="80" t="s">
        <v>4005</v>
      </c>
      <c r="Y1355" s="2" t="s">
        <v>23</v>
      </c>
    </row>
    <row r="1356" ht="15.75" customHeight="1">
      <c r="B1356" s="48">
        <v>3.582977E7</v>
      </c>
      <c r="C1356" s="80" t="s">
        <v>3911</v>
      </c>
      <c r="D1356" s="140" t="s">
        <v>636</v>
      </c>
      <c r="E1356" s="80" t="s">
        <v>4006</v>
      </c>
      <c r="F1356" s="80">
        <v>268.10483</v>
      </c>
      <c r="G1356" s="142">
        <v>10.564</v>
      </c>
      <c r="H1356" s="143"/>
      <c r="I1356" s="143"/>
      <c r="J1356" s="143"/>
      <c r="K1356" s="143"/>
      <c r="L1356" s="143"/>
      <c r="M1356" s="143"/>
      <c r="N1356" s="80" t="s">
        <v>933</v>
      </c>
      <c r="O1356" s="80" t="s">
        <v>4007</v>
      </c>
      <c r="P1356" s="80" t="s">
        <v>4008</v>
      </c>
      <c r="Y1356" s="2" t="s">
        <v>23</v>
      </c>
    </row>
    <row r="1357" ht="15.75" customHeight="1">
      <c r="B1357" s="48">
        <v>3.582977E7</v>
      </c>
      <c r="C1357" s="80" t="s">
        <v>3911</v>
      </c>
      <c r="D1357" s="140" t="s">
        <v>636</v>
      </c>
      <c r="E1357" s="80" t="s">
        <v>3991</v>
      </c>
      <c r="F1357" s="80">
        <v>130.065</v>
      </c>
      <c r="G1357" s="142">
        <v>13.504</v>
      </c>
      <c r="H1357" s="143"/>
      <c r="I1357" s="143"/>
      <c r="J1357" s="143"/>
      <c r="K1357" s="143"/>
      <c r="L1357" s="143"/>
      <c r="M1357" s="143"/>
      <c r="N1357" s="80" t="s">
        <v>3992</v>
      </c>
      <c r="O1357" s="80" t="s">
        <v>3993</v>
      </c>
      <c r="P1357" s="80" t="s">
        <v>3994</v>
      </c>
      <c r="Y1357" s="2" t="s">
        <v>23</v>
      </c>
    </row>
    <row r="1358" ht="15.75" customHeight="1">
      <c r="B1358" s="48">
        <v>3.582977E7</v>
      </c>
      <c r="C1358" s="80" t="s">
        <v>3911</v>
      </c>
      <c r="D1358" s="140" t="s">
        <v>636</v>
      </c>
      <c r="E1358" s="80" t="s">
        <v>4009</v>
      </c>
      <c r="F1358" s="80">
        <v>176.07039</v>
      </c>
      <c r="G1358" s="142">
        <v>13.505</v>
      </c>
      <c r="H1358" s="143"/>
      <c r="I1358" s="143"/>
      <c r="J1358" s="143"/>
      <c r="K1358" s="143"/>
      <c r="L1358" s="143"/>
      <c r="M1358" s="143"/>
      <c r="N1358" s="80" t="s">
        <v>2237</v>
      </c>
      <c r="O1358" s="80" t="s">
        <v>4010</v>
      </c>
      <c r="P1358" s="80" t="s">
        <v>4011</v>
      </c>
      <c r="Y1358" s="2" t="s">
        <v>23</v>
      </c>
    </row>
    <row r="1359" ht="15.75" customHeight="1">
      <c r="B1359" s="48">
        <v>3.582977E7</v>
      </c>
      <c r="C1359" s="80" t="s">
        <v>3911</v>
      </c>
      <c r="D1359" s="140" t="s">
        <v>636</v>
      </c>
      <c r="E1359" s="80" t="s">
        <v>3991</v>
      </c>
      <c r="F1359" s="80">
        <v>130.06503</v>
      </c>
      <c r="G1359" s="142">
        <v>14.569</v>
      </c>
      <c r="H1359" s="143"/>
      <c r="I1359" s="143"/>
      <c r="J1359" s="143"/>
      <c r="K1359" s="143"/>
      <c r="L1359" s="143"/>
      <c r="M1359" s="143"/>
      <c r="N1359" s="80" t="s">
        <v>3992</v>
      </c>
      <c r="O1359" s="80" t="s">
        <v>3993</v>
      </c>
      <c r="P1359" s="80" t="s">
        <v>3994</v>
      </c>
      <c r="Y1359" s="2" t="s">
        <v>23</v>
      </c>
    </row>
    <row r="1360" ht="15.75" customHeight="1">
      <c r="B1360" s="48">
        <v>3.582977E7</v>
      </c>
      <c r="C1360" s="80" t="s">
        <v>3911</v>
      </c>
      <c r="D1360" s="140" t="s">
        <v>636</v>
      </c>
      <c r="E1360" s="80" t="s">
        <v>4012</v>
      </c>
      <c r="F1360" s="80">
        <v>183.05087</v>
      </c>
      <c r="G1360" s="142">
        <v>4.034</v>
      </c>
      <c r="H1360" s="143"/>
      <c r="I1360" s="143"/>
      <c r="J1360" s="143"/>
      <c r="K1360" s="143"/>
      <c r="L1360" s="143"/>
      <c r="M1360" s="143"/>
      <c r="N1360" s="80" t="s">
        <v>4013</v>
      </c>
      <c r="O1360" s="80" t="s">
        <v>4014</v>
      </c>
      <c r="P1360" s="80" t="s">
        <v>4015</v>
      </c>
      <c r="Y1360" s="2" t="s">
        <v>23</v>
      </c>
    </row>
    <row r="1361" ht="15.75" customHeight="1">
      <c r="B1361" s="48">
        <v>3.582977E7</v>
      </c>
      <c r="C1361" s="80" t="s">
        <v>3911</v>
      </c>
      <c r="D1361" s="140" t="s">
        <v>636</v>
      </c>
      <c r="E1361" s="80" t="s">
        <v>4016</v>
      </c>
      <c r="F1361" s="80">
        <v>240.10118</v>
      </c>
      <c r="G1361" s="142">
        <v>4.045</v>
      </c>
      <c r="H1361" s="143"/>
      <c r="I1361" s="143"/>
      <c r="J1361" s="143"/>
      <c r="K1361" s="143"/>
      <c r="L1361" s="143"/>
      <c r="M1361" s="143"/>
      <c r="N1361" s="80" t="s">
        <v>4017</v>
      </c>
      <c r="O1361" s="80" t="s">
        <v>4018</v>
      </c>
      <c r="P1361" s="80" t="s">
        <v>4019</v>
      </c>
      <c r="Y1361" s="2" t="s">
        <v>23</v>
      </c>
    </row>
    <row r="1362" ht="15.75" customHeight="1">
      <c r="B1362" s="48">
        <v>3.582977E7</v>
      </c>
      <c r="C1362" s="80" t="s">
        <v>3911</v>
      </c>
      <c r="D1362" s="140" t="s">
        <v>636</v>
      </c>
      <c r="E1362" s="80" t="s">
        <v>4020</v>
      </c>
      <c r="F1362" s="80">
        <v>187.08638</v>
      </c>
      <c r="G1362" s="142">
        <v>7.928</v>
      </c>
      <c r="H1362" s="143"/>
      <c r="I1362" s="143"/>
      <c r="J1362" s="143"/>
      <c r="K1362" s="143"/>
      <c r="L1362" s="143"/>
      <c r="M1362" s="143"/>
      <c r="N1362" s="80" t="s">
        <v>4021</v>
      </c>
      <c r="O1362" s="80" t="s">
        <v>4022</v>
      </c>
      <c r="P1362" s="80" t="s">
        <v>4023</v>
      </c>
      <c r="Y1362" s="2" t="s">
        <v>23</v>
      </c>
    </row>
    <row r="1363" ht="15.75" customHeight="1">
      <c r="B1363" s="48">
        <v>3.582977E7</v>
      </c>
      <c r="C1363" s="80" t="s">
        <v>3911</v>
      </c>
      <c r="D1363" s="140" t="s">
        <v>636</v>
      </c>
      <c r="E1363" s="80" t="s">
        <v>4024</v>
      </c>
      <c r="F1363" s="80">
        <v>177.10187</v>
      </c>
      <c r="G1363" s="142">
        <v>2.45</v>
      </c>
      <c r="H1363" s="143"/>
      <c r="I1363" s="143"/>
      <c r="J1363" s="143"/>
      <c r="K1363" s="143"/>
      <c r="L1363" s="143"/>
      <c r="M1363" s="143"/>
      <c r="N1363" s="80" t="s">
        <v>3194</v>
      </c>
      <c r="O1363" s="80" t="s">
        <v>4025</v>
      </c>
      <c r="P1363" s="80" t="s">
        <v>4026</v>
      </c>
      <c r="Y1363" s="2" t="s">
        <v>23</v>
      </c>
    </row>
    <row r="1364" ht="15.75" customHeight="1">
      <c r="B1364" s="48">
        <v>3.582977E7</v>
      </c>
      <c r="C1364" s="80" t="s">
        <v>3911</v>
      </c>
      <c r="D1364" s="140" t="s">
        <v>636</v>
      </c>
      <c r="E1364" s="80" t="s">
        <v>4027</v>
      </c>
      <c r="F1364" s="80">
        <v>150.11229</v>
      </c>
      <c r="G1364" s="142">
        <v>1.899</v>
      </c>
      <c r="H1364" s="143"/>
      <c r="I1364" s="143"/>
      <c r="J1364" s="143"/>
      <c r="K1364" s="143"/>
      <c r="L1364" s="143"/>
      <c r="M1364" s="143"/>
      <c r="N1364" s="80" t="s">
        <v>4028</v>
      </c>
      <c r="O1364" s="80" t="s">
        <v>4029</v>
      </c>
      <c r="P1364" s="80" t="s">
        <v>4030</v>
      </c>
      <c r="Y1364" s="2" t="s">
        <v>23</v>
      </c>
    </row>
    <row r="1365" ht="15.75" customHeight="1">
      <c r="B1365" s="48">
        <v>3.582977E7</v>
      </c>
      <c r="C1365" s="80" t="s">
        <v>3911</v>
      </c>
      <c r="D1365" s="140" t="s">
        <v>636</v>
      </c>
      <c r="E1365" s="80" t="s">
        <v>4031</v>
      </c>
      <c r="F1365" s="80">
        <v>132.10179</v>
      </c>
      <c r="G1365" s="142">
        <v>3.322</v>
      </c>
      <c r="H1365" s="143"/>
      <c r="I1365" s="143"/>
      <c r="J1365" s="143"/>
      <c r="K1365" s="143"/>
      <c r="L1365" s="143"/>
      <c r="M1365" s="143"/>
      <c r="N1365" s="80" t="s">
        <v>2272</v>
      </c>
      <c r="O1365" s="80" t="s">
        <v>4032</v>
      </c>
      <c r="P1365" s="80" t="s">
        <v>4033</v>
      </c>
      <c r="Y1365" s="2" t="s">
        <v>23</v>
      </c>
    </row>
    <row r="1366" ht="15.75" customHeight="1">
      <c r="B1366" s="48">
        <v>3.582977E7</v>
      </c>
      <c r="C1366" s="80" t="s">
        <v>3911</v>
      </c>
      <c r="D1366" s="140" t="s">
        <v>636</v>
      </c>
      <c r="E1366" s="80" t="s">
        <v>345</v>
      </c>
      <c r="F1366" s="80">
        <v>153.05449</v>
      </c>
      <c r="G1366" s="142">
        <v>3.717</v>
      </c>
      <c r="H1366" s="143"/>
      <c r="I1366" s="143"/>
      <c r="J1366" s="143"/>
      <c r="K1366" s="143"/>
      <c r="L1366" s="143"/>
      <c r="M1366" s="143"/>
      <c r="N1366" s="80" t="s">
        <v>999</v>
      </c>
      <c r="O1366" s="80" t="s">
        <v>4034</v>
      </c>
      <c r="P1366" s="80" t="s">
        <v>4035</v>
      </c>
      <c r="Y1366" s="2" t="s">
        <v>23</v>
      </c>
    </row>
    <row r="1367" ht="15.75" customHeight="1">
      <c r="B1367" s="48">
        <v>3.582977E7</v>
      </c>
      <c r="C1367" s="80" t="s">
        <v>3911</v>
      </c>
      <c r="D1367" s="140" t="s">
        <v>636</v>
      </c>
      <c r="E1367" s="80" t="s">
        <v>4036</v>
      </c>
      <c r="F1367" s="80">
        <v>247.14354</v>
      </c>
      <c r="G1367" s="142">
        <v>9.048</v>
      </c>
      <c r="H1367" s="143"/>
      <c r="I1367" s="143"/>
      <c r="J1367" s="143"/>
      <c r="K1367" s="143"/>
      <c r="L1367" s="143"/>
      <c r="M1367" s="143"/>
      <c r="N1367" s="80" t="s">
        <v>3398</v>
      </c>
      <c r="O1367" s="80" t="s">
        <v>4037</v>
      </c>
      <c r="P1367" s="80" t="s">
        <v>4038</v>
      </c>
      <c r="Y1367" s="2" t="s">
        <v>23</v>
      </c>
    </row>
    <row r="1368" ht="15.75" customHeight="1">
      <c r="B1368" s="48">
        <v>3.582977E7</v>
      </c>
      <c r="C1368" s="80" t="s">
        <v>3911</v>
      </c>
      <c r="D1368" s="140" t="s">
        <v>636</v>
      </c>
      <c r="E1368" s="80" t="s">
        <v>4039</v>
      </c>
      <c r="F1368" s="80">
        <v>190.08603</v>
      </c>
      <c r="G1368" s="142">
        <v>14.568</v>
      </c>
      <c r="H1368" s="143"/>
      <c r="I1368" s="143"/>
      <c r="J1368" s="143"/>
      <c r="K1368" s="143"/>
      <c r="L1368" s="143"/>
      <c r="M1368" s="143"/>
      <c r="N1368" s="80" t="s">
        <v>2249</v>
      </c>
      <c r="O1368" s="80" t="s">
        <v>4040</v>
      </c>
      <c r="P1368" s="80" t="s">
        <v>4041</v>
      </c>
      <c r="Y1368" s="2" t="s">
        <v>23</v>
      </c>
    </row>
    <row r="1369" ht="15.75" customHeight="1">
      <c r="B1369" s="48">
        <v>3.582977E7</v>
      </c>
      <c r="C1369" s="80" t="s">
        <v>3911</v>
      </c>
      <c r="D1369" s="140" t="s">
        <v>636</v>
      </c>
      <c r="E1369" s="80" t="s">
        <v>4042</v>
      </c>
      <c r="F1369" s="80">
        <v>218.13828</v>
      </c>
      <c r="G1369" s="142">
        <v>2.885</v>
      </c>
      <c r="H1369" s="143"/>
      <c r="I1369" s="143"/>
      <c r="J1369" s="143"/>
      <c r="K1369" s="143"/>
      <c r="L1369" s="143"/>
      <c r="M1369" s="143"/>
      <c r="N1369" s="80" t="s">
        <v>4043</v>
      </c>
      <c r="O1369" s="80" t="s">
        <v>4044</v>
      </c>
      <c r="P1369" s="80" t="s">
        <v>4045</v>
      </c>
      <c r="Y1369" s="2" t="s">
        <v>23</v>
      </c>
    </row>
    <row r="1370" ht="15.75" customHeight="1">
      <c r="B1370" s="48">
        <v>3.582977E7</v>
      </c>
      <c r="C1370" s="80" t="s">
        <v>3911</v>
      </c>
      <c r="D1370" s="140" t="s">
        <v>636</v>
      </c>
      <c r="E1370" s="80" t="s">
        <v>4046</v>
      </c>
      <c r="F1370" s="80">
        <v>215.01562</v>
      </c>
      <c r="G1370" s="142">
        <v>2.579</v>
      </c>
      <c r="H1370" s="143"/>
      <c r="I1370" s="143"/>
      <c r="J1370" s="143"/>
      <c r="K1370" s="143"/>
      <c r="L1370" s="143"/>
      <c r="M1370" s="143"/>
      <c r="N1370" s="80" t="s">
        <v>1704</v>
      </c>
      <c r="O1370" s="80" t="s">
        <v>4047</v>
      </c>
      <c r="P1370" s="80" t="s">
        <v>4048</v>
      </c>
      <c r="Y1370" s="2" t="s">
        <v>23</v>
      </c>
    </row>
    <row r="1371" ht="15.75" customHeight="1">
      <c r="B1371" s="48">
        <v>3.582977E7</v>
      </c>
      <c r="C1371" s="80" t="s">
        <v>3911</v>
      </c>
      <c r="D1371" s="140" t="s">
        <v>636</v>
      </c>
      <c r="E1371" s="80" t="s">
        <v>4049</v>
      </c>
      <c r="F1371" s="80">
        <v>86.09641</v>
      </c>
      <c r="G1371" s="142">
        <v>3.323</v>
      </c>
      <c r="H1371" s="143"/>
      <c r="I1371" s="143"/>
      <c r="J1371" s="143"/>
      <c r="K1371" s="143"/>
      <c r="L1371" s="143"/>
      <c r="M1371" s="143"/>
      <c r="N1371" s="80" t="s">
        <v>3045</v>
      </c>
      <c r="O1371" s="80" t="s">
        <v>4050</v>
      </c>
      <c r="P1371" s="80" t="s">
        <v>4051</v>
      </c>
      <c r="Y1371" s="2" t="s">
        <v>23</v>
      </c>
    </row>
    <row r="1372" ht="15.75" customHeight="1">
      <c r="B1372" s="48">
        <v>3.582977E7</v>
      </c>
      <c r="C1372" s="80" t="s">
        <v>3911</v>
      </c>
      <c r="D1372" s="140" t="s">
        <v>636</v>
      </c>
      <c r="E1372" s="80" t="s">
        <v>140</v>
      </c>
      <c r="F1372" s="80">
        <v>166.08604</v>
      </c>
      <c r="G1372" s="142">
        <v>5.493</v>
      </c>
      <c r="H1372" s="143"/>
      <c r="I1372" s="143"/>
      <c r="J1372" s="143"/>
      <c r="K1372" s="143"/>
      <c r="L1372" s="143"/>
      <c r="M1372" s="143"/>
      <c r="N1372" s="80" t="s">
        <v>2900</v>
      </c>
      <c r="O1372" s="80" t="s">
        <v>4052</v>
      </c>
      <c r="P1372" s="80" t="s">
        <v>4053</v>
      </c>
      <c r="Y1372" s="2" t="s">
        <v>23</v>
      </c>
    </row>
    <row r="1373" ht="15.75" customHeight="1">
      <c r="B1373" s="48">
        <v>3.582977E7</v>
      </c>
      <c r="C1373" s="80" t="s">
        <v>3911</v>
      </c>
      <c r="D1373" s="140" t="s">
        <v>636</v>
      </c>
      <c r="E1373" s="80" t="s">
        <v>4054</v>
      </c>
      <c r="F1373" s="80">
        <v>357.20221</v>
      </c>
      <c r="G1373" s="142">
        <v>16.319</v>
      </c>
      <c r="H1373" s="143"/>
      <c r="I1373" s="143"/>
      <c r="J1373" s="143"/>
      <c r="K1373" s="143"/>
      <c r="L1373" s="143"/>
      <c r="M1373" s="143"/>
      <c r="N1373" s="80" t="s">
        <v>4055</v>
      </c>
      <c r="O1373" s="80" t="s">
        <v>4056</v>
      </c>
      <c r="P1373" s="80" t="s">
        <v>4057</v>
      </c>
      <c r="Y1373" s="2" t="s">
        <v>23</v>
      </c>
    </row>
    <row r="1374" ht="15.75" customHeight="1">
      <c r="B1374" s="48">
        <v>3.582977E7</v>
      </c>
      <c r="C1374" s="80" t="s">
        <v>3911</v>
      </c>
      <c r="D1374" s="140" t="s">
        <v>636</v>
      </c>
      <c r="E1374" s="80" t="s">
        <v>4058</v>
      </c>
      <c r="F1374" s="80">
        <v>246.12323</v>
      </c>
      <c r="G1374" s="142">
        <v>10.555</v>
      </c>
      <c r="H1374" s="143"/>
      <c r="I1374" s="143"/>
      <c r="J1374" s="143"/>
      <c r="K1374" s="143"/>
      <c r="L1374" s="143"/>
      <c r="M1374" s="143"/>
      <c r="N1374" s="80" t="s">
        <v>4059</v>
      </c>
      <c r="O1374" s="80" t="s">
        <v>4060</v>
      </c>
      <c r="P1374" s="80" t="s">
        <v>4061</v>
      </c>
      <c r="Y1374" s="2" t="s">
        <v>23</v>
      </c>
    </row>
    <row r="1375" ht="15.75" customHeight="1">
      <c r="B1375" s="48">
        <v>3.582977E7</v>
      </c>
      <c r="C1375" s="80" t="s">
        <v>3911</v>
      </c>
      <c r="D1375" s="140" t="s">
        <v>636</v>
      </c>
      <c r="E1375" s="80" t="s">
        <v>4062</v>
      </c>
      <c r="F1375" s="80">
        <v>149.05963</v>
      </c>
      <c r="G1375" s="142">
        <v>3.712</v>
      </c>
      <c r="H1375" s="143"/>
      <c r="I1375" s="143"/>
      <c r="J1375" s="143"/>
      <c r="K1375" s="143"/>
      <c r="L1375" s="143"/>
      <c r="M1375" s="143"/>
      <c r="N1375" s="80" t="s">
        <v>1689</v>
      </c>
      <c r="O1375" s="80" t="s">
        <v>4063</v>
      </c>
      <c r="P1375" s="80" t="s">
        <v>4064</v>
      </c>
      <c r="Y1375" s="2" t="s">
        <v>23</v>
      </c>
    </row>
    <row r="1376" ht="15.75" customHeight="1">
      <c r="B1376" s="48">
        <v>3.582977E7</v>
      </c>
      <c r="C1376" s="80" t="s">
        <v>3911</v>
      </c>
      <c r="D1376" s="140" t="s">
        <v>636</v>
      </c>
      <c r="E1376" s="80" t="s">
        <v>4065</v>
      </c>
      <c r="F1376" s="80">
        <v>181.07176</v>
      </c>
      <c r="G1376" s="142">
        <v>6.79</v>
      </c>
      <c r="H1376" s="143"/>
      <c r="I1376" s="143"/>
      <c r="J1376" s="143"/>
      <c r="K1376" s="143"/>
      <c r="L1376" s="143"/>
      <c r="M1376" s="143"/>
      <c r="N1376" s="80" t="s">
        <v>4066</v>
      </c>
      <c r="O1376" s="80" t="s">
        <v>4067</v>
      </c>
      <c r="P1376" s="80" t="s">
        <v>4068</v>
      </c>
      <c r="Y1376" s="2" t="s">
        <v>23</v>
      </c>
    </row>
    <row r="1377" ht="15.75" customHeight="1">
      <c r="B1377" s="48">
        <v>3.582977E7</v>
      </c>
      <c r="C1377" s="80" t="s">
        <v>3911</v>
      </c>
      <c r="D1377" s="140" t="s">
        <v>636</v>
      </c>
      <c r="E1377" s="80" t="s">
        <v>4069</v>
      </c>
      <c r="F1377" s="80">
        <v>195.08742</v>
      </c>
      <c r="G1377" s="142">
        <v>10.698</v>
      </c>
      <c r="H1377" s="143"/>
      <c r="I1377" s="143"/>
      <c r="J1377" s="143"/>
      <c r="K1377" s="143"/>
      <c r="L1377" s="143"/>
      <c r="M1377" s="143"/>
      <c r="N1377" s="80" t="s">
        <v>4070</v>
      </c>
      <c r="O1377" s="80" t="s">
        <v>4071</v>
      </c>
      <c r="P1377" s="80" t="s">
        <v>4072</v>
      </c>
      <c r="Y1377" s="2" t="s">
        <v>23</v>
      </c>
    </row>
    <row r="1378" ht="15.75" customHeight="1">
      <c r="B1378" s="48">
        <v>3.582977E7</v>
      </c>
      <c r="C1378" s="80" t="s">
        <v>3911</v>
      </c>
      <c r="D1378" s="140" t="s">
        <v>636</v>
      </c>
      <c r="E1378" s="80" t="s">
        <v>4073</v>
      </c>
      <c r="F1378" s="80">
        <v>309.12961</v>
      </c>
      <c r="G1378" s="142">
        <v>16.346</v>
      </c>
      <c r="H1378" s="143"/>
      <c r="I1378" s="143"/>
      <c r="J1378" s="143"/>
      <c r="K1378" s="143"/>
      <c r="L1378" s="143"/>
      <c r="M1378" s="143"/>
      <c r="N1378" s="80" t="s">
        <v>4074</v>
      </c>
      <c r="O1378" s="80" t="s">
        <v>4075</v>
      </c>
      <c r="P1378" s="80" t="s">
        <v>4076</v>
      </c>
      <c r="Y1378" s="2" t="s">
        <v>23</v>
      </c>
    </row>
    <row r="1379" ht="15.75" customHeight="1">
      <c r="B1379" s="48">
        <v>3.582977E7</v>
      </c>
      <c r="C1379" s="80" t="s">
        <v>3911</v>
      </c>
      <c r="D1379" s="140" t="s">
        <v>636</v>
      </c>
      <c r="E1379" s="80" t="s">
        <v>112</v>
      </c>
      <c r="F1379" s="80">
        <v>169.09654</v>
      </c>
      <c r="G1379" s="142">
        <v>4.985</v>
      </c>
      <c r="H1379" s="143"/>
      <c r="I1379" s="143"/>
      <c r="J1379" s="143"/>
      <c r="K1379" s="143"/>
      <c r="L1379" s="143"/>
      <c r="M1379" s="143"/>
      <c r="N1379" s="80" t="s">
        <v>3099</v>
      </c>
      <c r="O1379" s="80" t="s">
        <v>4077</v>
      </c>
      <c r="P1379" s="80" t="s">
        <v>4078</v>
      </c>
      <c r="Y1379" s="2" t="s">
        <v>23</v>
      </c>
    </row>
    <row r="1380" ht="15.75" customHeight="1">
      <c r="B1380" s="48">
        <v>3.582977E7</v>
      </c>
      <c r="C1380" s="80" t="s">
        <v>3911</v>
      </c>
      <c r="D1380" s="140" t="s">
        <v>636</v>
      </c>
      <c r="E1380" s="80" t="s">
        <v>4079</v>
      </c>
      <c r="F1380" s="80">
        <v>205.09683</v>
      </c>
      <c r="G1380" s="142">
        <v>9.075</v>
      </c>
      <c r="H1380" s="143"/>
      <c r="I1380" s="143"/>
      <c r="J1380" s="143"/>
      <c r="K1380" s="143"/>
      <c r="L1380" s="143"/>
      <c r="M1380" s="143"/>
      <c r="N1380" s="80" t="s">
        <v>3394</v>
      </c>
      <c r="O1380" s="80" t="s">
        <v>4080</v>
      </c>
      <c r="P1380" s="80" t="s">
        <v>4081</v>
      </c>
      <c r="Y1380" s="2" t="s">
        <v>23</v>
      </c>
    </row>
    <row r="1381" ht="15.75" customHeight="1">
      <c r="B1381" s="48">
        <v>3.582977E7</v>
      </c>
      <c r="C1381" s="80" t="s">
        <v>3911</v>
      </c>
      <c r="D1381" s="140" t="s">
        <v>636</v>
      </c>
      <c r="E1381" s="80" t="s">
        <v>4082</v>
      </c>
      <c r="F1381" s="80">
        <v>286.14294</v>
      </c>
      <c r="G1381" s="142">
        <v>17.479</v>
      </c>
      <c r="H1381" s="143"/>
      <c r="I1381" s="143"/>
      <c r="J1381" s="143"/>
      <c r="K1381" s="143"/>
      <c r="L1381" s="143"/>
      <c r="M1381" s="143"/>
      <c r="N1381" s="80" t="s">
        <v>4083</v>
      </c>
      <c r="O1381" s="80" t="s">
        <v>4084</v>
      </c>
      <c r="P1381" s="80" t="s">
        <v>4085</v>
      </c>
      <c r="Y1381" s="2" t="s">
        <v>23</v>
      </c>
    </row>
    <row r="1382" ht="15.75" customHeight="1">
      <c r="B1382" s="48">
        <v>3.582977E7</v>
      </c>
      <c r="C1382" s="80" t="s">
        <v>3911</v>
      </c>
      <c r="D1382" s="140" t="s">
        <v>636</v>
      </c>
      <c r="E1382" s="80" t="s">
        <v>327</v>
      </c>
      <c r="F1382" s="80">
        <v>181.07184</v>
      </c>
      <c r="G1382" s="142">
        <v>9.095</v>
      </c>
      <c r="H1382" s="143"/>
      <c r="I1382" s="143"/>
      <c r="J1382" s="143"/>
      <c r="K1382" s="143"/>
      <c r="L1382" s="143"/>
      <c r="M1382" s="143"/>
      <c r="N1382" s="80" t="s">
        <v>4066</v>
      </c>
      <c r="O1382" s="80" t="s">
        <v>4086</v>
      </c>
      <c r="P1382" s="80" t="s">
        <v>4087</v>
      </c>
      <c r="Y1382" s="2" t="s">
        <v>23</v>
      </c>
    </row>
    <row r="1383" ht="15.75" customHeight="1">
      <c r="B1383" s="48">
        <v>3.582977E7</v>
      </c>
      <c r="C1383" s="80" t="s">
        <v>3911</v>
      </c>
      <c r="D1383" s="140" t="s">
        <v>636</v>
      </c>
      <c r="E1383" s="80" t="s">
        <v>4088</v>
      </c>
      <c r="F1383" s="80">
        <v>146.05989</v>
      </c>
      <c r="G1383" s="142">
        <v>9.073</v>
      </c>
      <c r="H1383" s="143"/>
      <c r="I1383" s="143"/>
      <c r="J1383" s="143"/>
      <c r="K1383" s="143"/>
      <c r="L1383" s="143"/>
      <c r="M1383" s="143"/>
      <c r="N1383" s="80" t="s">
        <v>716</v>
      </c>
      <c r="O1383" s="80" t="s">
        <v>4089</v>
      </c>
      <c r="P1383" s="80" t="s">
        <v>4090</v>
      </c>
      <c r="Y1383" s="2" t="s">
        <v>23</v>
      </c>
    </row>
    <row r="1384" ht="15.75" customHeight="1">
      <c r="B1384" s="48">
        <v>3.582977E7</v>
      </c>
      <c r="C1384" s="80" t="s">
        <v>3911</v>
      </c>
      <c r="D1384" s="140" t="s">
        <v>636</v>
      </c>
      <c r="E1384" s="80" t="s">
        <v>774</v>
      </c>
      <c r="F1384" s="80">
        <v>167.05594</v>
      </c>
      <c r="G1384" s="142">
        <v>4.981</v>
      </c>
      <c r="H1384" s="143"/>
      <c r="I1384" s="143"/>
      <c r="J1384" s="143"/>
      <c r="K1384" s="143"/>
      <c r="L1384" s="143"/>
      <c r="M1384" s="143"/>
      <c r="N1384" s="80" t="s">
        <v>775</v>
      </c>
      <c r="O1384" s="80" t="s">
        <v>4091</v>
      </c>
      <c r="P1384" s="80" t="s">
        <v>4092</v>
      </c>
      <c r="Y1384" s="2" t="s">
        <v>23</v>
      </c>
    </row>
    <row r="1385" ht="15.75" customHeight="1">
      <c r="B1385" s="48">
        <v>3.582977E7</v>
      </c>
      <c r="C1385" s="80" t="s">
        <v>3911</v>
      </c>
      <c r="D1385" s="140" t="s">
        <v>636</v>
      </c>
      <c r="E1385" s="80" t="s">
        <v>4093</v>
      </c>
      <c r="F1385" s="80">
        <v>206.08096</v>
      </c>
      <c r="G1385" s="142">
        <v>12.777</v>
      </c>
      <c r="H1385" s="143"/>
      <c r="I1385" s="143"/>
      <c r="J1385" s="143"/>
      <c r="K1385" s="143"/>
      <c r="L1385" s="143"/>
      <c r="M1385" s="143"/>
      <c r="N1385" s="80" t="s">
        <v>1694</v>
      </c>
      <c r="O1385" s="80" t="s">
        <v>4094</v>
      </c>
      <c r="P1385" s="80" t="s">
        <v>4095</v>
      </c>
      <c r="Y1385" s="2" t="s">
        <v>23</v>
      </c>
    </row>
    <row r="1386" ht="15.75" customHeight="1">
      <c r="B1386" s="48">
        <v>3.582977E7</v>
      </c>
      <c r="C1386" s="80" t="s">
        <v>3911</v>
      </c>
      <c r="D1386" s="140" t="s">
        <v>636</v>
      </c>
      <c r="E1386" s="80" t="s">
        <v>4096</v>
      </c>
      <c r="F1386" s="80">
        <v>149.0594</v>
      </c>
      <c r="G1386" s="142">
        <v>5.496</v>
      </c>
      <c r="H1386" s="143"/>
      <c r="I1386" s="143"/>
      <c r="J1386" s="143"/>
      <c r="K1386" s="143"/>
      <c r="L1386" s="143"/>
      <c r="M1386" s="143"/>
      <c r="N1386" s="80" t="s">
        <v>1689</v>
      </c>
      <c r="O1386" s="80" t="s">
        <v>4097</v>
      </c>
      <c r="P1386" s="80" t="s">
        <v>4098</v>
      </c>
      <c r="Y1386" s="2" t="s">
        <v>23</v>
      </c>
    </row>
    <row r="1387" ht="15.75" customHeight="1">
      <c r="B1387" s="48">
        <v>3.582977E7</v>
      </c>
      <c r="C1387" s="80" t="s">
        <v>3911</v>
      </c>
      <c r="D1387" s="140" t="s">
        <v>636</v>
      </c>
      <c r="E1387" s="80" t="s">
        <v>4099</v>
      </c>
      <c r="F1387" s="80">
        <v>100.11199</v>
      </c>
      <c r="G1387" s="142">
        <v>4.446</v>
      </c>
      <c r="H1387" s="143"/>
      <c r="I1387" s="143"/>
      <c r="J1387" s="143"/>
      <c r="K1387" s="143"/>
      <c r="L1387" s="143"/>
      <c r="M1387" s="143"/>
      <c r="N1387" s="80" t="s">
        <v>4100</v>
      </c>
      <c r="O1387" s="80" t="s">
        <v>4101</v>
      </c>
      <c r="P1387" s="80" t="s">
        <v>4102</v>
      </c>
      <c r="Y1387" s="2" t="s">
        <v>23</v>
      </c>
    </row>
    <row r="1388" ht="15.75" customHeight="1">
      <c r="B1388" s="48">
        <v>3.582977E7</v>
      </c>
      <c r="C1388" s="80" t="s">
        <v>3911</v>
      </c>
      <c r="D1388" s="140" t="s">
        <v>636</v>
      </c>
      <c r="E1388" s="80" t="s">
        <v>4103</v>
      </c>
      <c r="F1388" s="80">
        <v>144.08066</v>
      </c>
      <c r="G1388" s="142">
        <v>9.074</v>
      </c>
      <c r="H1388" s="143"/>
      <c r="I1388" s="143"/>
      <c r="J1388" s="143"/>
      <c r="K1388" s="143"/>
      <c r="L1388" s="143"/>
      <c r="M1388" s="143"/>
      <c r="N1388" s="80" t="s">
        <v>4104</v>
      </c>
      <c r="O1388" s="80" t="s">
        <v>4105</v>
      </c>
      <c r="P1388" s="80" t="s">
        <v>4106</v>
      </c>
      <c r="Y1388" s="2" t="s">
        <v>23</v>
      </c>
    </row>
    <row r="1389" ht="15.75" customHeight="1">
      <c r="B1389" s="48">
        <v>3.582977E7</v>
      </c>
      <c r="C1389" s="80" t="s">
        <v>3911</v>
      </c>
      <c r="D1389" s="140" t="s">
        <v>636</v>
      </c>
      <c r="E1389" s="80" t="s">
        <v>4107</v>
      </c>
      <c r="F1389" s="80">
        <v>263.08829</v>
      </c>
      <c r="G1389" s="142">
        <v>16.962</v>
      </c>
      <c r="H1389" s="143"/>
      <c r="I1389" s="143"/>
      <c r="J1389" s="143"/>
      <c r="K1389" s="143"/>
      <c r="L1389" s="143"/>
      <c r="M1389" s="143"/>
      <c r="N1389" s="80" t="s">
        <v>4108</v>
      </c>
      <c r="O1389" s="80" t="s">
        <v>4109</v>
      </c>
      <c r="P1389" s="80" t="s">
        <v>4110</v>
      </c>
      <c r="Y1389" s="2" t="s">
        <v>23</v>
      </c>
    </row>
    <row r="1390" ht="15.75" customHeight="1">
      <c r="B1390" s="48">
        <v>3.582977E7</v>
      </c>
      <c r="C1390" s="80" t="s">
        <v>3911</v>
      </c>
      <c r="D1390" s="140" t="s">
        <v>636</v>
      </c>
      <c r="E1390" s="80" t="s">
        <v>4111</v>
      </c>
      <c r="F1390" s="80">
        <v>132.08063</v>
      </c>
      <c r="G1390" s="142">
        <v>9.071</v>
      </c>
      <c r="H1390" s="143"/>
      <c r="I1390" s="143"/>
      <c r="J1390" s="143"/>
      <c r="K1390" s="143"/>
      <c r="L1390" s="143"/>
      <c r="M1390" s="143"/>
      <c r="N1390" s="80" t="s">
        <v>3829</v>
      </c>
      <c r="O1390" s="80" t="s">
        <v>4112</v>
      </c>
      <c r="P1390" s="80" t="s">
        <v>4113</v>
      </c>
      <c r="Y1390" s="2" t="s">
        <v>23</v>
      </c>
    </row>
    <row r="1391" ht="15.75" customHeight="1">
      <c r="B1391" s="48">
        <v>3.582977E7</v>
      </c>
      <c r="C1391" s="80" t="s">
        <v>3911</v>
      </c>
      <c r="D1391" s="140" t="s">
        <v>636</v>
      </c>
      <c r="E1391" s="80" t="s">
        <v>4114</v>
      </c>
      <c r="F1391" s="80">
        <v>307.11044</v>
      </c>
      <c r="G1391" s="142">
        <v>12.64</v>
      </c>
      <c r="H1391" s="143"/>
      <c r="I1391" s="143"/>
      <c r="J1391" s="143"/>
      <c r="K1391" s="143"/>
      <c r="L1391" s="143"/>
      <c r="M1391" s="143"/>
      <c r="N1391" s="80" t="s">
        <v>4115</v>
      </c>
      <c r="O1391" s="80" t="s">
        <v>4116</v>
      </c>
      <c r="P1391" s="80" t="s">
        <v>4117</v>
      </c>
      <c r="Y1391" s="2" t="s">
        <v>23</v>
      </c>
    </row>
    <row r="1392" ht="15.75" customHeight="1">
      <c r="B1392" s="48">
        <v>3.582977E7</v>
      </c>
      <c r="C1392" s="80" t="s">
        <v>3911</v>
      </c>
      <c r="D1392" s="140" t="s">
        <v>636</v>
      </c>
      <c r="E1392" s="80" t="s">
        <v>4118</v>
      </c>
      <c r="F1392" s="80">
        <v>204.11281</v>
      </c>
      <c r="G1392" s="142">
        <v>8.409</v>
      </c>
      <c r="H1392" s="143"/>
      <c r="I1392" s="143"/>
      <c r="J1392" s="143"/>
      <c r="K1392" s="143"/>
      <c r="L1392" s="143"/>
      <c r="M1392" s="143"/>
      <c r="N1392" s="80" t="s">
        <v>4119</v>
      </c>
      <c r="O1392" s="80" t="s">
        <v>4120</v>
      </c>
      <c r="P1392" s="80" t="s">
        <v>4121</v>
      </c>
      <c r="Y1392" s="2" t="s">
        <v>23</v>
      </c>
    </row>
    <row r="1393" ht="15.75" customHeight="1">
      <c r="B1393" s="48">
        <v>3.582977E7</v>
      </c>
      <c r="C1393" s="80" t="s">
        <v>3911</v>
      </c>
      <c r="D1393" s="140" t="s">
        <v>636</v>
      </c>
      <c r="E1393" s="80" t="s">
        <v>4122</v>
      </c>
      <c r="F1393" s="80">
        <v>146.05994</v>
      </c>
      <c r="G1393" s="142">
        <v>11.809</v>
      </c>
      <c r="H1393" s="143"/>
      <c r="I1393" s="143"/>
      <c r="J1393" s="143"/>
      <c r="K1393" s="143"/>
      <c r="L1393" s="143"/>
      <c r="M1393" s="143"/>
      <c r="N1393" s="80" t="s">
        <v>716</v>
      </c>
      <c r="O1393" s="80" t="s">
        <v>4123</v>
      </c>
      <c r="P1393" s="80" t="s">
        <v>4090</v>
      </c>
      <c r="Y1393" s="2" t="s">
        <v>23</v>
      </c>
    </row>
    <row r="1394" ht="15.75" customHeight="1">
      <c r="B1394" s="48">
        <v>3.582977E7</v>
      </c>
      <c r="C1394" s="80" t="s">
        <v>3911</v>
      </c>
      <c r="D1394" s="140" t="s">
        <v>636</v>
      </c>
      <c r="E1394" s="80" t="s">
        <v>315</v>
      </c>
      <c r="F1394" s="80">
        <v>167.05618</v>
      </c>
      <c r="G1394" s="142">
        <v>4.35</v>
      </c>
      <c r="H1394" s="143"/>
      <c r="I1394" s="143"/>
      <c r="J1394" s="143"/>
      <c r="K1394" s="143"/>
      <c r="L1394" s="143"/>
      <c r="M1394" s="143"/>
      <c r="N1394" s="80" t="s">
        <v>775</v>
      </c>
      <c r="O1394" s="80" t="s">
        <v>4004</v>
      </c>
      <c r="P1394" s="80" t="s">
        <v>4005</v>
      </c>
      <c r="Y1394" s="2" t="s">
        <v>23</v>
      </c>
    </row>
    <row r="1395" ht="15.75" customHeight="1">
      <c r="B1395" s="48">
        <v>3.582977E7</v>
      </c>
      <c r="C1395" s="80" t="s">
        <v>3911</v>
      </c>
      <c r="D1395" s="140" t="s">
        <v>636</v>
      </c>
      <c r="E1395" s="80" t="s">
        <v>4118</v>
      </c>
      <c r="F1395" s="80">
        <v>204.11295</v>
      </c>
      <c r="G1395" s="142">
        <v>10.549</v>
      </c>
      <c r="H1395" s="143"/>
      <c r="I1395" s="143"/>
      <c r="J1395" s="143"/>
      <c r="K1395" s="143"/>
      <c r="L1395" s="143"/>
      <c r="M1395" s="143"/>
      <c r="N1395" s="80" t="s">
        <v>4119</v>
      </c>
      <c r="O1395" s="80" t="s">
        <v>4124</v>
      </c>
      <c r="P1395" s="80" t="s">
        <v>4121</v>
      </c>
      <c r="Y1395" s="2" t="s">
        <v>23</v>
      </c>
    </row>
    <row r="1396" ht="15.75" customHeight="1">
      <c r="B1396" s="48">
        <v>3.582977E7</v>
      </c>
      <c r="C1396" s="80" t="s">
        <v>3911</v>
      </c>
      <c r="D1396" s="140" t="s">
        <v>636</v>
      </c>
      <c r="E1396" s="80" t="s">
        <v>4125</v>
      </c>
      <c r="F1396" s="80">
        <v>211.14374</v>
      </c>
      <c r="G1396" s="142">
        <v>12.459</v>
      </c>
      <c r="H1396" s="143"/>
      <c r="I1396" s="143"/>
      <c r="J1396" s="143"/>
      <c r="K1396" s="143"/>
      <c r="L1396" s="143"/>
      <c r="M1396" s="143"/>
      <c r="N1396" s="80" t="s">
        <v>4126</v>
      </c>
      <c r="O1396" s="80" t="s">
        <v>4127</v>
      </c>
      <c r="P1396" s="80" t="s">
        <v>4128</v>
      </c>
      <c r="Y1396" s="2" t="s">
        <v>23</v>
      </c>
    </row>
    <row r="1397" ht="15.75" customHeight="1">
      <c r="B1397" s="48">
        <v>3.582977E7</v>
      </c>
      <c r="C1397" s="80" t="s">
        <v>3911</v>
      </c>
      <c r="D1397" s="140" t="s">
        <v>636</v>
      </c>
      <c r="E1397" s="80" t="s">
        <v>4129</v>
      </c>
      <c r="F1397" s="80">
        <v>76.07565</v>
      </c>
      <c r="G1397" s="142">
        <v>1.906</v>
      </c>
      <c r="H1397" s="143"/>
      <c r="I1397" s="143"/>
      <c r="J1397" s="143"/>
      <c r="K1397" s="143"/>
      <c r="L1397" s="143"/>
      <c r="M1397" s="143"/>
      <c r="N1397" s="80" t="s">
        <v>3385</v>
      </c>
      <c r="O1397" s="80" t="s">
        <v>4130</v>
      </c>
      <c r="P1397" s="80" t="s">
        <v>4131</v>
      </c>
      <c r="Y1397" s="2" t="s">
        <v>23</v>
      </c>
    </row>
    <row r="1398" ht="15.75" customHeight="1">
      <c r="B1398" s="48">
        <v>3.582977E7</v>
      </c>
      <c r="C1398" s="80" t="s">
        <v>3911</v>
      </c>
      <c r="D1398" s="140" t="s">
        <v>636</v>
      </c>
      <c r="E1398" s="80" t="s">
        <v>4132</v>
      </c>
      <c r="F1398" s="80">
        <v>119.07278</v>
      </c>
      <c r="G1398" s="142">
        <v>5.5</v>
      </c>
      <c r="H1398" s="143"/>
      <c r="I1398" s="143"/>
      <c r="J1398" s="143"/>
      <c r="K1398" s="143"/>
      <c r="L1398" s="143"/>
      <c r="M1398" s="143"/>
      <c r="N1398" s="80" t="s">
        <v>1093</v>
      </c>
      <c r="O1398" s="80" t="s">
        <v>4133</v>
      </c>
      <c r="P1398" s="80" t="s">
        <v>4134</v>
      </c>
      <c r="Y1398" s="2" t="s">
        <v>23</v>
      </c>
    </row>
    <row r="1399" ht="15.75" customHeight="1">
      <c r="B1399" s="48">
        <v>3.582977E7</v>
      </c>
      <c r="C1399" s="80" t="s">
        <v>3911</v>
      </c>
      <c r="D1399" s="140" t="s">
        <v>636</v>
      </c>
      <c r="E1399" s="80" t="s">
        <v>4135</v>
      </c>
      <c r="F1399" s="80">
        <v>94.06512</v>
      </c>
      <c r="G1399" s="142">
        <v>4.547</v>
      </c>
      <c r="H1399" s="143"/>
      <c r="I1399" s="143"/>
      <c r="J1399" s="143"/>
      <c r="K1399" s="143"/>
      <c r="L1399" s="143"/>
      <c r="M1399" s="143"/>
      <c r="N1399" s="80" t="s">
        <v>4136</v>
      </c>
      <c r="O1399" s="80" t="s">
        <v>4137</v>
      </c>
      <c r="P1399" s="80" t="s">
        <v>4138</v>
      </c>
      <c r="Y1399" s="2" t="s">
        <v>23</v>
      </c>
    </row>
    <row r="1400" ht="15.75" customHeight="1">
      <c r="B1400" s="48">
        <v>3.582977E7</v>
      </c>
      <c r="C1400" s="80" t="s">
        <v>3911</v>
      </c>
      <c r="D1400" s="140" t="s">
        <v>636</v>
      </c>
      <c r="E1400" s="80" t="s">
        <v>3956</v>
      </c>
      <c r="F1400" s="80">
        <v>158.11732</v>
      </c>
      <c r="G1400" s="142">
        <v>10.446</v>
      </c>
      <c r="H1400" s="143"/>
      <c r="I1400" s="143"/>
      <c r="J1400" s="143"/>
      <c r="K1400" s="143"/>
      <c r="L1400" s="143"/>
      <c r="M1400" s="143"/>
      <c r="N1400" s="80" t="s">
        <v>3957</v>
      </c>
      <c r="O1400" s="80" t="s">
        <v>3958</v>
      </c>
      <c r="P1400" s="80" t="s">
        <v>3959</v>
      </c>
      <c r="Y1400" s="2" t="s">
        <v>23</v>
      </c>
    </row>
    <row r="1401" ht="15.75" customHeight="1">
      <c r="B1401" s="48">
        <v>3.582977E7</v>
      </c>
      <c r="C1401" s="80" t="s">
        <v>3911</v>
      </c>
      <c r="D1401" s="140" t="s">
        <v>636</v>
      </c>
      <c r="E1401" s="80" t="s">
        <v>4139</v>
      </c>
      <c r="F1401" s="80">
        <v>152.14328</v>
      </c>
      <c r="G1401" s="142">
        <v>11.726</v>
      </c>
      <c r="H1401" s="143"/>
      <c r="I1401" s="143"/>
      <c r="J1401" s="143"/>
      <c r="K1401" s="143"/>
      <c r="L1401" s="143"/>
      <c r="M1401" s="143"/>
      <c r="N1401" s="80" t="s">
        <v>4140</v>
      </c>
      <c r="O1401" s="80" t="s">
        <v>4141</v>
      </c>
      <c r="P1401" s="80" t="s">
        <v>4142</v>
      </c>
      <c r="Y1401" s="2" t="s">
        <v>23</v>
      </c>
    </row>
    <row r="1402" ht="15.75" customHeight="1">
      <c r="B1402" s="48">
        <v>3.582977E7</v>
      </c>
      <c r="C1402" s="80" t="s">
        <v>3911</v>
      </c>
      <c r="D1402" s="140" t="s">
        <v>636</v>
      </c>
      <c r="E1402" s="80" t="s">
        <v>4143</v>
      </c>
      <c r="F1402" s="80">
        <v>365.10428</v>
      </c>
      <c r="G1402" s="142">
        <v>1.917</v>
      </c>
      <c r="H1402" s="143"/>
      <c r="I1402" s="143"/>
      <c r="J1402" s="143"/>
      <c r="K1402" s="143"/>
      <c r="L1402" s="143"/>
      <c r="M1402" s="143"/>
      <c r="N1402" s="80" t="s">
        <v>2315</v>
      </c>
      <c r="O1402" s="80" t="s">
        <v>4144</v>
      </c>
      <c r="P1402" s="80" t="s">
        <v>4145</v>
      </c>
      <c r="Y1402" s="2" t="s">
        <v>23</v>
      </c>
    </row>
    <row r="1403" ht="15.75" customHeight="1">
      <c r="B1403" s="48">
        <v>3.582977E7</v>
      </c>
      <c r="C1403" s="80" t="s">
        <v>3911</v>
      </c>
      <c r="D1403" s="140" t="s">
        <v>636</v>
      </c>
      <c r="E1403" s="80" t="s">
        <v>4146</v>
      </c>
      <c r="F1403" s="80">
        <v>188.07043</v>
      </c>
      <c r="G1403" s="142">
        <v>9.258</v>
      </c>
      <c r="H1403" s="143"/>
      <c r="I1403" s="143"/>
      <c r="J1403" s="143"/>
      <c r="K1403" s="143"/>
      <c r="L1403" s="143"/>
      <c r="M1403" s="143"/>
      <c r="N1403" s="80" t="s">
        <v>2983</v>
      </c>
      <c r="O1403" s="80" t="s">
        <v>4147</v>
      </c>
      <c r="P1403" s="80" t="s">
        <v>4148</v>
      </c>
      <c r="Y1403" s="2" t="s">
        <v>23</v>
      </c>
    </row>
    <row r="1404" ht="15.75" customHeight="1">
      <c r="B1404" s="48">
        <v>3.582977E7</v>
      </c>
      <c r="C1404" s="80" t="s">
        <v>3911</v>
      </c>
      <c r="D1404" s="140" t="s">
        <v>636</v>
      </c>
      <c r="E1404" s="80" t="s">
        <v>4149</v>
      </c>
      <c r="F1404" s="80">
        <v>192.138</v>
      </c>
      <c r="G1404" s="142">
        <v>16.138</v>
      </c>
      <c r="H1404" s="143"/>
      <c r="I1404" s="143"/>
      <c r="J1404" s="143"/>
      <c r="K1404" s="143"/>
      <c r="L1404" s="143"/>
      <c r="M1404" s="143"/>
      <c r="N1404" s="80" t="s">
        <v>4150</v>
      </c>
      <c r="O1404" s="80" t="s">
        <v>4151</v>
      </c>
      <c r="P1404" s="80" t="s">
        <v>4152</v>
      </c>
      <c r="Y1404" s="2" t="s">
        <v>23</v>
      </c>
    </row>
    <row r="1405" ht="15.75" customHeight="1">
      <c r="B1405" s="48">
        <v>3.582977E7</v>
      </c>
      <c r="C1405" s="80" t="s">
        <v>3911</v>
      </c>
      <c r="D1405" s="140" t="s">
        <v>636</v>
      </c>
      <c r="E1405" s="80" t="s">
        <v>4153</v>
      </c>
      <c r="F1405" s="80">
        <v>167.02902</v>
      </c>
      <c r="G1405" s="142">
        <v>17.813</v>
      </c>
      <c r="H1405" s="143"/>
      <c r="I1405" s="143"/>
      <c r="J1405" s="143"/>
      <c r="K1405" s="143"/>
      <c r="L1405" s="143"/>
      <c r="M1405" s="143"/>
      <c r="N1405" s="80" t="s">
        <v>4154</v>
      </c>
      <c r="O1405" s="80" t="s">
        <v>4155</v>
      </c>
      <c r="P1405" s="80" t="s">
        <v>4156</v>
      </c>
      <c r="Y1405" s="2" t="s">
        <v>23</v>
      </c>
    </row>
    <row r="1406" ht="15.75" customHeight="1">
      <c r="B1406" s="48">
        <v>3.582977E7</v>
      </c>
      <c r="C1406" s="80" t="s">
        <v>3911</v>
      </c>
      <c r="D1406" s="140" t="s">
        <v>636</v>
      </c>
      <c r="E1406" s="80" t="s">
        <v>331</v>
      </c>
      <c r="F1406" s="80">
        <v>139.0387</v>
      </c>
      <c r="G1406" s="142">
        <v>17.81</v>
      </c>
      <c r="H1406" s="143"/>
      <c r="I1406" s="143"/>
      <c r="J1406" s="143"/>
      <c r="K1406" s="143"/>
      <c r="L1406" s="143"/>
      <c r="M1406" s="143"/>
      <c r="N1406" s="80" t="s">
        <v>1240</v>
      </c>
      <c r="O1406" s="80" t="s">
        <v>4157</v>
      </c>
      <c r="P1406" s="80" t="s">
        <v>4158</v>
      </c>
      <c r="Y1406" s="2" t="s">
        <v>23</v>
      </c>
    </row>
    <row r="1407" ht="15.75" customHeight="1">
      <c r="B1407" s="48">
        <v>3.582977E7</v>
      </c>
      <c r="C1407" s="80" t="s">
        <v>3911</v>
      </c>
      <c r="D1407" s="140" t="s">
        <v>636</v>
      </c>
      <c r="E1407" s="80" t="s">
        <v>4159</v>
      </c>
      <c r="F1407" s="80">
        <v>104.10696</v>
      </c>
      <c r="G1407" s="142">
        <v>1.862</v>
      </c>
      <c r="H1407" s="143"/>
      <c r="I1407" s="143"/>
      <c r="J1407" s="143"/>
      <c r="K1407" s="143"/>
      <c r="L1407" s="143"/>
      <c r="M1407" s="143"/>
      <c r="N1407" s="80" t="s">
        <v>4160</v>
      </c>
      <c r="O1407" s="80" t="s">
        <v>1680</v>
      </c>
      <c r="P1407" s="80" t="s">
        <v>4161</v>
      </c>
      <c r="Y1407" s="2" t="s">
        <v>23</v>
      </c>
    </row>
    <row r="1408" ht="15.75" customHeight="1">
      <c r="B1408" s="48">
        <v>3.582977E7</v>
      </c>
      <c r="C1408" s="80" t="s">
        <v>3911</v>
      </c>
      <c r="D1408" s="140" t="s">
        <v>636</v>
      </c>
      <c r="E1408" s="80" t="s">
        <v>4162</v>
      </c>
      <c r="F1408" s="80">
        <v>123.04386</v>
      </c>
      <c r="G1408" s="142">
        <v>2.806</v>
      </c>
      <c r="H1408" s="143"/>
      <c r="I1408" s="143"/>
      <c r="J1408" s="143"/>
      <c r="K1408" s="143"/>
      <c r="L1408" s="143"/>
      <c r="M1408" s="143"/>
      <c r="N1408" s="80" t="s">
        <v>1553</v>
      </c>
      <c r="O1408" s="144"/>
      <c r="P1408" s="144"/>
      <c r="Q1408" s="143"/>
      <c r="R1408" s="143"/>
      <c r="Y1408" s="2" t="s">
        <v>23</v>
      </c>
    </row>
    <row r="1409" ht="15.75" customHeight="1">
      <c r="B1409" s="48">
        <v>3.582977E7</v>
      </c>
      <c r="C1409" s="80" t="s">
        <v>3911</v>
      </c>
      <c r="D1409" s="140" t="s">
        <v>636</v>
      </c>
      <c r="E1409" s="80" t="s">
        <v>4163</v>
      </c>
      <c r="F1409" s="80">
        <v>119.04903</v>
      </c>
      <c r="G1409" s="142">
        <v>2.807</v>
      </c>
      <c r="H1409" s="143"/>
      <c r="I1409" s="143"/>
      <c r="J1409" s="143"/>
      <c r="K1409" s="143"/>
      <c r="L1409" s="143"/>
      <c r="M1409" s="143"/>
      <c r="N1409" s="80" t="s">
        <v>4164</v>
      </c>
      <c r="O1409" s="144"/>
      <c r="P1409" s="144"/>
      <c r="Q1409" s="143"/>
      <c r="R1409" s="143"/>
      <c r="Y1409" s="2" t="s">
        <v>23</v>
      </c>
    </row>
    <row r="1410" ht="15.75" customHeight="1">
      <c r="B1410" s="48">
        <v>3.582977E7</v>
      </c>
      <c r="C1410" s="80" t="s">
        <v>3911</v>
      </c>
      <c r="D1410" s="140" t="s">
        <v>636</v>
      </c>
      <c r="E1410" s="80" t="s">
        <v>4165</v>
      </c>
      <c r="F1410" s="80">
        <v>147.04378</v>
      </c>
      <c r="G1410" s="142">
        <v>2.809</v>
      </c>
      <c r="H1410" s="143"/>
      <c r="I1410" s="143"/>
      <c r="J1410" s="143"/>
      <c r="K1410" s="143"/>
      <c r="L1410" s="143"/>
      <c r="M1410" s="143"/>
      <c r="N1410" s="80" t="s">
        <v>4166</v>
      </c>
      <c r="O1410" s="144"/>
      <c r="P1410" s="144"/>
      <c r="Q1410" s="143"/>
      <c r="R1410" s="143"/>
      <c r="Y1410" s="2" t="s">
        <v>23</v>
      </c>
    </row>
    <row r="1411" ht="15.75" customHeight="1">
      <c r="B1411" s="48">
        <v>3.582977E7</v>
      </c>
      <c r="C1411" s="80" t="s">
        <v>3911</v>
      </c>
      <c r="D1411" s="140" t="s">
        <v>636</v>
      </c>
      <c r="E1411" s="80" t="s">
        <v>4167</v>
      </c>
      <c r="F1411" s="80">
        <v>165.05437</v>
      </c>
      <c r="G1411" s="142">
        <v>2.806</v>
      </c>
      <c r="H1411" s="143"/>
      <c r="I1411" s="143"/>
      <c r="J1411" s="143"/>
      <c r="K1411" s="143"/>
      <c r="L1411" s="143"/>
      <c r="M1411" s="143"/>
      <c r="N1411" s="80" t="s">
        <v>2900</v>
      </c>
      <c r="O1411" s="144"/>
      <c r="P1411" s="144"/>
      <c r="Q1411" s="143"/>
      <c r="R1411" s="143"/>
      <c r="Y1411" s="2" t="s">
        <v>23</v>
      </c>
    </row>
    <row r="1412" ht="15.75" customHeight="1">
      <c r="B1412" s="48">
        <v>3.582977E7</v>
      </c>
      <c r="C1412" s="80" t="s">
        <v>3911</v>
      </c>
      <c r="D1412" s="140" t="s">
        <v>636</v>
      </c>
      <c r="E1412" s="80" t="s">
        <v>4168</v>
      </c>
      <c r="F1412" s="80">
        <v>110.09636</v>
      </c>
      <c r="G1412" s="142">
        <v>10.678</v>
      </c>
      <c r="H1412" s="143"/>
      <c r="I1412" s="143"/>
      <c r="J1412" s="143"/>
      <c r="K1412" s="143"/>
      <c r="L1412" s="143"/>
      <c r="M1412" s="143"/>
      <c r="N1412" s="80" t="s">
        <v>4169</v>
      </c>
      <c r="O1412" s="144"/>
      <c r="P1412" s="144"/>
      <c r="Q1412" s="143"/>
      <c r="R1412" s="143"/>
      <c r="Y1412" s="2" t="s">
        <v>23</v>
      </c>
    </row>
    <row r="1413" ht="15.75" customHeight="1">
      <c r="B1413" s="48">
        <v>3.582977E7</v>
      </c>
      <c r="C1413" s="80" t="s">
        <v>3911</v>
      </c>
      <c r="D1413" s="140" t="s">
        <v>636</v>
      </c>
      <c r="E1413" s="80" t="s">
        <v>4170</v>
      </c>
      <c r="F1413" s="80">
        <v>161.13208</v>
      </c>
      <c r="G1413" s="142">
        <v>17.215</v>
      </c>
      <c r="H1413" s="143"/>
      <c r="I1413" s="143"/>
      <c r="J1413" s="143"/>
      <c r="K1413" s="143"/>
      <c r="L1413" s="143"/>
      <c r="M1413" s="143"/>
      <c r="N1413" s="80" t="s">
        <v>4171</v>
      </c>
      <c r="O1413" s="144"/>
      <c r="P1413" s="144"/>
      <c r="Q1413" s="143"/>
      <c r="R1413" s="143"/>
      <c r="Y1413" s="2" t="s">
        <v>23</v>
      </c>
    </row>
    <row r="1414" ht="15.75" customHeight="1">
      <c r="B1414" s="48">
        <v>3.582977E7</v>
      </c>
      <c r="C1414" s="80" t="s">
        <v>3911</v>
      </c>
      <c r="D1414" s="140" t="s">
        <v>636</v>
      </c>
      <c r="E1414" s="80" t="s">
        <v>4172</v>
      </c>
      <c r="F1414" s="80">
        <v>189.10205</v>
      </c>
      <c r="G1414" s="142">
        <v>11.825</v>
      </c>
      <c r="H1414" s="143"/>
      <c r="I1414" s="143"/>
      <c r="J1414" s="143"/>
      <c r="K1414" s="143"/>
      <c r="L1414" s="143"/>
      <c r="M1414" s="143"/>
      <c r="N1414" s="80" t="s">
        <v>4173</v>
      </c>
      <c r="O1414" s="144"/>
      <c r="P1414" s="144"/>
      <c r="Q1414" s="143"/>
      <c r="R1414" s="143"/>
      <c r="Y1414" s="2" t="s">
        <v>23</v>
      </c>
    </row>
    <row r="1415" ht="15.75" customHeight="1">
      <c r="B1415" s="48">
        <v>3.582977E7</v>
      </c>
      <c r="C1415" s="80" t="s">
        <v>3911</v>
      </c>
      <c r="D1415" s="140" t="s">
        <v>636</v>
      </c>
      <c r="E1415" s="80" t="s">
        <v>4174</v>
      </c>
      <c r="F1415" s="80">
        <v>243.21017</v>
      </c>
      <c r="G1415" s="142">
        <v>18.257</v>
      </c>
      <c r="H1415" s="143"/>
      <c r="I1415" s="143"/>
      <c r="J1415" s="143"/>
      <c r="K1415" s="143"/>
      <c r="L1415" s="143"/>
      <c r="M1415" s="143"/>
      <c r="N1415" s="80" t="s">
        <v>4175</v>
      </c>
      <c r="O1415" s="144"/>
      <c r="P1415" s="144"/>
      <c r="Q1415" s="143"/>
      <c r="R1415" s="143"/>
      <c r="Y1415" s="2" t="s">
        <v>23</v>
      </c>
    </row>
    <row r="1416" ht="15.75" customHeight="1">
      <c r="B1416" s="48">
        <v>3.582977E7</v>
      </c>
      <c r="C1416" s="80" t="s">
        <v>3911</v>
      </c>
      <c r="D1416" s="140" t="s">
        <v>636</v>
      </c>
      <c r="E1416" s="80" t="s">
        <v>4176</v>
      </c>
      <c r="F1416" s="80">
        <v>144.08069</v>
      </c>
      <c r="G1416" s="142">
        <v>9.331</v>
      </c>
      <c r="H1416" s="143"/>
      <c r="I1416" s="143"/>
      <c r="J1416" s="143"/>
      <c r="K1416" s="143"/>
      <c r="L1416" s="143"/>
      <c r="M1416" s="143"/>
      <c r="N1416" s="80" t="s">
        <v>4104</v>
      </c>
      <c r="O1416" s="144"/>
      <c r="P1416" s="144"/>
      <c r="Q1416" s="143"/>
      <c r="R1416" s="143"/>
      <c r="Y1416" s="2" t="s">
        <v>23</v>
      </c>
    </row>
    <row r="1417" ht="15.75" customHeight="1">
      <c r="B1417" s="48">
        <v>3.582977E7</v>
      </c>
      <c r="C1417" s="80" t="s">
        <v>4177</v>
      </c>
      <c r="D1417" s="140" t="s">
        <v>636</v>
      </c>
      <c r="E1417" s="80" t="s">
        <v>3559</v>
      </c>
      <c r="F1417" s="80">
        <v>61.0397</v>
      </c>
      <c r="G1417" s="142">
        <v>4.302</v>
      </c>
      <c r="H1417" s="143"/>
      <c r="I1417" s="143"/>
      <c r="J1417" s="143"/>
      <c r="K1417" s="143"/>
      <c r="L1417" s="143"/>
      <c r="M1417" s="143"/>
      <c r="N1417" s="80" t="s">
        <v>3936</v>
      </c>
      <c r="O1417" s="80" t="s">
        <v>3937</v>
      </c>
      <c r="P1417" s="80" t="s">
        <v>3938</v>
      </c>
      <c r="Y1417" s="2" t="s">
        <v>23</v>
      </c>
    </row>
    <row r="1418" ht="15.75" customHeight="1">
      <c r="B1418" s="48">
        <v>3.582977E7</v>
      </c>
      <c r="C1418" s="80" t="s">
        <v>4177</v>
      </c>
      <c r="D1418" s="140" t="s">
        <v>636</v>
      </c>
      <c r="E1418" s="80" t="s">
        <v>404</v>
      </c>
      <c r="F1418" s="80">
        <v>62.06015</v>
      </c>
      <c r="G1418" s="142">
        <v>8.416</v>
      </c>
      <c r="H1418" s="143"/>
      <c r="I1418" s="143"/>
      <c r="J1418" s="143"/>
      <c r="K1418" s="143"/>
      <c r="L1418" s="143"/>
      <c r="M1418" s="143"/>
      <c r="N1418" s="80" t="s">
        <v>4178</v>
      </c>
      <c r="O1418" s="80" t="s">
        <v>4179</v>
      </c>
      <c r="P1418" s="80" t="s">
        <v>4180</v>
      </c>
      <c r="Y1418" s="2" t="s">
        <v>23</v>
      </c>
    </row>
    <row r="1419" ht="15.75" customHeight="1">
      <c r="B1419" s="48">
        <v>3.582977E7</v>
      </c>
      <c r="C1419" s="80" t="s">
        <v>4177</v>
      </c>
      <c r="D1419" s="140" t="s">
        <v>636</v>
      </c>
      <c r="E1419" s="80" t="s">
        <v>4129</v>
      </c>
      <c r="F1419" s="80">
        <v>76.07564</v>
      </c>
      <c r="G1419" s="142">
        <v>4.239</v>
      </c>
      <c r="H1419" s="143"/>
      <c r="I1419" s="143"/>
      <c r="J1419" s="143"/>
      <c r="K1419" s="143"/>
      <c r="L1419" s="143"/>
      <c r="M1419" s="143"/>
      <c r="N1419" s="80" t="s">
        <v>3385</v>
      </c>
      <c r="O1419" s="80" t="s">
        <v>4130</v>
      </c>
      <c r="P1419" s="80" t="s">
        <v>4131</v>
      </c>
      <c r="Y1419" s="2" t="s">
        <v>23</v>
      </c>
    </row>
    <row r="1420" ht="15.75" customHeight="1">
      <c r="B1420" s="48">
        <v>3.582977E7</v>
      </c>
      <c r="C1420" s="80" t="s">
        <v>4177</v>
      </c>
      <c r="D1420" s="140" t="s">
        <v>636</v>
      </c>
      <c r="E1420" s="80" t="s">
        <v>4049</v>
      </c>
      <c r="F1420" s="80">
        <v>86.09632</v>
      </c>
      <c r="G1420" s="142">
        <v>4.899</v>
      </c>
      <c r="H1420" s="143"/>
      <c r="I1420" s="143"/>
      <c r="J1420" s="143"/>
      <c r="K1420" s="143"/>
      <c r="L1420" s="143"/>
      <c r="M1420" s="143"/>
      <c r="N1420" s="80" t="s">
        <v>3045</v>
      </c>
      <c r="O1420" s="80" t="s">
        <v>4050</v>
      </c>
      <c r="P1420" s="80" t="s">
        <v>4051</v>
      </c>
      <c r="Y1420" s="2" t="s">
        <v>23</v>
      </c>
    </row>
    <row r="1421" ht="15.75" customHeight="1">
      <c r="B1421" s="48">
        <v>3.582977E7</v>
      </c>
      <c r="C1421" s="80" t="s">
        <v>4177</v>
      </c>
      <c r="D1421" s="140" t="s">
        <v>636</v>
      </c>
      <c r="E1421" s="80" t="s">
        <v>4099</v>
      </c>
      <c r="F1421" s="80">
        <v>100.11196</v>
      </c>
      <c r="G1421" s="142">
        <v>7.135</v>
      </c>
      <c r="H1421" s="143"/>
      <c r="I1421" s="143"/>
      <c r="J1421" s="143"/>
      <c r="K1421" s="143"/>
      <c r="L1421" s="143"/>
      <c r="M1421" s="143"/>
      <c r="N1421" s="80" t="s">
        <v>4100</v>
      </c>
      <c r="O1421" s="80" t="s">
        <v>4101</v>
      </c>
      <c r="P1421" s="80" t="s">
        <v>4102</v>
      </c>
      <c r="Y1421" s="2" t="s">
        <v>23</v>
      </c>
    </row>
    <row r="1422" ht="15.75" customHeight="1">
      <c r="B1422" s="48">
        <v>3.582977E7</v>
      </c>
      <c r="C1422" s="80" t="s">
        <v>4177</v>
      </c>
      <c r="D1422" s="140" t="s">
        <v>636</v>
      </c>
      <c r="E1422" s="80" t="s">
        <v>4181</v>
      </c>
      <c r="F1422" s="80">
        <v>102.1276</v>
      </c>
      <c r="G1422" s="142">
        <v>2.836</v>
      </c>
      <c r="H1422" s="143"/>
      <c r="I1422" s="143"/>
      <c r="J1422" s="143"/>
      <c r="K1422" s="143"/>
      <c r="L1422" s="143"/>
      <c r="M1422" s="143"/>
      <c r="N1422" s="80" t="s">
        <v>4182</v>
      </c>
      <c r="O1422" s="80" t="s">
        <v>4183</v>
      </c>
      <c r="P1422" s="80" t="s">
        <v>4184</v>
      </c>
      <c r="Y1422" s="2" t="s">
        <v>23</v>
      </c>
    </row>
    <row r="1423" ht="15.75" customHeight="1">
      <c r="B1423" s="48">
        <v>3.582977E7</v>
      </c>
      <c r="C1423" s="80" t="s">
        <v>4177</v>
      </c>
      <c r="D1423" s="140" t="s">
        <v>636</v>
      </c>
      <c r="E1423" s="80" t="s">
        <v>4159</v>
      </c>
      <c r="F1423" s="80">
        <v>104.10684</v>
      </c>
      <c r="G1423" s="142">
        <v>7.151</v>
      </c>
      <c r="H1423" s="143"/>
      <c r="I1423" s="143"/>
      <c r="J1423" s="143"/>
      <c r="K1423" s="143"/>
      <c r="L1423" s="143"/>
      <c r="M1423" s="143"/>
      <c r="N1423" s="80" t="s">
        <v>4160</v>
      </c>
      <c r="O1423" s="80" t="s">
        <v>1680</v>
      </c>
      <c r="P1423" s="80" t="s">
        <v>4161</v>
      </c>
      <c r="Y1423" s="2" t="s">
        <v>23</v>
      </c>
    </row>
    <row r="1424" ht="15.75" customHeight="1">
      <c r="B1424" s="48">
        <v>3.582977E7</v>
      </c>
      <c r="C1424" s="80" t="s">
        <v>4177</v>
      </c>
      <c r="D1424" s="140" t="s">
        <v>636</v>
      </c>
      <c r="E1424" s="80" t="s">
        <v>3550</v>
      </c>
      <c r="F1424" s="80">
        <v>106.04981</v>
      </c>
      <c r="G1424" s="142">
        <v>10.633</v>
      </c>
      <c r="H1424" s="143"/>
      <c r="I1424" s="143"/>
      <c r="J1424" s="143"/>
      <c r="K1424" s="143"/>
      <c r="L1424" s="143"/>
      <c r="M1424" s="143"/>
      <c r="N1424" s="80" t="s">
        <v>3190</v>
      </c>
      <c r="O1424" s="80" t="s">
        <v>3191</v>
      </c>
      <c r="P1424" s="80" t="s">
        <v>4185</v>
      </c>
      <c r="Y1424" s="2" t="s">
        <v>23</v>
      </c>
    </row>
    <row r="1425" ht="15.75" customHeight="1">
      <c r="B1425" s="48">
        <v>3.582977E7</v>
      </c>
      <c r="C1425" s="80" t="s">
        <v>4177</v>
      </c>
      <c r="D1425" s="140" t="s">
        <v>636</v>
      </c>
      <c r="E1425" s="80" t="s">
        <v>3526</v>
      </c>
      <c r="F1425" s="80">
        <v>114.066</v>
      </c>
      <c r="G1425" s="142">
        <v>3.588</v>
      </c>
      <c r="H1425" s="143"/>
      <c r="I1425" s="143"/>
      <c r="J1425" s="143"/>
      <c r="K1425" s="143"/>
      <c r="L1425" s="143"/>
      <c r="M1425" s="143"/>
      <c r="N1425" s="80" t="s">
        <v>638</v>
      </c>
      <c r="O1425" s="80" t="s">
        <v>3968</v>
      </c>
      <c r="P1425" s="80" t="s">
        <v>3969</v>
      </c>
      <c r="Y1425" s="2" t="s">
        <v>23</v>
      </c>
    </row>
    <row r="1426" ht="15.75" customHeight="1">
      <c r="B1426" s="48">
        <v>3.582977E7</v>
      </c>
      <c r="C1426" s="80" t="s">
        <v>4177</v>
      </c>
      <c r="D1426" s="140" t="s">
        <v>636</v>
      </c>
      <c r="E1426" s="80" t="s">
        <v>3526</v>
      </c>
      <c r="F1426" s="80">
        <v>114.06611</v>
      </c>
      <c r="G1426" s="142">
        <v>9.234</v>
      </c>
      <c r="H1426" s="143"/>
      <c r="I1426" s="143"/>
      <c r="J1426" s="143"/>
      <c r="K1426" s="143"/>
      <c r="L1426" s="143"/>
      <c r="M1426" s="143"/>
      <c r="N1426" s="80" t="s">
        <v>638</v>
      </c>
      <c r="O1426" s="80" t="s">
        <v>3968</v>
      </c>
      <c r="P1426" s="80" t="s">
        <v>3969</v>
      </c>
      <c r="Y1426" s="2" t="s">
        <v>23</v>
      </c>
    </row>
    <row r="1427" ht="15.75" customHeight="1">
      <c r="B1427" s="48">
        <v>3.582977E7</v>
      </c>
      <c r="C1427" s="80" t="s">
        <v>4177</v>
      </c>
      <c r="D1427" s="140" t="s">
        <v>636</v>
      </c>
      <c r="E1427" s="80" t="s">
        <v>219</v>
      </c>
      <c r="F1427" s="80">
        <v>116.07042</v>
      </c>
      <c r="G1427" s="142">
        <v>10.658</v>
      </c>
      <c r="H1427" s="143"/>
      <c r="I1427" s="143"/>
      <c r="J1427" s="143"/>
      <c r="K1427" s="143"/>
      <c r="L1427" s="143"/>
      <c r="M1427" s="143"/>
      <c r="N1427" s="80" t="s">
        <v>3058</v>
      </c>
      <c r="O1427" s="80" t="s">
        <v>3966</v>
      </c>
      <c r="P1427" s="80" t="s">
        <v>3967</v>
      </c>
      <c r="Y1427" s="2" t="s">
        <v>23</v>
      </c>
    </row>
    <row r="1428" ht="15.75" customHeight="1">
      <c r="B1428" s="48">
        <v>3.582977E7</v>
      </c>
      <c r="C1428" s="80" t="s">
        <v>4177</v>
      </c>
      <c r="D1428" s="140" t="s">
        <v>636</v>
      </c>
      <c r="E1428" s="80" t="s">
        <v>219</v>
      </c>
      <c r="F1428" s="80">
        <v>116.0705</v>
      </c>
      <c r="G1428" s="142">
        <v>12.985</v>
      </c>
      <c r="H1428" s="143"/>
      <c r="I1428" s="143"/>
      <c r="J1428" s="143"/>
      <c r="K1428" s="143"/>
      <c r="L1428" s="143"/>
      <c r="M1428" s="143"/>
      <c r="N1428" s="80" t="s">
        <v>3058</v>
      </c>
      <c r="O1428" s="80" t="s">
        <v>3059</v>
      </c>
      <c r="P1428" s="80" t="s">
        <v>3967</v>
      </c>
      <c r="Y1428" s="2" t="s">
        <v>23</v>
      </c>
    </row>
    <row r="1429" ht="15.75" customHeight="1">
      <c r="B1429" s="48">
        <v>3.582977E7</v>
      </c>
      <c r="C1429" s="80" t="s">
        <v>4177</v>
      </c>
      <c r="D1429" s="140" t="s">
        <v>636</v>
      </c>
      <c r="E1429" s="80" t="s">
        <v>219</v>
      </c>
      <c r="F1429" s="80">
        <v>116.07054</v>
      </c>
      <c r="G1429" s="142">
        <v>6.771</v>
      </c>
      <c r="H1429" s="143"/>
      <c r="I1429" s="143"/>
      <c r="J1429" s="143"/>
      <c r="K1429" s="143"/>
      <c r="L1429" s="143"/>
      <c r="M1429" s="143"/>
      <c r="N1429" s="80" t="s">
        <v>3058</v>
      </c>
      <c r="O1429" s="80" t="s">
        <v>3059</v>
      </c>
      <c r="P1429" s="80" t="s">
        <v>3967</v>
      </c>
      <c r="Y1429" s="2" t="s">
        <v>23</v>
      </c>
    </row>
    <row r="1430" ht="15.75" customHeight="1">
      <c r="B1430" s="48">
        <v>3.582977E7</v>
      </c>
      <c r="C1430" s="80" t="s">
        <v>4177</v>
      </c>
      <c r="D1430" s="140" t="s">
        <v>636</v>
      </c>
      <c r="E1430" s="80" t="s">
        <v>3561</v>
      </c>
      <c r="F1430" s="80">
        <v>118.08602</v>
      </c>
      <c r="G1430" s="142">
        <v>6.873</v>
      </c>
      <c r="H1430" s="143"/>
      <c r="I1430" s="143"/>
      <c r="J1430" s="143"/>
      <c r="K1430" s="143"/>
      <c r="L1430" s="143"/>
      <c r="M1430" s="143"/>
      <c r="N1430" s="80" t="s">
        <v>1324</v>
      </c>
      <c r="O1430" s="80" t="s">
        <v>4186</v>
      </c>
      <c r="P1430" s="80" t="s">
        <v>4187</v>
      </c>
      <c r="Y1430" s="2" t="s">
        <v>23</v>
      </c>
    </row>
    <row r="1431" ht="15.75" customHeight="1">
      <c r="B1431" s="48">
        <v>3.582977E7</v>
      </c>
      <c r="C1431" s="80" t="s">
        <v>4177</v>
      </c>
      <c r="D1431" s="140" t="s">
        <v>636</v>
      </c>
      <c r="E1431" s="80" t="s">
        <v>3960</v>
      </c>
      <c r="F1431" s="80">
        <v>118.0861</v>
      </c>
      <c r="G1431" s="142">
        <v>4.814</v>
      </c>
      <c r="H1431" s="143"/>
      <c r="I1431" s="143"/>
      <c r="J1431" s="143"/>
      <c r="K1431" s="143"/>
      <c r="L1431" s="143"/>
      <c r="M1431" s="143"/>
      <c r="N1431" s="80" t="s">
        <v>1324</v>
      </c>
      <c r="O1431" s="80" t="s">
        <v>4188</v>
      </c>
      <c r="P1431" s="80" t="s">
        <v>3926</v>
      </c>
      <c r="Y1431" s="2" t="s">
        <v>23</v>
      </c>
    </row>
    <row r="1432" ht="15.75" customHeight="1">
      <c r="B1432" s="48">
        <v>3.582977E7</v>
      </c>
      <c r="C1432" s="80" t="s">
        <v>4177</v>
      </c>
      <c r="D1432" s="140" t="s">
        <v>636</v>
      </c>
      <c r="E1432" s="80" t="s">
        <v>3925</v>
      </c>
      <c r="F1432" s="80">
        <v>118.08611</v>
      </c>
      <c r="G1432" s="142">
        <v>4.358</v>
      </c>
      <c r="H1432" s="143"/>
      <c r="I1432" s="143"/>
      <c r="J1432" s="143"/>
      <c r="K1432" s="143"/>
      <c r="L1432" s="143"/>
      <c r="M1432" s="143"/>
      <c r="N1432" s="80" t="s">
        <v>1324</v>
      </c>
      <c r="O1432" s="80" t="s">
        <v>1573</v>
      </c>
      <c r="P1432" s="80" t="s">
        <v>3926</v>
      </c>
      <c r="Y1432" s="2" t="s">
        <v>23</v>
      </c>
    </row>
    <row r="1433" ht="15.75" customHeight="1">
      <c r="B1433" s="48">
        <v>3.582977E7</v>
      </c>
      <c r="C1433" s="80" t="s">
        <v>4177</v>
      </c>
      <c r="D1433" s="140" t="s">
        <v>636</v>
      </c>
      <c r="E1433" s="80" t="s">
        <v>3554</v>
      </c>
      <c r="F1433" s="80">
        <v>120.06536</v>
      </c>
      <c r="G1433" s="142">
        <v>6.706</v>
      </c>
      <c r="H1433" s="143"/>
      <c r="I1433" s="143"/>
      <c r="J1433" s="143"/>
      <c r="K1433" s="143"/>
      <c r="L1433" s="143"/>
      <c r="M1433" s="143"/>
      <c r="N1433" s="80" t="s">
        <v>1017</v>
      </c>
      <c r="O1433" s="80" t="s">
        <v>4189</v>
      </c>
      <c r="P1433" s="80" t="s">
        <v>4190</v>
      </c>
      <c r="Y1433" s="2" t="s">
        <v>23</v>
      </c>
    </row>
    <row r="1434" ht="15.75" customHeight="1">
      <c r="B1434" s="48">
        <v>3.582977E7</v>
      </c>
      <c r="C1434" s="80" t="s">
        <v>4177</v>
      </c>
      <c r="D1434" s="140" t="s">
        <v>636</v>
      </c>
      <c r="E1434" s="80" t="s">
        <v>3554</v>
      </c>
      <c r="F1434" s="80">
        <v>120.06546</v>
      </c>
      <c r="G1434" s="142">
        <v>9.587</v>
      </c>
      <c r="H1434" s="143"/>
      <c r="I1434" s="143"/>
      <c r="J1434" s="143"/>
      <c r="K1434" s="143"/>
      <c r="L1434" s="143"/>
      <c r="M1434" s="143"/>
      <c r="N1434" s="80" t="s">
        <v>1017</v>
      </c>
      <c r="O1434" s="80" t="s">
        <v>4191</v>
      </c>
      <c r="P1434" s="80" t="s">
        <v>4190</v>
      </c>
      <c r="Y1434" s="2" t="s">
        <v>23</v>
      </c>
    </row>
    <row r="1435" ht="15.75" customHeight="1">
      <c r="B1435" s="48">
        <v>3.582977E7</v>
      </c>
      <c r="C1435" s="80" t="s">
        <v>4177</v>
      </c>
      <c r="D1435" s="140" t="s">
        <v>636</v>
      </c>
      <c r="E1435" s="80" t="s">
        <v>4192</v>
      </c>
      <c r="F1435" s="80">
        <v>122.09627</v>
      </c>
      <c r="G1435" s="142">
        <v>1.776</v>
      </c>
      <c r="H1435" s="143"/>
      <c r="I1435" s="143"/>
      <c r="J1435" s="143"/>
      <c r="K1435" s="143"/>
      <c r="L1435" s="143"/>
      <c r="M1435" s="143"/>
      <c r="N1435" s="80" t="s">
        <v>2954</v>
      </c>
      <c r="O1435" s="80" t="s">
        <v>4193</v>
      </c>
      <c r="P1435" s="80" t="s">
        <v>4194</v>
      </c>
      <c r="Y1435" s="2" t="s">
        <v>23</v>
      </c>
    </row>
    <row r="1436" ht="15.75" customHeight="1">
      <c r="B1436" s="48">
        <v>3.582977E7</v>
      </c>
      <c r="C1436" s="80" t="s">
        <v>4177</v>
      </c>
      <c r="D1436" s="140" t="s">
        <v>636</v>
      </c>
      <c r="E1436" s="80" t="s">
        <v>4195</v>
      </c>
      <c r="F1436" s="80">
        <v>123.05512</v>
      </c>
      <c r="G1436" s="142">
        <v>2.504</v>
      </c>
      <c r="H1436" s="143"/>
      <c r="I1436" s="143"/>
      <c r="J1436" s="143"/>
      <c r="K1436" s="143"/>
      <c r="L1436" s="143"/>
      <c r="M1436" s="143"/>
      <c r="N1436" s="80" t="s">
        <v>2732</v>
      </c>
      <c r="O1436" s="80" t="s">
        <v>4196</v>
      </c>
      <c r="P1436" s="80" t="s">
        <v>4197</v>
      </c>
      <c r="Y1436" s="2" t="s">
        <v>23</v>
      </c>
    </row>
    <row r="1437" ht="15.75" customHeight="1">
      <c r="B1437" s="48">
        <v>3.582977E7</v>
      </c>
      <c r="C1437" s="80" t="s">
        <v>4177</v>
      </c>
      <c r="D1437" s="140" t="s">
        <v>636</v>
      </c>
      <c r="E1437" s="80" t="s">
        <v>380</v>
      </c>
      <c r="F1437" s="80">
        <v>126.02185</v>
      </c>
      <c r="G1437" s="142">
        <v>10.082</v>
      </c>
      <c r="H1437" s="143"/>
      <c r="I1437" s="143"/>
      <c r="J1437" s="143"/>
      <c r="K1437" s="143"/>
      <c r="L1437" s="143"/>
      <c r="M1437" s="143"/>
      <c r="N1437" s="80" t="s">
        <v>3300</v>
      </c>
      <c r="O1437" s="80" t="s">
        <v>4198</v>
      </c>
      <c r="P1437" s="80" t="s">
        <v>4199</v>
      </c>
      <c r="Y1437" s="2" t="s">
        <v>23</v>
      </c>
    </row>
    <row r="1438" ht="15.75" customHeight="1">
      <c r="B1438" s="48">
        <v>3.582977E7</v>
      </c>
      <c r="C1438" s="80" t="s">
        <v>4177</v>
      </c>
      <c r="D1438" s="140" t="s">
        <v>636</v>
      </c>
      <c r="E1438" s="80" t="s">
        <v>3912</v>
      </c>
      <c r="F1438" s="80">
        <v>130.04971</v>
      </c>
      <c r="G1438" s="142">
        <v>10.622</v>
      </c>
      <c r="H1438" s="143"/>
      <c r="I1438" s="143"/>
      <c r="J1438" s="143"/>
      <c r="K1438" s="143"/>
      <c r="L1438" s="143"/>
      <c r="M1438" s="143"/>
      <c r="N1438" s="80" t="s">
        <v>1358</v>
      </c>
      <c r="O1438" s="80" t="s">
        <v>3913</v>
      </c>
      <c r="P1438" s="80" t="s">
        <v>3914</v>
      </c>
      <c r="Y1438" s="2" t="s">
        <v>23</v>
      </c>
    </row>
    <row r="1439" ht="15.75" customHeight="1">
      <c r="B1439" s="48">
        <v>3.582977E7</v>
      </c>
      <c r="C1439" s="80" t="s">
        <v>4177</v>
      </c>
      <c r="D1439" s="140" t="s">
        <v>636</v>
      </c>
      <c r="E1439" s="80" t="s">
        <v>3912</v>
      </c>
      <c r="F1439" s="80">
        <v>130.04973</v>
      </c>
      <c r="G1439" s="142">
        <v>10.086</v>
      </c>
      <c r="H1439" s="143"/>
      <c r="I1439" s="143"/>
      <c r="J1439" s="143"/>
      <c r="K1439" s="143"/>
      <c r="L1439" s="143"/>
      <c r="M1439" s="143"/>
      <c r="N1439" s="80" t="s">
        <v>1358</v>
      </c>
      <c r="O1439" s="80" t="s">
        <v>3913</v>
      </c>
      <c r="P1439" s="80" t="s">
        <v>3914</v>
      </c>
      <c r="Y1439" s="2" t="s">
        <v>23</v>
      </c>
    </row>
    <row r="1440" ht="15.75" customHeight="1">
      <c r="B1440" s="48">
        <v>3.582977E7</v>
      </c>
      <c r="C1440" s="80" t="s">
        <v>4177</v>
      </c>
      <c r="D1440" s="140" t="s">
        <v>636</v>
      </c>
      <c r="E1440" s="80" t="s">
        <v>3912</v>
      </c>
      <c r="F1440" s="80">
        <v>130.04982</v>
      </c>
      <c r="G1440" s="142">
        <v>11.549</v>
      </c>
      <c r="H1440" s="143"/>
      <c r="I1440" s="143"/>
      <c r="J1440" s="143"/>
      <c r="K1440" s="143"/>
      <c r="L1440" s="143"/>
      <c r="M1440" s="143"/>
      <c r="N1440" s="80" t="s">
        <v>1358</v>
      </c>
      <c r="O1440" s="80" t="s">
        <v>3913</v>
      </c>
      <c r="P1440" s="80" t="s">
        <v>3914</v>
      </c>
      <c r="Y1440" s="2" t="s">
        <v>23</v>
      </c>
    </row>
    <row r="1441" ht="15.75" customHeight="1">
      <c r="B1441" s="48">
        <v>3.582977E7</v>
      </c>
      <c r="C1441" s="80" t="s">
        <v>4177</v>
      </c>
      <c r="D1441" s="140" t="s">
        <v>636</v>
      </c>
      <c r="E1441" s="80" t="s">
        <v>321</v>
      </c>
      <c r="F1441" s="80">
        <v>130.08617</v>
      </c>
      <c r="G1441" s="142">
        <v>4.475</v>
      </c>
      <c r="H1441" s="143"/>
      <c r="I1441" s="143"/>
      <c r="J1441" s="143"/>
      <c r="K1441" s="143"/>
      <c r="L1441" s="143"/>
      <c r="M1441" s="143"/>
      <c r="N1441" s="80" t="s">
        <v>2777</v>
      </c>
      <c r="O1441" s="80" t="s">
        <v>3918</v>
      </c>
      <c r="P1441" s="80" t="s">
        <v>3919</v>
      </c>
      <c r="Y1441" s="2" t="s">
        <v>23</v>
      </c>
    </row>
    <row r="1442" ht="15.75" customHeight="1">
      <c r="B1442" s="48">
        <v>3.582977E7</v>
      </c>
      <c r="C1442" s="80" t="s">
        <v>4177</v>
      </c>
      <c r="D1442" s="140" t="s">
        <v>636</v>
      </c>
      <c r="E1442" s="80" t="s">
        <v>321</v>
      </c>
      <c r="F1442" s="80">
        <v>130.08629</v>
      </c>
      <c r="G1442" s="142">
        <v>12.926</v>
      </c>
      <c r="H1442" s="143"/>
      <c r="I1442" s="143"/>
      <c r="J1442" s="143"/>
      <c r="K1442" s="143"/>
      <c r="L1442" s="143"/>
      <c r="M1442" s="143"/>
      <c r="N1442" s="80" t="s">
        <v>2777</v>
      </c>
      <c r="O1442" s="80" t="s">
        <v>3918</v>
      </c>
      <c r="P1442" s="80" t="s">
        <v>3919</v>
      </c>
      <c r="Y1442" s="2" t="s">
        <v>23</v>
      </c>
    </row>
    <row r="1443" ht="15.75" customHeight="1">
      <c r="B1443" s="48">
        <v>3.582977E7</v>
      </c>
      <c r="C1443" s="80" t="s">
        <v>4177</v>
      </c>
      <c r="D1443" s="140" t="s">
        <v>636</v>
      </c>
      <c r="E1443" s="80" t="s">
        <v>3999</v>
      </c>
      <c r="F1443" s="80">
        <v>130.1086</v>
      </c>
      <c r="G1443" s="142">
        <v>7.289</v>
      </c>
      <c r="H1443" s="143"/>
      <c r="I1443" s="143"/>
      <c r="J1443" s="143"/>
      <c r="K1443" s="143"/>
      <c r="L1443" s="143"/>
      <c r="M1443" s="143"/>
      <c r="N1443" s="80" t="s">
        <v>4000</v>
      </c>
      <c r="O1443" s="80" t="s">
        <v>4001</v>
      </c>
      <c r="P1443" s="80" t="s">
        <v>4002</v>
      </c>
      <c r="Y1443" s="2" t="s">
        <v>23</v>
      </c>
    </row>
    <row r="1444" ht="15.75" customHeight="1">
      <c r="B1444" s="48">
        <v>3.582977E7</v>
      </c>
      <c r="C1444" s="80" t="s">
        <v>4177</v>
      </c>
      <c r="D1444" s="140" t="s">
        <v>636</v>
      </c>
      <c r="E1444" s="80" t="s">
        <v>4200</v>
      </c>
      <c r="F1444" s="80">
        <v>132.0766</v>
      </c>
      <c r="G1444" s="142">
        <v>9.207</v>
      </c>
      <c r="H1444" s="143"/>
      <c r="I1444" s="143"/>
      <c r="J1444" s="143"/>
      <c r="K1444" s="143"/>
      <c r="L1444" s="143"/>
      <c r="M1444" s="143"/>
      <c r="N1444" s="80" t="s">
        <v>1723</v>
      </c>
      <c r="O1444" s="80" t="s">
        <v>4201</v>
      </c>
      <c r="P1444" s="80" t="s">
        <v>3989</v>
      </c>
      <c r="Y1444" s="2" t="s">
        <v>23</v>
      </c>
    </row>
    <row r="1445" ht="15.75" customHeight="1">
      <c r="B1445" s="48">
        <v>3.582977E7</v>
      </c>
      <c r="C1445" s="80" t="s">
        <v>4177</v>
      </c>
      <c r="D1445" s="140" t="s">
        <v>636</v>
      </c>
      <c r="E1445" s="80" t="s">
        <v>3532</v>
      </c>
      <c r="F1445" s="80">
        <v>132.10173</v>
      </c>
      <c r="G1445" s="142">
        <v>4.898</v>
      </c>
      <c r="H1445" s="143"/>
      <c r="I1445" s="143"/>
      <c r="J1445" s="143"/>
      <c r="K1445" s="143"/>
      <c r="L1445" s="143"/>
      <c r="M1445" s="143"/>
      <c r="N1445" s="80" t="s">
        <v>2272</v>
      </c>
      <c r="O1445" s="80" t="s">
        <v>4202</v>
      </c>
      <c r="P1445" s="80" t="s">
        <v>4203</v>
      </c>
      <c r="Y1445" s="2" t="s">
        <v>23</v>
      </c>
    </row>
    <row r="1446" ht="15.75" customHeight="1">
      <c r="B1446" s="48">
        <v>3.582977E7</v>
      </c>
      <c r="C1446" s="80" t="s">
        <v>4177</v>
      </c>
      <c r="D1446" s="140" t="s">
        <v>636</v>
      </c>
      <c r="E1446" s="80" t="s">
        <v>3536</v>
      </c>
      <c r="F1446" s="80">
        <v>132.10178</v>
      </c>
      <c r="G1446" s="142">
        <v>4.838</v>
      </c>
      <c r="H1446" s="143"/>
      <c r="I1446" s="143"/>
      <c r="J1446" s="143"/>
      <c r="K1446" s="143"/>
      <c r="L1446" s="143"/>
      <c r="M1446" s="143"/>
      <c r="N1446" s="80" t="s">
        <v>2272</v>
      </c>
      <c r="O1446" s="80" t="s">
        <v>2331</v>
      </c>
      <c r="P1446" s="80" t="s">
        <v>3990</v>
      </c>
      <c r="Y1446" s="2" t="s">
        <v>23</v>
      </c>
    </row>
    <row r="1447" ht="15.75" customHeight="1">
      <c r="B1447" s="48">
        <v>3.582977E7</v>
      </c>
      <c r="C1447" s="80" t="s">
        <v>4177</v>
      </c>
      <c r="D1447" s="140" t="s">
        <v>636</v>
      </c>
      <c r="E1447" s="80" t="s">
        <v>453</v>
      </c>
      <c r="F1447" s="80">
        <v>133.09702</v>
      </c>
      <c r="G1447" s="142">
        <v>12.984</v>
      </c>
      <c r="H1447" s="143"/>
      <c r="I1447" s="143"/>
      <c r="J1447" s="143"/>
      <c r="K1447" s="143"/>
      <c r="L1447" s="143"/>
      <c r="M1447" s="143"/>
      <c r="N1447" s="80" t="s">
        <v>2881</v>
      </c>
      <c r="O1447" s="80" t="s">
        <v>4204</v>
      </c>
      <c r="P1447" s="80" t="s">
        <v>4205</v>
      </c>
      <c r="Y1447" s="2" t="s">
        <v>23</v>
      </c>
    </row>
    <row r="1448" ht="15.75" customHeight="1">
      <c r="B1448" s="48">
        <v>3.582977E7</v>
      </c>
      <c r="C1448" s="80" t="s">
        <v>4177</v>
      </c>
      <c r="D1448" s="140" t="s">
        <v>636</v>
      </c>
      <c r="E1448" s="80" t="s">
        <v>4206</v>
      </c>
      <c r="F1448" s="80">
        <v>136.07562</v>
      </c>
      <c r="G1448" s="142">
        <v>8.482</v>
      </c>
      <c r="H1448" s="143"/>
      <c r="I1448" s="143"/>
      <c r="J1448" s="143"/>
      <c r="K1448" s="143"/>
      <c r="L1448" s="143"/>
      <c r="M1448" s="143"/>
      <c r="N1448" s="80" t="s">
        <v>4207</v>
      </c>
      <c r="O1448" s="80" t="s">
        <v>4208</v>
      </c>
      <c r="P1448" s="80" t="s">
        <v>4209</v>
      </c>
      <c r="Y1448" s="2" t="s">
        <v>23</v>
      </c>
    </row>
    <row r="1449" ht="15.75" customHeight="1">
      <c r="B1449" s="48">
        <v>3.582977E7</v>
      </c>
      <c r="C1449" s="80" t="s">
        <v>4177</v>
      </c>
      <c r="D1449" s="140" t="s">
        <v>636</v>
      </c>
      <c r="E1449" s="80" t="s">
        <v>413</v>
      </c>
      <c r="F1449" s="80">
        <v>137.04568</v>
      </c>
      <c r="G1449" s="142">
        <v>4.085</v>
      </c>
      <c r="H1449" s="143"/>
      <c r="I1449" s="143"/>
      <c r="J1449" s="143"/>
      <c r="K1449" s="143"/>
      <c r="L1449" s="143"/>
      <c r="M1449" s="143"/>
      <c r="N1449" s="80" t="s">
        <v>2220</v>
      </c>
      <c r="O1449" s="80" t="s">
        <v>3929</v>
      </c>
      <c r="P1449" s="80" t="s">
        <v>3930</v>
      </c>
      <c r="Y1449" s="2" t="s">
        <v>23</v>
      </c>
    </row>
    <row r="1450" ht="15.75" customHeight="1">
      <c r="B1450" s="48">
        <v>3.582977E7</v>
      </c>
      <c r="C1450" s="80" t="s">
        <v>4177</v>
      </c>
      <c r="D1450" s="140" t="s">
        <v>636</v>
      </c>
      <c r="E1450" s="80" t="s">
        <v>4210</v>
      </c>
      <c r="F1450" s="80">
        <v>137.07089</v>
      </c>
      <c r="G1450" s="142">
        <v>7.306</v>
      </c>
      <c r="H1450" s="143"/>
      <c r="I1450" s="143"/>
      <c r="J1450" s="143"/>
      <c r="K1450" s="143"/>
      <c r="L1450" s="143"/>
      <c r="M1450" s="143"/>
      <c r="N1450" s="80" t="s">
        <v>4211</v>
      </c>
      <c r="O1450" s="80" t="s">
        <v>4212</v>
      </c>
      <c r="P1450" s="80" t="s">
        <v>4213</v>
      </c>
      <c r="Y1450" s="2" t="s">
        <v>23</v>
      </c>
    </row>
    <row r="1451" ht="15.75" customHeight="1">
      <c r="B1451" s="48">
        <v>3.582977E7</v>
      </c>
      <c r="C1451" s="80" t="s">
        <v>4177</v>
      </c>
      <c r="D1451" s="140" t="s">
        <v>636</v>
      </c>
      <c r="E1451" s="80" t="s">
        <v>257</v>
      </c>
      <c r="F1451" s="80">
        <v>138.05482</v>
      </c>
      <c r="G1451" s="142">
        <v>5.378</v>
      </c>
      <c r="H1451" s="143"/>
      <c r="I1451" s="143"/>
      <c r="J1451" s="143"/>
      <c r="K1451" s="143"/>
      <c r="L1451" s="143"/>
      <c r="M1451" s="143"/>
      <c r="N1451" s="80" t="s">
        <v>1498</v>
      </c>
      <c r="O1451" s="80" t="s">
        <v>3934</v>
      </c>
      <c r="P1451" s="80" t="s">
        <v>3935</v>
      </c>
      <c r="Y1451" s="2" t="s">
        <v>23</v>
      </c>
    </row>
    <row r="1452" ht="15.75" customHeight="1">
      <c r="B1452" s="48">
        <v>3.582977E7</v>
      </c>
      <c r="C1452" s="80" t="s">
        <v>4177</v>
      </c>
      <c r="D1452" s="140" t="s">
        <v>636</v>
      </c>
      <c r="E1452" s="80" t="s">
        <v>1572</v>
      </c>
      <c r="F1452" s="80">
        <v>140.06804</v>
      </c>
      <c r="G1452" s="142">
        <v>4.814</v>
      </c>
      <c r="H1452" s="143"/>
      <c r="I1452" s="143"/>
      <c r="J1452" s="143"/>
      <c r="K1452" s="143"/>
      <c r="L1452" s="143"/>
      <c r="M1452" s="143"/>
      <c r="N1452" s="80" t="s">
        <v>1324</v>
      </c>
      <c r="O1452" s="80" t="s">
        <v>3961</v>
      </c>
      <c r="P1452" s="80" t="s">
        <v>3926</v>
      </c>
      <c r="Y1452" s="2" t="s">
        <v>23</v>
      </c>
    </row>
    <row r="1453" ht="15.75" customHeight="1">
      <c r="B1453" s="48">
        <v>3.582977E7</v>
      </c>
      <c r="C1453" s="80" t="s">
        <v>4177</v>
      </c>
      <c r="D1453" s="140" t="s">
        <v>636</v>
      </c>
      <c r="E1453" s="80" t="s">
        <v>4214</v>
      </c>
      <c r="F1453" s="80">
        <v>143.08136</v>
      </c>
      <c r="G1453" s="142">
        <v>7.03</v>
      </c>
      <c r="H1453" s="143"/>
      <c r="I1453" s="143"/>
      <c r="J1453" s="143"/>
      <c r="K1453" s="143"/>
      <c r="L1453" s="143"/>
      <c r="M1453" s="143"/>
      <c r="N1453" s="80" t="s">
        <v>1876</v>
      </c>
      <c r="O1453" s="80" t="s">
        <v>4215</v>
      </c>
      <c r="P1453" s="80" t="s">
        <v>4216</v>
      </c>
      <c r="Y1453" s="2" t="s">
        <v>23</v>
      </c>
    </row>
    <row r="1454" ht="15.75" customHeight="1">
      <c r="B1454" s="48">
        <v>3.582977E7</v>
      </c>
      <c r="C1454" s="80" t="s">
        <v>4177</v>
      </c>
      <c r="D1454" s="140" t="s">
        <v>636</v>
      </c>
      <c r="E1454" s="80" t="s">
        <v>3943</v>
      </c>
      <c r="F1454" s="80">
        <v>144.10175</v>
      </c>
      <c r="G1454" s="142">
        <v>4.199</v>
      </c>
      <c r="H1454" s="143"/>
      <c r="I1454" s="143"/>
      <c r="J1454" s="143"/>
      <c r="K1454" s="143"/>
      <c r="L1454" s="143"/>
      <c r="M1454" s="143"/>
      <c r="N1454" s="80" t="s">
        <v>3257</v>
      </c>
      <c r="O1454" s="80" t="s">
        <v>3944</v>
      </c>
      <c r="P1454" s="80" t="s">
        <v>3945</v>
      </c>
      <c r="Y1454" s="2" t="s">
        <v>23</v>
      </c>
    </row>
    <row r="1455" ht="15.75" customHeight="1">
      <c r="B1455" s="48">
        <v>3.582977E7</v>
      </c>
      <c r="C1455" s="80" t="s">
        <v>4177</v>
      </c>
      <c r="D1455" s="140" t="s">
        <v>636</v>
      </c>
      <c r="E1455" s="80" t="s">
        <v>3943</v>
      </c>
      <c r="F1455" s="80">
        <v>144.10176</v>
      </c>
      <c r="G1455" s="142">
        <v>3.829</v>
      </c>
      <c r="H1455" s="143"/>
      <c r="I1455" s="143"/>
      <c r="J1455" s="143"/>
      <c r="K1455" s="143"/>
      <c r="L1455" s="143"/>
      <c r="M1455" s="143"/>
      <c r="N1455" s="80" t="s">
        <v>3257</v>
      </c>
      <c r="O1455" s="80" t="s">
        <v>3944</v>
      </c>
      <c r="P1455" s="80" t="s">
        <v>3945</v>
      </c>
      <c r="Y1455" s="2" t="s">
        <v>23</v>
      </c>
    </row>
    <row r="1456" ht="15.75" customHeight="1">
      <c r="B1456" s="48">
        <v>3.582977E7</v>
      </c>
      <c r="C1456" s="80" t="s">
        <v>4177</v>
      </c>
      <c r="D1456" s="140" t="s">
        <v>636</v>
      </c>
      <c r="E1456" s="80" t="s">
        <v>4217</v>
      </c>
      <c r="F1456" s="80">
        <v>146.08104</v>
      </c>
      <c r="G1456" s="142">
        <v>9.547</v>
      </c>
      <c r="H1456" s="143"/>
      <c r="I1456" s="143"/>
      <c r="J1456" s="143"/>
      <c r="K1456" s="143"/>
      <c r="L1456" s="143"/>
      <c r="M1456" s="143"/>
      <c r="N1456" s="80" t="s">
        <v>1235</v>
      </c>
      <c r="O1456" s="80" t="s">
        <v>4218</v>
      </c>
      <c r="P1456" s="80" t="s">
        <v>4219</v>
      </c>
      <c r="Y1456" s="2" t="s">
        <v>23</v>
      </c>
    </row>
    <row r="1457" ht="15.75" customHeight="1">
      <c r="B1457" s="48">
        <v>3.582977E7</v>
      </c>
      <c r="C1457" s="80" t="s">
        <v>4177</v>
      </c>
      <c r="D1457" s="140" t="s">
        <v>636</v>
      </c>
      <c r="E1457" s="80" t="s">
        <v>4220</v>
      </c>
      <c r="F1457" s="80">
        <v>146.11739</v>
      </c>
      <c r="G1457" s="142">
        <v>7.807</v>
      </c>
      <c r="H1457" s="143"/>
      <c r="I1457" s="143"/>
      <c r="J1457" s="143"/>
      <c r="K1457" s="143"/>
      <c r="L1457" s="143"/>
      <c r="M1457" s="143"/>
      <c r="N1457" s="80" t="s">
        <v>4221</v>
      </c>
      <c r="O1457" s="80" t="s">
        <v>4222</v>
      </c>
      <c r="P1457" s="80" t="s">
        <v>4223</v>
      </c>
      <c r="Y1457" s="2" t="s">
        <v>23</v>
      </c>
    </row>
    <row r="1458" ht="15.75" customHeight="1">
      <c r="B1458" s="48">
        <v>3.582977E7</v>
      </c>
      <c r="C1458" s="80" t="s">
        <v>4177</v>
      </c>
      <c r="D1458" s="140" t="s">
        <v>636</v>
      </c>
      <c r="E1458" s="80" t="s">
        <v>4224</v>
      </c>
      <c r="F1458" s="80">
        <v>146.11748</v>
      </c>
      <c r="G1458" s="142">
        <v>7.253</v>
      </c>
      <c r="H1458" s="143"/>
      <c r="I1458" s="143"/>
      <c r="J1458" s="143"/>
      <c r="K1458" s="143"/>
      <c r="L1458" s="143"/>
      <c r="M1458" s="143"/>
      <c r="N1458" s="80" t="s">
        <v>905</v>
      </c>
      <c r="O1458" s="80" t="s">
        <v>4225</v>
      </c>
      <c r="P1458" s="80" t="s">
        <v>4226</v>
      </c>
      <c r="Y1458" s="2" t="s">
        <v>23</v>
      </c>
    </row>
    <row r="1459" ht="15.75" customHeight="1">
      <c r="B1459" s="48">
        <v>3.582977E7</v>
      </c>
      <c r="C1459" s="80" t="s">
        <v>4177</v>
      </c>
      <c r="D1459" s="140" t="s">
        <v>636</v>
      </c>
      <c r="E1459" s="80" t="s">
        <v>4227</v>
      </c>
      <c r="F1459" s="80">
        <v>147.04393</v>
      </c>
      <c r="G1459" s="142">
        <v>8.487</v>
      </c>
      <c r="H1459" s="143"/>
      <c r="I1459" s="143"/>
      <c r="J1459" s="143"/>
      <c r="K1459" s="143"/>
      <c r="L1459" s="143"/>
      <c r="M1459" s="143"/>
      <c r="N1459" s="80" t="s">
        <v>4166</v>
      </c>
      <c r="O1459" s="80" t="s">
        <v>4228</v>
      </c>
      <c r="P1459" s="80" t="s">
        <v>4229</v>
      </c>
      <c r="Y1459" s="2" t="s">
        <v>23</v>
      </c>
    </row>
    <row r="1460" ht="15.75" customHeight="1">
      <c r="B1460" s="48">
        <v>3.582977E7</v>
      </c>
      <c r="C1460" s="80" t="s">
        <v>4177</v>
      </c>
      <c r="D1460" s="140" t="s">
        <v>636</v>
      </c>
      <c r="E1460" s="80" t="s">
        <v>386</v>
      </c>
      <c r="F1460" s="80">
        <v>147.07623</v>
      </c>
      <c r="G1460" s="142">
        <v>10.623</v>
      </c>
      <c r="H1460" s="143"/>
      <c r="I1460" s="143"/>
      <c r="J1460" s="143"/>
      <c r="K1460" s="143"/>
      <c r="L1460" s="143"/>
      <c r="M1460" s="143"/>
      <c r="N1460" s="80" t="s">
        <v>1211</v>
      </c>
      <c r="O1460" s="80" t="s">
        <v>3915</v>
      </c>
      <c r="P1460" s="80" t="s">
        <v>3916</v>
      </c>
      <c r="Y1460" s="2" t="s">
        <v>23</v>
      </c>
    </row>
    <row r="1461" ht="15.75" customHeight="1">
      <c r="B1461" s="48">
        <v>3.582977E7</v>
      </c>
      <c r="C1461" s="80" t="s">
        <v>4177</v>
      </c>
      <c r="D1461" s="140" t="s">
        <v>636</v>
      </c>
      <c r="E1461" s="80" t="s">
        <v>3538</v>
      </c>
      <c r="F1461" s="80">
        <v>147.11264</v>
      </c>
      <c r="G1461" s="142">
        <v>12.897</v>
      </c>
      <c r="H1461" s="143"/>
      <c r="I1461" s="143"/>
      <c r="J1461" s="143"/>
      <c r="K1461" s="143"/>
      <c r="L1461" s="143"/>
      <c r="M1461" s="143"/>
      <c r="N1461" s="80" t="s">
        <v>2388</v>
      </c>
      <c r="O1461" s="80" t="s">
        <v>2389</v>
      </c>
      <c r="P1461" s="80" t="s">
        <v>3917</v>
      </c>
      <c r="Y1461" s="2" t="s">
        <v>23</v>
      </c>
    </row>
    <row r="1462" ht="15.75" customHeight="1">
      <c r="B1462" s="48">
        <v>3.582977E7</v>
      </c>
      <c r="C1462" s="80" t="s">
        <v>4177</v>
      </c>
      <c r="D1462" s="140" t="s">
        <v>636</v>
      </c>
      <c r="E1462" s="80" t="s">
        <v>4230</v>
      </c>
      <c r="F1462" s="80">
        <v>148.06033</v>
      </c>
      <c r="G1462" s="142">
        <v>11.547</v>
      </c>
      <c r="H1462" s="143"/>
      <c r="I1462" s="143"/>
      <c r="J1462" s="143"/>
      <c r="K1462" s="143"/>
      <c r="L1462" s="143"/>
      <c r="M1462" s="143"/>
      <c r="N1462" s="80" t="s">
        <v>2032</v>
      </c>
      <c r="O1462" s="80" t="s">
        <v>4231</v>
      </c>
      <c r="P1462" s="80" t="s">
        <v>4232</v>
      </c>
      <c r="Y1462" s="2" t="s">
        <v>23</v>
      </c>
    </row>
    <row r="1463" ht="15.75" customHeight="1">
      <c r="B1463" s="48">
        <v>3.582977E7</v>
      </c>
      <c r="C1463" s="80" t="s">
        <v>4177</v>
      </c>
      <c r="D1463" s="140" t="s">
        <v>636</v>
      </c>
      <c r="E1463" s="80" t="s">
        <v>3541</v>
      </c>
      <c r="F1463" s="80">
        <v>150.05818</v>
      </c>
      <c r="G1463" s="142">
        <v>6.315</v>
      </c>
      <c r="H1463" s="143"/>
      <c r="I1463" s="143"/>
      <c r="J1463" s="143"/>
      <c r="K1463" s="143"/>
      <c r="L1463" s="143"/>
      <c r="M1463" s="143"/>
      <c r="N1463" s="80" t="s">
        <v>2444</v>
      </c>
      <c r="O1463" s="80" t="s">
        <v>2445</v>
      </c>
      <c r="P1463" s="80" t="s">
        <v>4003</v>
      </c>
      <c r="Y1463" s="2" t="s">
        <v>23</v>
      </c>
    </row>
    <row r="1464" ht="15.75" customHeight="1">
      <c r="B1464" s="48">
        <v>3.582977E7</v>
      </c>
      <c r="C1464" s="80" t="s">
        <v>4177</v>
      </c>
      <c r="D1464" s="140" t="s">
        <v>636</v>
      </c>
      <c r="E1464" s="80" t="s">
        <v>4027</v>
      </c>
      <c r="F1464" s="80">
        <v>150.1123</v>
      </c>
      <c r="G1464" s="142">
        <v>3.449</v>
      </c>
      <c r="H1464" s="143"/>
      <c r="I1464" s="143"/>
      <c r="J1464" s="143"/>
      <c r="K1464" s="143"/>
      <c r="L1464" s="143"/>
      <c r="M1464" s="143"/>
      <c r="N1464" s="80" t="s">
        <v>4028</v>
      </c>
      <c r="O1464" s="80" t="s">
        <v>4029</v>
      </c>
      <c r="P1464" s="80" t="s">
        <v>4030</v>
      </c>
      <c r="Y1464" s="2" t="s">
        <v>23</v>
      </c>
    </row>
    <row r="1465" ht="15.75" customHeight="1">
      <c r="B1465" s="48">
        <v>3.582977E7</v>
      </c>
      <c r="C1465" s="80" t="s">
        <v>4177</v>
      </c>
      <c r="D1465" s="140" t="s">
        <v>636</v>
      </c>
      <c r="E1465" s="80" t="s">
        <v>4139</v>
      </c>
      <c r="F1465" s="80">
        <v>152.14328</v>
      </c>
      <c r="G1465" s="142">
        <v>7.074</v>
      </c>
      <c r="H1465" s="143"/>
      <c r="I1465" s="143"/>
      <c r="J1465" s="143"/>
      <c r="K1465" s="143"/>
      <c r="L1465" s="143"/>
      <c r="M1465" s="143"/>
      <c r="N1465" s="80" t="s">
        <v>4140</v>
      </c>
      <c r="O1465" s="80" t="s">
        <v>4141</v>
      </c>
      <c r="P1465" s="80" t="s">
        <v>4142</v>
      </c>
      <c r="Y1465" s="2" t="s">
        <v>23</v>
      </c>
    </row>
    <row r="1466" ht="15.75" customHeight="1">
      <c r="B1466" s="48">
        <v>3.582977E7</v>
      </c>
      <c r="C1466" s="80" t="s">
        <v>4177</v>
      </c>
      <c r="D1466" s="140" t="s">
        <v>636</v>
      </c>
      <c r="E1466" s="80" t="s">
        <v>3531</v>
      </c>
      <c r="F1466" s="80">
        <v>156.07666</v>
      </c>
      <c r="G1466" s="142">
        <v>10.057</v>
      </c>
      <c r="H1466" s="143"/>
      <c r="I1466" s="143"/>
      <c r="J1466" s="143"/>
      <c r="K1466" s="143"/>
      <c r="L1466" s="143"/>
      <c r="M1466" s="143"/>
      <c r="N1466" s="80" t="s">
        <v>2182</v>
      </c>
      <c r="O1466" s="80" t="s">
        <v>4233</v>
      </c>
      <c r="P1466" s="80" t="s">
        <v>4234</v>
      </c>
      <c r="Y1466" s="2" t="s">
        <v>23</v>
      </c>
    </row>
    <row r="1467" ht="15.75" customHeight="1">
      <c r="B1467" s="48">
        <v>3.582977E7</v>
      </c>
      <c r="C1467" s="80" t="s">
        <v>4177</v>
      </c>
      <c r="D1467" s="140" t="s">
        <v>636</v>
      </c>
      <c r="E1467" s="80" t="s">
        <v>3956</v>
      </c>
      <c r="F1467" s="80">
        <v>158.11743</v>
      </c>
      <c r="G1467" s="142">
        <v>3.656</v>
      </c>
      <c r="H1467" s="143"/>
      <c r="I1467" s="143"/>
      <c r="J1467" s="143"/>
      <c r="K1467" s="143"/>
      <c r="L1467" s="143"/>
      <c r="M1467" s="143"/>
      <c r="N1467" s="80" t="s">
        <v>3957</v>
      </c>
      <c r="O1467" s="80" t="s">
        <v>3958</v>
      </c>
      <c r="P1467" s="80" t="s">
        <v>3959</v>
      </c>
      <c r="Y1467" s="2" t="s">
        <v>23</v>
      </c>
    </row>
    <row r="1468" ht="15.75" customHeight="1">
      <c r="B1468" s="48">
        <v>3.582977E7</v>
      </c>
      <c r="C1468" s="80" t="s">
        <v>4177</v>
      </c>
      <c r="D1468" s="140" t="s">
        <v>636</v>
      </c>
      <c r="E1468" s="80" t="s">
        <v>3983</v>
      </c>
      <c r="F1468" s="80">
        <v>160.13339</v>
      </c>
      <c r="G1468" s="142">
        <v>7.543</v>
      </c>
      <c r="H1468" s="143"/>
      <c r="I1468" s="143"/>
      <c r="J1468" s="143"/>
      <c r="K1468" s="143"/>
      <c r="L1468" s="143"/>
      <c r="M1468" s="143"/>
      <c r="N1468" s="80" t="s">
        <v>3984</v>
      </c>
      <c r="O1468" s="80" t="s">
        <v>3985</v>
      </c>
      <c r="P1468" s="80" t="s">
        <v>3986</v>
      </c>
      <c r="Y1468" s="2" t="s">
        <v>23</v>
      </c>
    </row>
    <row r="1469" ht="15.75" customHeight="1">
      <c r="B1469" s="48">
        <v>3.582977E7</v>
      </c>
      <c r="C1469" s="80" t="s">
        <v>4177</v>
      </c>
      <c r="D1469" s="140" t="s">
        <v>636</v>
      </c>
      <c r="E1469" s="80" t="s">
        <v>171</v>
      </c>
      <c r="F1469" s="80">
        <v>162.1123</v>
      </c>
      <c r="G1469" s="142">
        <v>7.683</v>
      </c>
      <c r="H1469" s="143"/>
      <c r="I1469" s="143"/>
      <c r="J1469" s="143"/>
      <c r="K1469" s="143"/>
      <c r="L1469" s="143"/>
      <c r="M1469" s="143"/>
      <c r="N1469" s="80" t="s">
        <v>1640</v>
      </c>
      <c r="O1469" s="80" t="s">
        <v>3977</v>
      </c>
      <c r="P1469" s="80" t="s">
        <v>3978</v>
      </c>
      <c r="Y1469" s="2" t="s">
        <v>23</v>
      </c>
    </row>
    <row r="1470" ht="15.75" customHeight="1">
      <c r="B1470" s="48">
        <v>3.582977E7</v>
      </c>
      <c r="C1470" s="80" t="s">
        <v>4177</v>
      </c>
      <c r="D1470" s="140" t="s">
        <v>636</v>
      </c>
      <c r="E1470" s="80" t="s">
        <v>4235</v>
      </c>
      <c r="F1470" s="80">
        <v>165.05452</v>
      </c>
      <c r="G1470" s="142">
        <v>8.485</v>
      </c>
      <c r="H1470" s="143"/>
      <c r="I1470" s="143"/>
      <c r="J1470" s="143"/>
      <c r="K1470" s="143"/>
      <c r="L1470" s="143"/>
      <c r="M1470" s="143"/>
      <c r="N1470" s="80" t="s">
        <v>1108</v>
      </c>
      <c r="O1470" s="80" t="s">
        <v>4236</v>
      </c>
      <c r="P1470" s="80" t="s">
        <v>4237</v>
      </c>
      <c r="Y1470" s="2" t="s">
        <v>23</v>
      </c>
    </row>
    <row r="1471" ht="15.75" customHeight="1">
      <c r="B1471" s="48">
        <v>3.582977E7</v>
      </c>
      <c r="C1471" s="80" t="s">
        <v>4177</v>
      </c>
      <c r="D1471" s="140" t="s">
        <v>636</v>
      </c>
      <c r="E1471" s="80" t="s">
        <v>140</v>
      </c>
      <c r="F1471" s="80">
        <v>166.08607</v>
      </c>
      <c r="G1471" s="142">
        <v>4.813</v>
      </c>
      <c r="H1471" s="143"/>
      <c r="I1471" s="143"/>
      <c r="J1471" s="143"/>
      <c r="K1471" s="143"/>
      <c r="L1471" s="143"/>
      <c r="M1471" s="143"/>
      <c r="N1471" s="80" t="s">
        <v>2983</v>
      </c>
      <c r="O1471" s="80" t="s">
        <v>4052</v>
      </c>
      <c r="P1471" s="80" t="s">
        <v>4053</v>
      </c>
      <c r="Y1471" s="2" t="s">
        <v>23</v>
      </c>
    </row>
    <row r="1472" ht="15.75" customHeight="1">
      <c r="B1472" s="48">
        <v>3.582977E7</v>
      </c>
      <c r="C1472" s="80" t="s">
        <v>4177</v>
      </c>
      <c r="D1472" s="140" t="s">
        <v>636</v>
      </c>
      <c r="E1472" s="80" t="s">
        <v>4238</v>
      </c>
      <c r="F1472" s="80">
        <v>170.09229</v>
      </c>
      <c r="G1472" s="142">
        <v>9.09</v>
      </c>
      <c r="H1472" s="143"/>
      <c r="I1472" s="143"/>
      <c r="J1472" s="143"/>
      <c r="K1472" s="143"/>
      <c r="L1472" s="143"/>
      <c r="M1472" s="143"/>
      <c r="N1472" s="80" t="s">
        <v>761</v>
      </c>
      <c r="O1472" s="80" t="s">
        <v>4239</v>
      </c>
      <c r="P1472" s="80" t="s">
        <v>4240</v>
      </c>
      <c r="Y1472" s="2" t="s">
        <v>23</v>
      </c>
    </row>
    <row r="1473" ht="15.75" customHeight="1">
      <c r="B1473" s="48">
        <v>3.582977E7</v>
      </c>
      <c r="C1473" s="80" t="s">
        <v>4177</v>
      </c>
      <c r="D1473" s="140" t="s">
        <v>636</v>
      </c>
      <c r="E1473" s="80" t="s">
        <v>4241</v>
      </c>
      <c r="F1473" s="80">
        <v>175.11877</v>
      </c>
      <c r="G1473" s="142">
        <v>12.984</v>
      </c>
      <c r="H1473" s="143"/>
      <c r="I1473" s="143"/>
      <c r="J1473" s="143"/>
      <c r="K1473" s="143"/>
      <c r="L1473" s="143"/>
      <c r="M1473" s="143"/>
      <c r="N1473" s="80" t="s">
        <v>1526</v>
      </c>
      <c r="O1473" s="80" t="s">
        <v>4242</v>
      </c>
      <c r="P1473" s="80" t="s">
        <v>4243</v>
      </c>
      <c r="Y1473" s="2" t="s">
        <v>23</v>
      </c>
    </row>
    <row r="1474" ht="15.75" customHeight="1">
      <c r="B1474" s="48">
        <v>3.582977E7</v>
      </c>
      <c r="C1474" s="80" t="s">
        <v>4177</v>
      </c>
      <c r="D1474" s="140" t="s">
        <v>636</v>
      </c>
      <c r="E1474" s="80" t="s">
        <v>4244</v>
      </c>
      <c r="F1474" s="80">
        <v>176.10284</v>
      </c>
      <c r="G1474" s="142">
        <v>10.659</v>
      </c>
      <c r="H1474" s="143"/>
      <c r="I1474" s="143"/>
      <c r="J1474" s="143"/>
      <c r="K1474" s="143"/>
      <c r="L1474" s="143"/>
      <c r="M1474" s="143"/>
      <c r="N1474" s="80" t="s">
        <v>1709</v>
      </c>
      <c r="O1474" s="80" t="s">
        <v>4245</v>
      </c>
      <c r="P1474" s="80" t="s">
        <v>4246</v>
      </c>
      <c r="Y1474" s="2" t="s">
        <v>23</v>
      </c>
    </row>
    <row r="1475" ht="15.75" customHeight="1">
      <c r="B1475" s="48">
        <v>3.582977E7</v>
      </c>
      <c r="C1475" s="80" t="s">
        <v>4177</v>
      </c>
      <c r="D1475" s="140" t="s">
        <v>636</v>
      </c>
      <c r="E1475" s="80" t="s">
        <v>3558</v>
      </c>
      <c r="F1475" s="80">
        <v>182.08109</v>
      </c>
      <c r="G1475" s="142">
        <v>8.492</v>
      </c>
      <c r="H1475" s="143"/>
      <c r="I1475" s="143"/>
      <c r="J1475" s="143"/>
      <c r="K1475" s="143"/>
      <c r="L1475" s="143"/>
      <c r="M1475" s="143"/>
      <c r="N1475" s="80" t="s">
        <v>2900</v>
      </c>
      <c r="O1475" s="80" t="s">
        <v>3997</v>
      </c>
      <c r="P1475" s="80" t="s">
        <v>3998</v>
      </c>
      <c r="Y1475" s="2" t="s">
        <v>23</v>
      </c>
    </row>
    <row r="1476" ht="15.75" customHeight="1">
      <c r="B1476" s="48">
        <v>3.582977E7</v>
      </c>
      <c r="C1476" s="80" t="s">
        <v>4177</v>
      </c>
      <c r="D1476" s="140" t="s">
        <v>636</v>
      </c>
      <c r="E1476" s="80" t="s">
        <v>4247</v>
      </c>
      <c r="F1476" s="80">
        <v>189.10211</v>
      </c>
      <c r="G1476" s="142">
        <v>1.785</v>
      </c>
      <c r="H1476" s="143"/>
      <c r="I1476" s="143"/>
      <c r="J1476" s="143"/>
      <c r="K1476" s="143"/>
      <c r="L1476" s="143"/>
      <c r="M1476" s="143"/>
      <c r="N1476" s="80" t="s">
        <v>4173</v>
      </c>
      <c r="O1476" s="80" t="s">
        <v>4248</v>
      </c>
      <c r="P1476" s="80" t="s">
        <v>4249</v>
      </c>
      <c r="Y1476" s="2" t="s">
        <v>23</v>
      </c>
    </row>
    <row r="1477" ht="15.75" customHeight="1">
      <c r="B1477" s="48">
        <v>3.582977E7</v>
      </c>
      <c r="C1477" s="80" t="s">
        <v>4177</v>
      </c>
      <c r="D1477" s="140" t="s">
        <v>636</v>
      </c>
      <c r="E1477" s="80" t="s">
        <v>3979</v>
      </c>
      <c r="F1477" s="80">
        <v>202.21645</v>
      </c>
      <c r="G1477" s="142">
        <v>2.152</v>
      </c>
      <c r="H1477" s="143"/>
      <c r="I1477" s="143"/>
      <c r="J1477" s="143"/>
      <c r="K1477" s="143"/>
      <c r="L1477" s="143"/>
      <c r="M1477" s="143"/>
      <c r="N1477" s="80" t="s">
        <v>3980</v>
      </c>
      <c r="O1477" s="80" t="s">
        <v>3981</v>
      </c>
      <c r="P1477" s="80" t="s">
        <v>3982</v>
      </c>
      <c r="Y1477" s="2" t="s">
        <v>23</v>
      </c>
    </row>
    <row r="1478" ht="15.75" customHeight="1">
      <c r="B1478" s="48">
        <v>3.582977E7</v>
      </c>
      <c r="C1478" s="80" t="s">
        <v>4177</v>
      </c>
      <c r="D1478" s="140" t="s">
        <v>636</v>
      </c>
      <c r="E1478" s="80" t="s">
        <v>4250</v>
      </c>
      <c r="F1478" s="80">
        <v>203.15005</v>
      </c>
      <c r="G1478" s="142">
        <v>10.074</v>
      </c>
      <c r="H1478" s="143"/>
      <c r="I1478" s="143"/>
      <c r="J1478" s="143"/>
      <c r="K1478" s="143"/>
      <c r="L1478" s="143"/>
      <c r="M1478" s="143"/>
      <c r="N1478" s="80" t="s">
        <v>4251</v>
      </c>
      <c r="O1478" s="80" t="s">
        <v>4252</v>
      </c>
      <c r="P1478" s="80" t="s">
        <v>4253</v>
      </c>
      <c r="Y1478" s="2" t="s">
        <v>23</v>
      </c>
    </row>
    <row r="1479" ht="15.75" customHeight="1">
      <c r="B1479" s="48">
        <v>3.582977E7</v>
      </c>
      <c r="C1479" s="80" t="s">
        <v>4177</v>
      </c>
      <c r="D1479" s="140" t="s">
        <v>636</v>
      </c>
      <c r="E1479" s="80" t="s">
        <v>4118</v>
      </c>
      <c r="F1479" s="80">
        <v>204.11296</v>
      </c>
      <c r="G1479" s="142">
        <v>1.811</v>
      </c>
      <c r="H1479" s="143"/>
      <c r="I1479" s="143"/>
      <c r="J1479" s="143"/>
      <c r="K1479" s="143"/>
      <c r="L1479" s="143"/>
      <c r="M1479" s="143"/>
      <c r="N1479" s="80" t="s">
        <v>4119</v>
      </c>
      <c r="O1479" s="80" t="s">
        <v>4120</v>
      </c>
      <c r="P1479" s="80" t="s">
        <v>4121</v>
      </c>
      <c r="Y1479" s="2" t="s">
        <v>23</v>
      </c>
    </row>
    <row r="1480" ht="15.75" customHeight="1">
      <c r="B1480" s="48">
        <v>3.582977E7</v>
      </c>
      <c r="C1480" s="80" t="s">
        <v>4177</v>
      </c>
      <c r="D1480" s="140" t="s">
        <v>636</v>
      </c>
      <c r="E1480" s="80" t="s">
        <v>3973</v>
      </c>
      <c r="F1480" s="80">
        <v>204.12283</v>
      </c>
      <c r="G1480" s="142">
        <v>4.51</v>
      </c>
      <c r="H1480" s="143"/>
      <c r="I1480" s="143"/>
      <c r="J1480" s="143"/>
      <c r="K1480" s="143"/>
      <c r="L1480" s="143"/>
      <c r="M1480" s="143"/>
      <c r="N1480" s="80" t="s">
        <v>3974</v>
      </c>
      <c r="O1480" s="80" t="s">
        <v>3975</v>
      </c>
      <c r="P1480" s="80" t="s">
        <v>3976</v>
      </c>
      <c r="Y1480" s="2" t="s">
        <v>23</v>
      </c>
    </row>
    <row r="1481" ht="15.75" customHeight="1">
      <c r="B1481" s="48">
        <v>3.582977E7</v>
      </c>
      <c r="C1481" s="80" t="s">
        <v>4177</v>
      </c>
      <c r="D1481" s="140" t="s">
        <v>636</v>
      </c>
      <c r="E1481" s="80" t="s">
        <v>4079</v>
      </c>
      <c r="F1481" s="80">
        <v>205.09702</v>
      </c>
      <c r="G1481" s="142">
        <v>6.223</v>
      </c>
      <c r="H1481" s="143"/>
      <c r="I1481" s="143"/>
      <c r="J1481" s="143"/>
      <c r="K1481" s="143"/>
      <c r="L1481" s="143"/>
      <c r="M1481" s="143"/>
      <c r="N1481" s="80" t="s">
        <v>3394</v>
      </c>
      <c r="O1481" s="80" t="s">
        <v>4080</v>
      </c>
      <c r="P1481" s="80" t="s">
        <v>4081</v>
      </c>
      <c r="Y1481" s="2" t="s">
        <v>23</v>
      </c>
    </row>
    <row r="1482" ht="15.75" customHeight="1">
      <c r="B1482" s="48">
        <v>3.582977E7</v>
      </c>
      <c r="C1482" s="80" t="s">
        <v>4177</v>
      </c>
      <c r="D1482" s="140" t="s">
        <v>636</v>
      </c>
      <c r="E1482" s="80" t="s">
        <v>4254</v>
      </c>
      <c r="F1482" s="80">
        <v>229.11803</v>
      </c>
      <c r="G1482" s="142">
        <v>9.131</v>
      </c>
      <c r="H1482" s="143"/>
      <c r="I1482" s="143"/>
      <c r="J1482" s="143"/>
      <c r="K1482" s="143"/>
      <c r="L1482" s="143"/>
      <c r="M1482" s="143"/>
      <c r="N1482" s="80" t="s">
        <v>3062</v>
      </c>
      <c r="O1482" s="80" t="s">
        <v>4255</v>
      </c>
      <c r="P1482" s="80" t="s">
        <v>4256</v>
      </c>
      <c r="Y1482" s="2" t="s">
        <v>23</v>
      </c>
    </row>
    <row r="1483" ht="15.75" customHeight="1">
      <c r="B1483" s="48">
        <v>3.582977E7</v>
      </c>
      <c r="C1483" s="80" t="s">
        <v>4177</v>
      </c>
      <c r="D1483" s="140" t="s">
        <v>636</v>
      </c>
      <c r="E1483" s="80" t="s">
        <v>4257</v>
      </c>
      <c r="F1483" s="80">
        <v>232.10764</v>
      </c>
      <c r="G1483" s="142">
        <v>1.842</v>
      </c>
      <c r="H1483" s="143"/>
      <c r="I1483" s="143"/>
      <c r="J1483" s="143"/>
      <c r="K1483" s="143"/>
      <c r="L1483" s="143"/>
      <c r="M1483" s="143"/>
      <c r="N1483" s="80" t="s">
        <v>4258</v>
      </c>
      <c r="O1483" s="80" t="s">
        <v>4259</v>
      </c>
      <c r="P1483" s="80" t="s">
        <v>4260</v>
      </c>
      <c r="Y1483" s="2" t="s">
        <v>23</v>
      </c>
    </row>
    <row r="1484" ht="15.75" customHeight="1">
      <c r="B1484" s="48">
        <v>3.582977E7</v>
      </c>
      <c r="C1484" s="80" t="s">
        <v>4177</v>
      </c>
      <c r="D1484" s="140" t="s">
        <v>636</v>
      </c>
      <c r="E1484" s="80" t="s">
        <v>4261</v>
      </c>
      <c r="F1484" s="80">
        <v>232.15411</v>
      </c>
      <c r="G1484" s="142">
        <v>2.075</v>
      </c>
      <c r="H1484" s="143"/>
      <c r="I1484" s="143"/>
      <c r="J1484" s="143"/>
      <c r="K1484" s="143"/>
      <c r="L1484" s="143"/>
      <c r="M1484" s="143"/>
      <c r="N1484" s="80" t="s">
        <v>4262</v>
      </c>
      <c r="O1484" s="80" t="s">
        <v>4263</v>
      </c>
      <c r="P1484" s="80" t="s">
        <v>4264</v>
      </c>
      <c r="Y1484" s="2" t="s">
        <v>23</v>
      </c>
    </row>
    <row r="1485" ht="15.75" customHeight="1">
      <c r="B1485" s="48">
        <v>3.582977E7</v>
      </c>
      <c r="C1485" s="80" t="s">
        <v>4177</v>
      </c>
      <c r="D1485" s="140" t="s">
        <v>636</v>
      </c>
      <c r="E1485" s="80" t="s">
        <v>4265</v>
      </c>
      <c r="F1485" s="80">
        <v>239.10574</v>
      </c>
      <c r="G1485" s="142">
        <v>8.297</v>
      </c>
      <c r="H1485" s="143"/>
      <c r="I1485" s="143"/>
      <c r="J1485" s="143"/>
      <c r="K1485" s="143"/>
      <c r="L1485" s="143"/>
      <c r="M1485" s="143"/>
      <c r="N1485" s="80" t="s">
        <v>4266</v>
      </c>
      <c r="O1485" s="80" t="s">
        <v>4267</v>
      </c>
      <c r="P1485" s="80" t="s">
        <v>4268</v>
      </c>
      <c r="Y1485" s="2" t="s">
        <v>23</v>
      </c>
    </row>
    <row r="1486" ht="15.75" customHeight="1">
      <c r="B1486" s="48">
        <v>3.582977E7</v>
      </c>
      <c r="C1486" s="80" t="s">
        <v>4177</v>
      </c>
      <c r="D1486" s="140" t="s">
        <v>636</v>
      </c>
      <c r="E1486" s="80" t="s">
        <v>4016</v>
      </c>
      <c r="F1486" s="80">
        <v>240.10149</v>
      </c>
      <c r="G1486" s="142">
        <v>2.9</v>
      </c>
      <c r="H1486" s="143"/>
      <c r="I1486" s="143"/>
      <c r="J1486" s="143"/>
      <c r="K1486" s="143"/>
      <c r="L1486" s="143"/>
      <c r="M1486" s="143"/>
      <c r="N1486" s="80" t="s">
        <v>4017</v>
      </c>
      <c r="O1486" s="80" t="s">
        <v>4018</v>
      </c>
      <c r="P1486" s="80" t="s">
        <v>4019</v>
      </c>
      <c r="Y1486" s="2" t="s">
        <v>23</v>
      </c>
    </row>
    <row r="1487" ht="15.75" customHeight="1">
      <c r="B1487" s="48">
        <v>3.582977E7</v>
      </c>
      <c r="C1487" s="80" t="s">
        <v>4177</v>
      </c>
      <c r="D1487" s="140" t="s">
        <v>636</v>
      </c>
      <c r="E1487" s="80" t="s">
        <v>3862</v>
      </c>
      <c r="F1487" s="80">
        <v>241.03069</v>
      </c>
      <c r="G1487" s="142">
        <v>12.119</v>
      </c>
      <c r="H1487" s="143"/>
      <c r="I1487" s="143"/>
      <c r="J1487" s="143"/>
      <c r="K1487" s="143"/>
      <c r="L1487" s="143"/>
      <c r="M1487" s="143"/>
      <c r="N1487" s="80" t="s">
        <v>1747</v>
      </c>
      <c r="O1487" s="80" t="s">
        <v>1748</v>
      </c>
      <c r="P1487" s="80" t="s">
        <v>4269</v>
      </c>
      <c r="Y1487" s="2" t="s">
        <v>23</v>
      </c>
    </row>
    <row r="1488" ht="15.75" customHeight="1">
      <c r="B1488" s="48">
        <v>3.582977E7</v>
      </c>
      <c r="C1488" s="80" t="s">
        <v>4177</v>
      </c>
      <c r="D1488" s="140" t="s">
        <v>636</v>
      </c>
      <c r="E1488" s="80" t="s">
        <v>4058</v>
      </c>
      <c r="F1488" s="80">
        <v>246.12318</v>
      </c>
      <c r="G1488" s="142">
        <v>1.818</v>
      </c>
      <c r="H1488" s="143"/>
      <c r="I1488" s="143"/>
      <c r="J1488" s="143"/>
      <c r="K1488" s="143"/>
      <c r="L1488" s="143"/>
      <c r="M1488" s="143"/>
      <c r="N1488" s="80" t="s">
        <v>4059</v>
      </c>
      <c r="O1488" s="80" t="s">
        <v>4060</v>
      </c>
      <c r="P1488" s="80" t="s">
        <v>4061</v>
      </c>
      <c r="Y1488" s="2" t="s">
        <v>23</v>
      </c>
    </row>
    <row r="1489" ht="15.75" customHeight="1">
      <c r="B1489" s="48">
        <v>3.582977E7</v>
      </c>
      <c r="C1489" s="80" t="s">
        <v>4177</v>
      </c>
      <c r="D1489" s="140" t="s">
        <v>636</v>
      </c>
      <c r="E1489" s="80" t="s">
        <v>4270</v>
      </c>
      <c r="F1489" s="80">
        <v>247.14366</v>
      </c>
      <c r="G1489" s="142">
        <v>3.033</v>
      </c>
      <c r="H1489" s="143"/>
      <c r="I1489" s="143"/>
      <c r="J1489" s="143"/>
      <c r="K1489" s="143"/>
      <c r="L1489" s="143"/>
      <c r="M1489" s="143"/>
      <c r="N1489" s="80" t="s">
        <v>3398</v>
      </c>
      <c r="O1489" s="80" t="s">
        <v>4037</v>
      </c>
      <c r="P1489" s="80" t="s">
        <v>4038</v>
      </c>
      <c r="Y1489" s="2" t="s">
        <v>23</v>
      </c>
    </row>
    <row r="1490" ht="15.75" customHeight="1">
      <c r="B1490" s="48">
        <v>3.582977E7</v>
      </c>
      <c r="C1490" s="80" t="s">
        <v>4177</v>
      </c>
      <c r="D1490" s="140" t="s">
        <v>636</v>
      </c>
      <c r="E1490" s="80" t="s">
        <v>4271</v>
      </c>
      <c r="F1490" s="80">
        <v>258.10941</v>
      </c>
      <c r="G1490" s="142">
        <v>9.025</v>
      </c>
      <c r="H1490" s="143"/>
      <c r="I1490" s="143"/>
      <c r="J1490" s="143"/>
      <c r="K1490" s="143"/>
      <c r="L1490" s="143"/>
      <c r="M1490" s="143"/>
      <c r="N1490" s="80" t="s">
        <v>4272</v>
      </c>
      <c r="O1490" s="80" t="s">
        <v>4273</v>
      </c>
      <c r="P1490" s="80" t="s">
        <v>4274</v>
      </c>
      <c r="Y1490" s="2" t="s">
        <v>23</v>
      </c>
    </row>
    <row r="1491" ht="15.75" customHeight="1">
      <c r="B1491" s="48">
        <v>3.582977E7</v>
      </c>
      <c r="C1491" s="80" t="s">
        <v>4177</v>
      </c>
      <c r="D1491" s="140" t="s">
        <v>636</v>
      </c>
      <c r="E1491" s="80" t="s">
        <v>4271</v>
      </c>
      <c r="F1491" s="80">
        <v>258.10944</v>
      </c>
      <c r="G1491" s="142">
        <v>9.264</v>
      </c>
      <c r="H1491" s="143"/>
      <c r="I1491" s="143"/>
      <c r="J1491" s="143"/>
      <c r="K1491" s="143"/>
      <c r="L1491" s="143"/>
      <c r="M1491" s="143"/>
      <c r="N1491" s="80" t="s">
        <v>4272</v>
      </c>
      <c r="O1491" s="80" t="s">
        <v>4273</v>
      </c>
      <c r="P1491" s="80" t="s">
        <v>4274</v>
      </c>
      <c r="Y1491" s="2" t="s">
        <v>23</v>
      </c>
    </row>
    <row r="1492" ht="15.75" customHeight="1">
      <c r="B1492" s="48">
        <v>3.582977E7</v>
      </c>
      <c r="C1492" s="80" t="s">
        <v>4177</v>
      </c>
      <c r="D1492" s="140" t="s">
        <v>636</v>
      </c>
      <c r="E1492" s="80" t="s">
        <v>4006</v>
      </c>
      <c r="F1492" s="80">
        <v>268.10495</v>
      </c>
      <c r="G1492" s="142">
        <v>1.83</v>
      </c>
      <c r="H1492" s="143"/>
      <c r="I1492" s="143"/>
      <c r="J1492" s="143"/>
      <c r="K1492" s="143"/>
      <c r="L1492" s="143"/>
      <c r="M1492" s="143"/>
      <c r="N1492" s="80" t="s">
        <v>933</v>
      </c>
      <c r="O1492" s="80" t="s">
        <v>4007</v>
      </c>
      <c r="P1492" s="80" t="s">
        <v>4008</v>
      </c>
      <c r="Y1492" s="2" t="s">
        <v>23</v>
      </c>
    </row>
    <row r="1493" ht="15.75" customHeight="1">
      <c r="B1493" s="48">
        <v>3.582977E7</v>
      </c>
      <c r="C1493" s="80" t="s">
        <v>4177</v>
      </c>
      <c r="D1493" s="140" t="s">
        <v>636</v>
      </c>
      <c r="E1493" s="80" t="s">
        <v>4275</v>
      </c>
      <c r="F1493" s="80">
        <v>282.11908</v>
      </c>
      <c r="G1493" s="142">
        <v>7.074</v>
      </c>
      <c r="H1493" s="143"/>
      <c r="I1493" s="143"/>
      <c r="J1493" s="143"/>
      <c r="K1493" s="143"/>
      <c r="L1493" s="143"/>
      <c r="M1493" s="143"/>
      <c r="N1493" s="80" t="s">
        <v>4276</v>
      </c>
      <c r="O1493" s="80" t="s">
        <v>4277</v>
      </c>
      <c r="P1493" s="80" t="s">
        <v>4278</v>
      </c>
      <c r="Y1493" s="2" t="s">
        <v>23</v>
      </c>
    </row>
    <row r="1494" ht="15.75" customHeight="1">
      <c r="B1494" s="48">
        <v>3.582977E7</v>
      </c>
      <c r="C1494" s="80" t="s">
        <v>4177</v>
      </c>
      <c r="D1494" s="140" t="s">
        <v>636</v>
      </c>
      <c r="E1494" s="80" t="s">
        <v>4279</v>
      </c>
      <c r="F1494" s="80">
        <v>286.14325</v>
      </c>
      <c r="G1494" s="142">
        <v>1.677</v>
      </c>
      <c r="H1494" s="143"/>
      <c r="I1494" s="143"/>
      <c r="J1494" s="143"/>
      <c r="K1494" s="143"/>
      <c r="L1494" s="143"/>
      <c r="M1494" s="143"/>
      <c r="N1494" s="80" t="s">
        <v>4083</v>
      </c>
      <c r="O1494" s="80" t="s">
        <v>4084</v>
      </c>
      <c r="P1494" s="80" t="s">
        <v>4085</v>
      </c>
      <c r="Y1494" s="2" t="s">
        <v>23</v>
      </c>
    </row>
    <row r="1495" ht="15.75" customHeight="1">
      <c r="B1495" s="48">
        <v>3.582977E7</v>
      </c>
      <c r="C1495" s="80" t="s">
        <v>4177</v>
      </c>
      <c r="D1495" s="140" t="s">
        <v>636</v>
      </c>
      <c r="E1495" s="80" t="s">
        <v>4280</v>
      </c>
      <c r="F1495" s="80">
        <v>287.05457</v>
      </c>
      <c r="G1495" s="142">
        <v>11.8</v>
      </c>
      <c r="H1495" s="143"/>
      <c r="I1495" s="143"/>
      <c r="J1495" s="143"/>
      <c r="K1495" s="143"/>
      <c r="L1495" s="143"/>
      <c r="M1495" s="143"/>
      <c r="N1495" s="80" t="s">
        <v>4281</v>
      </c>
      <c r="O1495" s="80" t="s">
        <v>4282</v>
      </c>
      <c r="P1495" s="80" t="s">
        <v>4283</v>
      </c>
      <c r="Y1495" s="2" t="s">
        <v>23</v>
      </c>
    </row>
    <row r="1496" ht="15.75" customHeight="1">
      <c r="B1496" s="48">
        <v>3.582977E7</v>
      </c>
      <c r="C1496" s="80" t="s">
        <v>4177</v>
      </c>
      <c r="D1496" s="140" t="s">
        <v>636</v>
      </c>
      <c r="E1496" s="80" t="s">
        <v>4114</v>
      </c>
      <c r="F1496" s="80">
        <v>307.11066</v>
      </c>
      <c r="G1496" s="142">
        <v>1.741</v>
      </c>
      <c r="H1496" s="143"/>
      <c r="I1496" s="143"/>
      <c r="J1496" s="143"/>
      <c r="K1496" s="143"/>
      <c r="L1496" s="143"/>
      <c r="M1496" s="143"/>
      <c r="N1496" s="80" t="s">
        <v>4115</v>
      </c>
      <c r="O1496" s="80" t="s">
        <v>4116</v>
      </c>
      <c r="P1496" s="80" t="s">
        <v>4117</v>
      </c>
      <c r="Y1496" s="2" t="s">
        <v>23</v>
      </c>
    </row>
    <row r="1497" ht="15.75" customHeight="1">
      <c r="B1497" s="48">
        <v>3.582977E7</v>
      </c>
      <c r="C1497" s="80" t="s">
        <v>4177</v>
      </c>
      <c r="D1497" s="140" t="s">
        <v>636</v>
      </c>
      <c r="E1497" s="80" t="s">
        <v>4284</v>
      </c>
      <c r="F1497" s="80">
        <v>316.24765</v>
      </c>
      <c r="G1497" s="142">
        <v>1.8</v>
      </c>
      <c r="H1497" s="143"/>
      <c r="I1497" s="143"/>
      <c r="J1497" s="143"/>
      <c r="K1497" s="143"/>
      <c r="L1497" s="143"/>
      <c r="M1497" s="143"/>
      <c r="N1497" s="80" t="s">
        <v>4285</v>
      </c>
      <c r="O1497" s="80" t="s">
        <v>4286</v>
      </c>
      <c r="P1497" s="80" t="s">
        <v>4287</v>
      </c>
      <c r="Y1497" s="2" t="s">
        <v>23</v>
      </c>
    </row>
    <row r="1498" ht="15.75" customHeight="1">
      <c r="B1498" s="48">
        <v>3.582977E7</v>
      </c>
      <c r="C1498" s="80" t="s">
        <v>4177</v>
      </c>
      <c r="D1498" s="140" t="s">
        <v>636</v>
      </c>
      <c r="E1498" s="80" t="s">
        <v>4288</v>
      </c>
      <c r="F1498" s="80">
        <v>365.10507</v>
      </c>
      <c r="G1498" s="142">
        <v>10.639</v>
      </c>
      <c r="H1498" s="143"/>
      <c r="I1498" s="143"/>
      <c r="J1498" s="143"/>
      <c r="K1498" s="143"/>
      <c r="L1498" s="143"/>
      <c r="M1498" s="143"/>
      <c r="N1498" s="80" t="s">
        <v>2315</v>
      </c>
      <c r="O1498" s="80" t="s">
        <v>4144</v>
      </c>
      <c r="P1498" s="80" t="s">
        <v>4289</v>
      </c>
      <c r="Y1498" s="2" t="s">
        <v>23</v>
      </c>
    </row>
    <row r="1499" ht="15.75" customHeight="1">
      <c r="B1499" s="48">
        <v>3.582977E7</v>
      </c>
      <c r="C1499" s="80" t="s">
        <v>4177</v>
      </c>
      <c r="D1499" s="140" t="s">
        <v>636</v>
      </c>
      <c r="E1499" s="80" t="s">
        <v>4163</v>
      </c>
      <c r="F1499" s="80">
        <v>119.0491</v>
      </c>
      <c r="G1499" s="142">
        <v>8.492</v>
      </c>
      <c r="H1499" s="143"/>
      <c r="I1499" s="143"/>
      <c r="J1499" s="143"/>
      <c r="K1499" s="143"/>
      <c r="L1499" s="143"/>
      <c r="M1499" s="143"/>
      <c r="N1499" s="144"/>
      <c r="O1499" s="144"/>
      <c r="P1499" s="144"/>
      <c r="Q1499" s="143"/>
      <c r="R1499" s="143"/>
      <c r="Y1499" s="2" t="s">
        <v>23</v>
      </c>
    </row>
    <row r="1500" ht="15.75" customHeight="1">
      <c r="B1500" s="48">
        <v>3.582977E7</v>
      </c>
      <c r="C1500" s="80" t="s">
        <v>4177</v>
      </c>
      <c r="D1500" s="140" t="s">
        <v>636</v>
      </c>
      <c r="E1500" s="80" t="s">
        <v>4162</v>
      </c>
      <c r="F1500" s="80">
        <v>123.04395</v>
      </c>
      <c r="G1500" s="142">
        <v>8.487</v>
      </c>
      <c r="H1500" s="143"/>
      <c r="I1500" s="143"/>
      <c r="J1500" s="143"/>
      <c r="K1500" s="143"/>
      <c r="L1500" s="143"/>
      <c r="M1500" s="143"/>
      <c r="N1500" s="144"/>
      <c r="O1500" s="144"/>
      <c r="P1500" s="144"/>
      <c r="Q1500" s="143"/>
      <c r="R1500" s="143"/>
      <c r="Y1500" s="2" t="s">
        <v>23</v>
      </c>
    </row>
    <row r="1501" ht="15.75" customHeight="1">
      <c r="B1501" s="48">
        <v>3.582977E7</v>
      </c>
      <c r="C1501" s="80" t="s">
        <v>4177</v>
      </c>
      <c r="D1501" s="140" t="s">
        <v>636</v>
      </c>
      <c r="E1501" s="80" t="s">
        <v>4170</v>
      </c>
      <c r="F1501" s="80">
        <v>161.12837</v>
      </c>
      <c r="G1501" s="142">
        <v>11.92</v>
      </c>
      <c r="H1501" s="143"/>
      <c r="I1501" s="143"/>
      <c r="J1501" s="143"/>
      <c r="K1501" s="143"/>
      <c r="L1501" s="143"/>
      <c r="M1501" s="143"/>
      <c r="N1501" s="144"/>
      <c r="O1501" s="144"/>
      <c r="P1501" s="144"/>
      <c r="Q1501" s="143"/>
      <c r="R1501" s="143"/>
      <c r="Y1501" s="2" t="s">
        <v>23</v>
      </c>
    </row>
    <row r="1502" ht="15.75" customHeight="1">
      <c r="B1502" s="48">
        <v>3.582977E7</v>
      </c>
      <c r="C1502" s="80" t="s">
        <v>3911</v>
      </c>
      <c r="D1502" s="140" t="s">
        <v>636</v>
      </c>
      <c r="E1502" s="80" t="s">
        <v>3526</v>
      </c>
      <c r="F1502" s="80">
        <v>114.0660854</v>
      </c>
      <c r="G1502" s="142">
        <v>1.915215174</v>
      </c>
      <c r="H1502" s="143"/>
      <c r="I1502" s="143"/>
      <c r="J1502" s="143"/>
      <c r="K1502" s="143"/>
      <c r="L1502" s="143"/>
      <c r="M1502" s="143"/>
      <c r="N1502" s="80" t="s">
        <v>638</v>
      </c>
      <c r="O1502" s="80" t="s">
        <v>4290</v>
      </c>
      <c r="P1502" s="80" t="s">
        <v>3969</v>
      </c>
      <c r="Y1502" s="2" t="s">
        <v>23</v>
      </c>
    </row>
    <row r="1503" ht="15.75" customHeight="1">
      <c r="B1503" s="48">
        <v>3.582977E7</v>
      </c>
      <c r="C1503" s="80" t="s">
        <v>3911</v>
      </c>
      <c r="D1503" s="140" t="s">
        <v>636</v>
      </c>
      <c r="E1503" s="80" t="s">
        <v>3529</v>
      </c>
      <c r="F1503" s="80">
        <v>147.0761803</v>
      </c>
      <c r="G1503" s="142">
        <v>1.974661001</v>
      </c>
      <c r="H1503" s="143"/>
      <c r="I1503" s="143"/>
      <c r="J1503" s="143"/>
      <c r="K1503" s="143"/>
      <c r="L1503" s="143"/>
      <c r="M1503" s="143"/>
      <c r="N1503" s="80" t="s">
        <v>1211</v>
      </c>
      <c r="O1503" s="80" t="s">
        <v>4291</v>
      </c>
      <c r="P1503" s="80" t="s">
        <v>3916</v>
      </c>
      <c r="Y1503" s="2" t="s">
        <v>23</v>
      </c>
    </row>
    <row r="1504" ht="15.75" customHeight="1">
      <c r="B1504" s="48">
        <v>3.582977E7</v>
      </c>
      <c r="C1504" s="80" t="s">
        <v>3911</v>
      </c>
      <c r="D1504" s="140" t="s">
        <v>636</v>
      </c>
      <c r="E1504" s="80" t="s">
        <v>3528</v>
      </c>
      <c r="F1504" s="80">
        <v>148.0600392</v>
      </c>
      <c r="G1504" s="142">
        <v>2.0954402</v>
      </c>
      <c r="H1504" s="143"/>
      <c r="I1504" s="143"/>
      <c r="J1504" s="143"/>
      <c r="K1504" s="143"/>
      <c r="L1504" s="143"/>
      <c r="M1504" s="143"/>
      <c r="N1504" s="80" t="s">
        <v>2032</v>
      </c>
      <c r="O1504" s="80" t="s">
        <v>4292</v>
      </c>
      <c r="P1504" s="80" t="s">
        <v>4232</v>
      </c>
      <c r="Y1504" s="2" t="s">
        <v>23</v>
      </c>
    </row>
    <row r="1505" ht="15.75" customHeight="1">
      <c r="B1505" s="48">
        <v>3.582977E7</v>
      </c>
      <c r="C1505" s="80" t="s">
        <v>3911</v>
      </c>
      <c r="D1505" s="140" t="s">
        <v>636</v>
      </c>
      <c r="E1505" s="80" t="s">
        <v>3541</v>
      </c>
      <c r="F1505" s="80">
        <v>150.0581491</v>
      </c>
      <c r="G1505" s="142">
        <v>2.518510183</v>
      </c>
      <c r="H1505" s="143"/>
      <c r="I1505" s="143"/>
      <c r="J1505" s="143"/>
      <c r="K1505" s="143"/>
      <c r="L1505" s="143"/>
      <c r="M1505" s="143"/>
      <c r="N1505" s="80" t="s">
        <v>2444</v>
      </c>
      <c r="O1505" s="80" t="s">
        <v>4293</v>
      </c>
      <c r="P1505" s="80" t="s">
        <v>4294</v>
      </c>
      <c r="Y1505" s="2" t="s">
        <v>23</v>
      </c>
    </row>
    <row r="1506" ht="15.75" customHeight="1">
      <c r="B1506" s="48">
        <v>3.582977E7</v>
      </c>
      <c r="C1506" s="80" t="s">
        <v>3911</v>
      </c>
      <c r="D1506" s="140" t="s">
        <v>636</v>
      </c>
      <c r="E1506" s="80" t="s">
        <v>3531</v>
      </c>
      <c r="F1506" s="80">
        <v>156.0764312</v>
      </c>
      <c r="G1506" s="142">
        <v>1.755798467</v>
      </c>
      <c r="H1506" s="143"/>
      <c r="I1506" s="143"/>
      <c r="J1506" s="143"/>
      <c r="K1506" s="143"/>
      <c r="L1506" s="143"/>
      <c r="M1506" s="143"/>
      <c r="N1506" s="80" t="s">
        <v>2182</v>
      </c>
      <c r="O1506" s="80" t="s">
        <v>4295</v>
      </c>
      <c r="P1506" s="80" t="s">
        <v>4234</v>
      </c>
      <c r="Y1506" s="2" t="s">
        <v>23</v>
      </c>
    </row>
    <row r="1507" ht="15.75" customHeight="1">
      <c r="B1507" s="48">
        <v>3.582977E7</v>
      </c>
      <c r="C1507" s="80" t="s">
        <v>3911</v>
      </c>
      <c r="D1507" s="140" t="s">
        <v>636</v>
      </c>
      <c r="E1507" s="80" t="s">
        <v>4241</v>
      </c>
      <c r="F1507" s="80">
        <v>175.1186259</v>
      </c>
      <c r="G1507" s="142">
        <v>1.815594355</v>
      </c>
      <c r="H1507" s="143"/>
      <c r="I1507" s="143"/>
      <c r="J1507" s="143"/>
      <c r="K1507" s="143"/>
      <c r="L1507" s="143"/>
      <c r="M1507" s="143"/>
      <c r="N1507" s="80" t="s">
        <v>1526</v>
      </c>
      <c r="O1507" s="80" t="s">
        <v>4296</v>
      </c>
      <c r="P1507" s="80" t="s">
        <v>3924</v>
      </c>
      <c r="Y1507" s="2" t="s">
        <v>23</v>
      </c>
    </row>
    <row r="1508" ht="15.75" customHeight="1">
      <c r="B1508" s="48">
        <v>3.582977E7</v>
      </c>
      <c r="C1508" s="80" t="s">
        <v>3911</v>
      </c>
      <c r="D1508" s="140" t="s">
        <v>636</v>
      </c>
      <c r="E1508" s="80" t="s">
        <v>4297</v>
      </c>
      <c r="F1508" s="80">
        <v>198.0756259</v>
      </c>
      <c r="G1508" s="142">
        <v>2.382957204</v>
      </c>
      <c r="H1508" s="143"/>
      <c r="I1508" s="143"/>
      <c r="J1508" s="143"/>
      <c r="K1508" s="143"/>
      <c r="L1508" s="143"/>
      <c r="M1508" s="143"/>
      <c r="N1508" s="80" t="s">
        <v>4298</v>
      </c>
      <c r="O1508" s="80" t="s">
        <v>4299</v>
      </c>
      <c r="P1508" s="80" t="s">
        <v>4300</v>
      </c>
      <c r="Y1508" s="2" t="s">
        <v>23</v>
      </c>
    </row>
    <row r="1509" ht="15.75" customHeight="1">
      <c r="B1509" s="48">
        <v>3.582977E7</v>
      </c>
      <c r="C1509" s="80" t="s">
        <v>3911</v>
      </c>
      <c r="D1509" s="140" t="s">
        <v>636</v>
      </c>
      <c r="E1509" s="80" t="s">
        <v>4006</v>
      </c>
      <c r="F1509" s="80">
        <v>268.1045979</v>
      </c>
      <c r="G1509" s="142">
        <v>10.5635142</v>
      </c>
      <c r="H1509" s="143"/>
      <c r="I1509" s="143"/>
      <c r="J1509" s="143"/>
      <c r="K1509" s="143"/>
      <c r="L1509" s="143"/>
      <c r="M1509" s="143"/>
      <c r="N1509" s="80" t="s">
        <v>933</v>
      </c>
      <c r="O1509" s="80" t="s">
        <v>4301</v>
      </c>
      <c r="P1509" s="80" t="s">
        <v>4008</v>
      </c>
      <c r="Y1509" s="2" t="s">
        <v>23</v>
      </c>
    </row>
    <row r="1510" ht="15.75" customHeight="1">
      <c r="B1510" s="48">
        <v>3.582977E7</v>
      </c>
      <c r="C1510" s="80" t="s">
        <v>3911</v>
      </c>
      <c r="D1510" s="140" t="s">
        <v>636</v>
      </c>
      <c r="E1510" s="80" t="s">
        <v>4302</v>
      </c>
      <c r="F1510" s="80">
        <v>268.1896843</v>
      </c>
      <c r="G1510" s="142">
        <v>12.1666158</v>
      </c>
      <c r="H1510" s="143"/>
      <c r="I1510" s="143"/>
      <c r="J1510" s="143"/>
      <c r="K1510" s="143"/>
      <c r="L1510" s="143"/>
      <c r="M1510" s="143"/>
      <c r="N1510" s="80" t="s">
        <v>4303</v>
      </c>
      <c r="O1510" s="80" t="s">
        <v>4304</v>
      </c>
      <c r="P1510" s="80" t="s">
        <v>4305</v>
      </c>
      <c r="Y1510" s="2" t="s">
        <v>23</v>
      </c>
    </row>
    <row r="1511" ht="15.75" customHeight="1">
      <c r="B1511" s="48">
        <v>3.582977E7</v>
      </c>
      <c r="C1511" s="80" t="s">
        <v>3911</v>
      </c>
      <c r="D1511" s="140" t="s">
        <v>636</v>
      </c>
      <c r="E1511" s="80" t="s">
        <v>4306</v>
      </c>
      <c r="F1511" s="80">
        <v>361.19964</v>
      </c>
      <c r="G1511" s="142">
        <v>15.21182048</v>
      </c>
      <c r="H1511" s="143"/>
      <c r="I1511" s="143"/>
      <c r="J1511" s="143"/>
      <c r="K1511" s="143"/>
      <c r="L1511" s="143"/>
      <c r="M1511" s="143"/>
      <c r="N1511" s="80" t="s">
        <v>4307</v>
      </c>
      <c r="O1511" s="80" t="s">
        <v>4308</v>
      </c>
      <c r="P1511" s="80" t="s">
        <v>4309</v>
      </c>
      <c r="Y1511" s="2" t="s">
        <v>23</v>
      </c>
    </row>
    <row r="1512" ht="15.75" customHeight="1">
      <c r="B1512" s="48">
        <v>3.582977E7</v>
      </c>
      <c r="C1512" s="80" t="s">
        <v>3911</v>
      </c>
      <c r="D1512" s="140" t="s">
        <v>636</v>
      </c>
      <c r="E1512" s="80" t="s">
        <v>4310</v>
      </c>
      <c r="F1512" s="80">
        <v>363.2153649</v>
      </c>
      <c r="G1512" s="142">
        <v>15.60171102</v>
      </c>
      <c r="H1512" s="143"/>
      <c r="I1512" s="143"/>
      <c r="J1512" s="143"/>
      <c r="K1512" s="143"/>
      <c r="L1512" s="143"/>
      <c r="M1512" s="143"/>
      <c r="N1512" s="80" t="s">
        <v>4311</v>
      </c>
      <c r="O1512" s="80" t="s">
        <v>4312</v>
      </c>
      <c r="P1512" s="80" t="s">
        <v>4313</v>
      </c>
      <c r="Y1512" s="2" t="s">
        <v>23</v>
      </c>
    </row>
    <row r="1513" ht="15.75" customHeight="1">
      <c r="B1513" s="48">
        <v>3.582977E7</v>
      </c>
      <c r="C1513" s="80" t="s">
        <v>3911</v>
      </c>
      <c r="D1513" s="140" t="s">
        <v>636</v>
      </c>
      <c r="E1513" s="80" t="s">
        <v>4129</v>
      </c>
      <c r="F1513" s="80">
        <v>76.07569983</v>
      </c>
      <c r="G1513" s="142">
        <v>1.935008876</v>
      </c>
      <c r="H1513" s="143"/>
      <c r="I1513" s="143"/>
      <c r="J1513" s="143"/>
      <c r="K1513" s="143"/>
      <c r="L1513" s="143"/>
      <c r="M1513" s="143"/>
      <c r="N1513" s="80" t="s">
        <v>3385</v>
      </c>
      <c r="O1513" s="80" t="s">
        <v>4314</v>
      </c>
      <c r="P1513" s="80" t="s">
        <v>4131</v>
      </c>
      <c r="Y1513" s="2" t="s">
        <v>23</v>
      </c>
    </row>
    <row r="1514" ht="15.75" customHeight="1">
      <c r="B1514" s="48">
        <v>3.582977E7</v>
      </c>
      <c r="C1514" s="80" t="s">
        <v>3911</v>
      </c>
      <c r="D1514" s="140" t="s">
        <v>636</v>
      </c>
      <c r="E1514" s="80" t="s">
        <v>3526</v>
      </c>
      <c r="F1514" s="80">
        <v>114.0660854</v>
      </c>
      <c r="G1514" s="142">
        <v>1.915215174</v>
      </c>
      <c r="H1514" s="143"/>
      <c r="I1514" s="143"/>
      <c r="J1514" s="143"/>
      <c r="K1514" s="143"/>
      <c r="L1514" s="143"/>
      <c r="M1514" s="143"/>
      <c r="N1514" s="80" t="s">
        <v>638</v>
      </c>
      <c r="O1514" s="80" t="s">
        <v>4290</v>
      </c>
      <c r="P1514" s="80" t="s">
        <v>3969</v>
      </c>
      <c r="Y1514" s="2" t="s">
        <v>23</v>
      </c>
    </row>
    <row r="1515" ht="15.75" customHeight="1">
      <c r="B1515" s="48">
        <v>3.582977E7</v>
      </c>
      <c r="C1515" s="80" t="s">
        <v>3911</v>
      </c>
      <c r="D1515" s="140" t="s">
        <v>636</v>
      </c>
      <c r="E1515" s="80" t="s">
        <v>380</v>
      </c>
      <c r="F1515" s="80">
        <v>126.0216616</v>
      </c>
      <c r="G1515" s="142">
        <v>2.095440165</v>
      </c>
      <c r="H1515" s="143"/>
      <c r="I1515" s="143"/>
      <c r="J1515" s="143"/>
      <c r="K1515" s="143"/>
      <c r="L1515" s="143"/>
      <c r="M1515" s="143"/>
      <c r="N1515" s="80" t="s">
        <v>3300</v>
      </c>
      <c r="O1515" s="80" t="s">
        <v>4315</v>
      </c>
      <c r="P1515" s="80" t="s">
        <v>4199</v>
      </c>
      <c r="Y1515" s="2" t="s">
        <v>23</v>
      </c>
    </row>
    <row r="1516" ht="15.75" customHeight="1">
      <c r="B1516" s="48">
        <v>3.582977E7</v>
      </c>
      <c r="C1516" s="80" t="s">
        <v>3911</v>
      </c>
      <c r="D1516" s="140" t="s">
        <v>636</v>
      </c>
      <c r="E1516" s="80" t="s">
        <v>4316</v>
      </c>
      <c r="F1516" s="80">
        <v>130.0496672</v>
      </c>
      <c r="G1516" s="142">
        <v>10.62767639</v>
      </c>
      <c r="H1516" s="143"/>
      <c r="I1516" s="143"/>
      <c r="J1516" s="143"/>
      <c r="K1516" s="143"/>
      <c r="L1516" s="143"/>
      <c r="M1516" s="143"/>
      <c r="N1516" s="80" t="s">
        <v>1358</v>
      </c>
      <c r="O1516" s="80" t="s">
        <v>4317</v>
      </c>
      <c r="P1516" s="80" t="s">
        <v>3914</v>
      </c>
      <c r="Y1516" s="2" t="s">
        <v>23</v>
      </c>
    </row>
    <row r="1517" ht="15.75" customHeight="1">
      <c r="B1517" s="48">
        <v>3.582977E7</v>
      </c>
      <c r="C1517" s="80" t="s">
        <v>3911</v>
      </c>
      <c r="D1517" s="140" t="s">
        <v>636</v>
      </c>
      <c r="E1517" s="80" t="s">
        <v>4316</v>
      </c>
      <c r="F1517" s="80">
        <v>130.049683</v>
      </c>
      <c r="G1517" s="142">
        <v>1.955310949</v>
      </c>
      <c r="H1517" s="143"/>
      <c r="I1517" s="143"/>
      <c r="J1517" s="143"/>
      <c r="K1517" s="143"/>
      <c r="L1517" s="143"/>
      <c r="M1517" s="143"/>
      <c r="N1517" s="80" t="s">
        <v>1358</v>
      </c>
      <c r="O1517" s="80" t="s">
        <v>4317</v>
      </c>
      <c r="P1517" s="80" t="s">
        <v>3914</v>
      </c>
      <c r="Y1517" s="2" t="s">
        <v>23</v>
      </c>
    </row>
    <row r="1518" ht="15.75" customHeight="1">
      <c r="B1518" s="48">
        <v>3.582977E7</v>
      </c>
      <c r="C1518" s="80" t="s">
        <v>3911</v>
      </c>
      <c r="D1518" s="140" t="s">
        <v>636</v>
      </c>
      <c r="E1518" s="80" t="s">
        <v>4316</v>
      </c>
      <c r="F1518" s="80">
        <v>130.0497462</v>
      </c>
      <c r="G1518" s="142">
        <v>2.641769663</v>
      </c>
      <c r="H1518" s="143"/>
      <c r="I1518" s="143"/>
      <c r="J1518" s="143"/>
      <c r="K1518" s="143"/>
      <c r="L1518" s="143"/>
      <c r="M1518" s="143"/>
      <c r="N1518" s="80" t="s">
        <v>1358</v>
      </c>
      <c r="O1518" s="80" t="s">
        <v>4317</v>
      </c>
      <c r="P1518" s="80" t="s">
        <v>3914</v>
      </c>
      <c r="Y1518" s="2" t="s">
        <v>23</v>
      </c>
    </row>
    <row r="1519" ht="15.75" customHeight="1">
      <c r="B1519" s="48">
        <v>3.582977E7</v>
      </c>
      <c r="C1519" s="80" t="s">
        <v>3911</v>
      </c>
      <c r="D1519" s="140" t="s">
        <v>636</v>
      </c>
      <c r="E1519" s="80" t="s">
        <v>4318</v>
      </c>
      <c r="F1519" s="80">
        <v>130.0649377</v>
      </c>
      <c r="G1519" s="142">
        <v>9.083832804</v>
      </c>
      <c r="H1519" s="143"/>
      <c r="I1519" s="143"/>
      <c r="J1519" s="143"/>
      <c r="K1519" s="143"/>
      <c r="L1519" s="143"/>
      <c r="M1519" s="143"/>
      <c r="N1519" s="80" t="s">
        <v>4319</v>
      </c>
      <c r="O1519" s="80" t="s">
        <v>4320</v>
      </c>
      <c r="P1519" s="80" t="s">
        <v>4321</v>
      </c>
      <c r="Y1519" s="2" t="s">
        <v>23</v>
      </c>
    </row>
    <row r="1520" ht="15.75" customHeight="1">
      <c r="B1520" s="48">
        <v>3.582977E7</v>
      </c>
      <c r="C1520" s="80" t="s">
        <v>3911</v>
      </c>
      <c r="D1520" s="140" t="s">
        <v>636</v>
      </c>
      <c r="E1520" s="80" t="s">
        <v>4318</v>
      </c>
      <c r="F1520" s="80">
        <v>130.0649995</v>
      </c>
      <c r="G1520" s="142">
        <v>13.50334574</v>
      </c>
      <c r="H1520" s="143"/>
      <c r="I1520" s="143"/>
      <c r="J1520" s="143"/>
      <c r="K1520" s="143"/>
      <c r="L1520" s="143"/>
      <c r="M1520" s="143"/>
      <c r="N1520" s="80" t="s">
        <v>4319</v>
      </c>
      <c r="O1520" s="80" t="s">
        <v>4320</v>
      </c>
      <c r="P1520" s="80" t="s">
        <v>4321</v>
      </c>
      <c r="Y1520" s="2" t="s">
        <v>23</v>
      </c>
    </row>
    <row r="1521" ht="15.75" customHeight="1">
      <c r="B1521" s="48">
        <v>3.582977E7</v>
      </c>
      <c r="C1521" s="80" t="s">
        <v>3911</v>
      </c>
      <c r="D1521" s="140" t="s">
        <v>636</v>
      </c>
      <c r="E1521" s="80" t="s">
        <v>4318</v>
      </c>
      <c r="F1521" s="80">
        <v>130.0649808</v>
      </c>
      <c r="G1521" s="142">
        <v>14.59546102</v>
      </c>
      <c r="H1521" s="143"/>
      <c r="I1521" s="143"/>
      <c r="J1521" s="143"/>
      <c r="K1521" s="143"/>
      <c r="L1521" s="143"/>
      <c r="M1521" s="143"/>
      <c r="N1521" s="80" t="s">
        <v>4319</v>
      </c>
      <c r="O1521" s="80" t="s">
        <v>4320</v>
      </c>
      <c r="P1521" s="80" t="s">
        <v>4321</v>
      </c>
      <c r="Y1521" s="2" t="s">
        <v>23</v>
      </c>
    </row>
    <row r="1522" ht="15.75" customHeight="1">
      <c r="B1522" s="48">
        <v>3.582977E7</v>
      </c>
      <c r="C1522" s="80" t="s">
        <v>3911</v>
      </c>
      <c r="D1522" s="140" t="s">
        <v>636</v>
      </c>
      <c r="E1522" s="80" t="s">
        <v>4322</v>
      </c>
      <c r="F1522" s="80">
        <v>130.0860434</v>
      </c>
      <c r="G1522" s="142">
        <v>2.300255076</v>
      </c>
      <c r="H1522" s="143"/>
      <c r="I1522" s="143"/>
      <c r="J1522" s="143"/>
      <c r="K1522" s="143"/>
      <c r="L1522" s="143"/>
      <c r="M1522" s="143"/>
      <c r="N1522" s="80" t="s">
        <v>2777</v>
      </c>
      <c r="O1522" s="80" t="s">
        <v>4323</v>
      </c>
      <c r="P1522" s="80" t="s">
        <v>3933</v>
      </c>
      <c r="Y1522" s="2" t="s">
        <v>23</v>
      </c>
    </row>
    <row r="1523" ht="15.75" customHeight="1">
      <c r="B1523" s="48">
        <v>3.582977E7</v>
      </c>
      <c r="C1523" s="80" t="s">
        <v>3911</v>
      </c>
      <c r="D1523" s="140" t="s">
        <v>636</v>
      </c>
      <c r="E1523" s="80" t="s">
        <v>4324</v>
      </c>
      <c r="F1523" s="80">
        <v>132.0764983</v>
      </c>
      <c r="G1523" s="142">
        <v>1.955310949</v>
      </c>
      <c r="H1523" s="143"/>
      <c r="I1523" s="143"/>
      <c r="J1523" s="143"/>
      <c r="K1523" s="143"/>
      <c r="L1523" s="143"/>
      <c r="M1523" s="143"/>
      <c r="N1523" s="80" t="s">
        <v>1723</v>
      </c>
      <c r="O1523" s="80" t="s">
        <v>4325</v>
      </c>
      <c r="P1523" s="80" t="s">
        <v>4326</v>
      </c>
      <c r="Y1523" s="2" t="s">
        <v>23</v>
      </c>
    </row>
    <row r="1524" ht="15.75" customHeight="1">
      <c r="B1524" s="48">
        <v>3.582977E7</v>
      </c>
      <c r="C1524" s="80" t="s">
        <v>3911</v>
      </c>
      <c r="D1524" s="140" t="s">
        <v>636</v>
      </c>
      <c r="E1524" s="80" t="s">
        <v>4327</v>
      </c>
      <c r="F1524" s="80">
        <v>137.0455196</v>
      </c>
      <c r="G1524" s="142">
        <v>2.450479889</v>
      </c>
      <c r="H1524" s="143"/>
      <c r="I1524" s="143"/>
      <c r="J1524" s="143"/>
      <c r="K1524" s="143"/>
      <c r="L1524" s="143"/>
      <c r="M1524" s="143"/>
      <c r="N1524" s="80" t="s">
        <v>2220</v>
      </c>
      <c r="O1524" s="80" t="s">
        <v>4328</v>
      </c>
      <c r="P1524" s="80" t="s">
        <v>4329</v>
      </c>
      <c r="Y1524" s="2" t="s">
        <v>23</v>
      </c>
    </row>
    <row r="1525" ht="15.75" customHeight="1">
      <c r="B1525" s="48">
        <v>3.582977E7</v>
      </c>
      <c r="C1525" s="80" t="s">
        <v>3911</v>
      </c>
      <c r="D1525" s="140" t="s">
        <v>636</v>
      </c>
      <c r="E1525" s="80" t="s">
        <v>331</v>
      </c>
      <c r="F1525" s="80">
        <v>139.0387277</v>
      </c>
      <c r="G1525" s="142">
        <v>17.82675781</v>
      </c>
      <c r="H1525" s="143"/>
      <c r="I1525" s="143"/>
      <c r="J1525" s="143"/>
      <c r="K1525" s="143"/>
      <c r="L1525" s="143"/>
      <c r="M1525" s="143"/>
      <c r="N1525" s="80" t="s">
        <v>1240</v>
      </c>
      <c r="O1525" s="80" t="s">
        <v>4330</v>
      </c>
      <c r="P1525" s="80" t="s">
        <v>4158</v>
      </c>
      <c r="Y1525" s="2" t="s">
        <v>23</v>
      </c>
    </row>
    <row r="1526" ht="15.75" customHeight="1">
      <c r="B1526" s="48">
        <v>3.582977E7</v>
      </c>
      <c r="C1526" s="80" t="s">
        <v>3911</v>
      </c>
      <c r="D1526" s="140" t="s">
        <v>636</v>
      </c>
      <c r="E1526" s="80" t="s">
        <v>4103</v>
      </c>
      <c r="F1526" s="80">
        <v>144.0806088</v>
      </c>
      <c r="G1526" s="142">
        <v>9.083832804</v>
      </c>
      <c r="H1526" s="143"/>
      <c r="I1526" s="143"/>
      <c r="J1526" s="143"/>
      <c r="K1526" s="143"/>
      <c r="L1526" s="143"/>
      <c r="M1526" s="143"/>
      <c r="N1526" s="80" t="s">
        <v>4104</v>
      </c>
      <c r="O1526" s="80" t="s">
        <v>4105</v>
      </c>
      <c r="P1526" s="80" t="s">
        <v>4106</v>
      </c>
      <c r="Y1526" s="2" t="s">
        <v>23</v>
      </c>
    </row>
    <row r="1527" ht="15.75" customHeight="1">
      <c r="B1527" s="48">
        <v>3.582977E7</v>
      </c>
      <c r="C1527" s="80" t="s">
        <v>3911</v>
      </c>
      <c r="D1527" s="140" t="s">
        <v>636</v>
      </c>
      <c r="E1527" s="80" t="s">
        <v>3529</v>
      </c>
      <c r="F1527" s="80">
        <v>147.0761803</v>
      </c>
      <c r="G1527" s="142">
        <v>1.974661001</v>
      </c>
      <c r="H1527" s="143"/>
      <c r="I1527" s="143"/>
      <c r="J1527" s="143"/>
      <c r="K1527" s="143"/>
      <c r="L1527" s="143"/>
      <c r="M1527" s="143"/>
      <c r="N1527" s="80" t="s">
        <v>1211</v>
      </c>
      <c r="O1527" s="80" t="s">
        <v>4291</v>
      </c>
      <c r="P1527" s="80" t="s">
        <v>3916</v>
      </c>
      <c r="Y1527" s="2" t="s">
        <v>23</v>
      </c>
    </row>
    <row r="1528" ht="15.75" customHeight="1">
      <c r="B1528" s="48">
        <v>3.582977E7</v>
      </c>
      <c r="C1528" s="80" t="s">
        <v>3911</v>
      </c>
      <c r="D1528" s="140" t="s">
        <v>636</v>
      </c>
      <c r="E1528" s="80" t="s">
        <v>4331</v>
      </c>
      <c r="F1528" s="80">
        <v>147.1125012</v>
      </c>
      <c r="G1528" s="142">
        <v>1.716119258</v>
      </c>
      <c r="H1528" s="143"/>
      <c r="I1528" s="143"/>
      <c r="J1528" s="143"/>
      <c r="K1528" s="143"/>
      <c r="L1528" s="143"/>
      <c r="M1528" s="143"/>
      <c r="N1528" s="80" t="s">
        <v>2388</v>
      </c>
      <c r="O1528" s="80" t="s">
        <v>4332</v>
      </c>
      <c r="P1528" s="80" t="s">
        <v>4333</v>
      </c>
      <c r="Y1528" s="2" t="s">
        <v>23</v>
      </c>
    </row>
    <row r="1529" ht="15.75" customHeight="1">
      <c r="B1529" s="48">
        <v>3.582977E7</v>
      </c>
      <c r="C1529" s="80" t="s">
        <v>3911</v>
      </c>
      <c r="D1529" s="140" t="s">
        <v>636</v>
      </c>
      <c r="E1529" s="80" t="s">
        <v>3528</v>
      </c>
      <c r="F1529" s="80">
        <v>148.0600392</v>
      </c>
      <c r="G1529" s="142">
        <v>2.0954402</v>
      </c>
      <c r="H1529" s="143"/>
      <c r="I1529" s="143"/>
      <c r="J1529" s="143"/>
      <c r="K1529" s="143"/>
      <c r="L1529" s="143"/>
      <c r="M1529" s="143"/>
      <c r="N1529" s="80" t="s">
        <v>2032</v>
      </c>
      <c r="O1529" s="80" t="s">
        <v>4292</v>
      </c>
      <c r="P1529" s="80" t="s">
        <v>4232</v>
      </c>
      <c r="Y1529" s="2" t="s">
        <v>23</v>
      </c>
    </row>
    <row r="1530" ht="15.75" customHeight="1">
      <c r="B1530" s="48">
        <v>3.582977E7</v>
      </c>
      <c r="C1530" s="80" t="s">
        <v>3911</v>
      </c>
      <c r="D1530" s="140" t="s">
        <v>636</v>
      </c>
      <c r="E1530" s="80" t="s">
        <v>4334</v>
      </c>
      <c r="F1530" s="80">
        <v>150.0581491</v>
      </c>
      <c r="G1530" s="142">
        <v>2.518510183</v>
      </c>
      <c r="H1530" s="143"/>
      <c r="I1530" s="143"/>
      <c r="J1530" s="143"/>
      <c r="K1530" s="143"/>
      <c r="L1530" s="143"/>
      <c r="M1530" s="143"/>
      <c r="N1530" s="80" t="s">
        <v>2444</v>
      </c>
      <c r="O1530" s="80" t="s">
        <v>4335</v>
      </c>
      <c r="P1530" s="80" t="s">
        <v>4336</v>
      </c>
      <c r="Y1530" s="2" t="s">
        <v>23</v>
      </c>
    </row>
    <row r="1531" ht="15.75" customHeight="1">
      <c r="B1531" s="48">
        <v>3.582977E7</v>
      </c>
      <c r="C1531" s="80" t="s">
        <v>3911</v>
      </c>
      <c r="D1531" s="140" t="s">
        <v>636</v>
      </c>
      <c r="E1531" s="80" t="s">
        <v>4139</v>
      </c>
      <c r="F1531" s="80">
        <v>152.1430887</v>
      </c>
      <c r="G1531" s="142">
        <v>11.73940531</v>
      </c>
      <c r="H1531" s="143"/>
      <c r="I1531" s="143"/>
      <c r="J1531" s="143"/>
      <c r="K1531" s="143"/>
      <c r="L1531" s="143"/>
      <c r="M1531" s="143"/>
      <c r="N1531" s="80" t="s">
        <v>4140</v>
      </c>
      <c r="O1531" s="80" t="s">
        <v>4337</v>
      </c>
      <c r="P1531" s="80" t="s">
        <v>4142</v>
      </c>
      <c r="Y1531" s="2" t="s">
        <v>23</v>
      </c>
    </row>
    <row r="1532" ht="15.75" customHeight="1">
      <c r="B1532" s="48">
        <v>3.582977E7</v>
      </c>
      <c r="C1532" s="80" t="s">
        <v>3911</v>
      </c>
      <c r="D1532" s="140" t="s">
        <v>636</v>
      </c>
      <c r="E1532" s="80" t="s">
        <v>3531</v>
      </c>
      <c r="F1532" s="80">
        <v>156.0764312</v>
      </c>
      <c r="G1532" s="142">
        <v>1.755798467</v>
      </c>
      <c r="H1532" s="143"/>
      <c r="I1532" s="143"/>
      <c r="J1532" s="143"/>
      <c r="K1532" s="143"/>
      <c r="L1532" s="143"/>
      <c r="M1532" s="143"/>
      <c r="N1532" s="80" t="s">
        <v>2182</v>
      </c>
      <c r="O1532" s="80" t="s">
        <v>4295</v>
      </c>
      <c r="P1532" s="80" t="s">
        <v>4234</v>
      </c>
      <c r="Y1532" s="2" t="s">
        <v>23</v>
      </c>
    </row>
    <row r="1533" ht="15.75" customHeight="1">
      <c r="B1533" s="48">
        <v>3.582977E7</v>
      </c>
      <c r="C1533" s="80" t="s">
        <v>3911</v>
      </c>
      <c r="D1533" s="140" t="s">
        <v>636</v>
      </c>
      <c r="E1533" s="80" t="s">
        <v>315</v>
      </c>
      <c r="F1533" s="80">
        <v>165.0543323</v>
      </c>
      <c r="G1533" s="142">
        <v>2.846753184</v>
      </c>
      <c r="H1533" s="143"/>
      <c r="I1533" s="143"/>
      <c r="J1533" s="143"/>
      <c r="K1533" s="143"/>
      <c r="L1533" s="143"/>
      <c r="M1533" s="143"/>
      <c r="N1533" s="80" t="s">
        <v>1108</v>
      </c>
      <c r="O1533" s="80" t="s">
        <v>4338</v>
      </c>
      <c r="P1533" s="80" t="s">
        <v>4237</v>
      </c>
      <c r="Y1533" s="2" t="s">
        <v>23</v>
      </c>
    </row>
    <row r="1534" ht="15.75" customHeight="1">
      <c r="B1534" s="48">
        <v>3.582977E7</v>
      </c>
      <c r="C1534" s="80" t="s">
        <v>3911</v>
      </c>
      <c r="D1534" s="140" t="s">
        <v>636</v>
      </c>
      <c r="E1534" s="80" t="s">
        <v>4339</v>
      </c>
      <c r="F1534" s="80">
        <v>167.0559838</v>
      </c>
      <c r="G1534" s="142">
        <v>4.372603861</v>
      </c>
      <c r="H1534" s="143"/>
      <c r="I1534" s="143"/>
      <c r="J1534" s="143"/>
      <c r="K1534" s="143"/>
      <c r="L1534" s="143"/>
      <c r="M1534" s="143"/>
      <c r="N1534" s="80" t="s">
        <v>775</v>
      </c>
      <c r="O1534" s="80" t="s">
        <v>4340</v>
      </c>
      <c r="P1534" s="80" t="s">
        <v>4005</v>
      </c>
      <c r="Y1534" s="2" t="s">
        <v>23</v>
      </c>
    </row>
    <row r="1535" ht="15.75" customHeight="1">
      <c r="B1535" s="48">
        <v>3.582977E7</v>
      </c>
      <c r="C1535" s="80" t="s">
        <v>3911</v>
      </c>
      <c r="D1535" s="140" t="s">
        <v>636</v>
      </c>
      <c r="E1535" s="80" t="s">
        <v>4341</v>
      </c>
      <c r="F1535" s="80">
        <v>175.1186259</v>
      </c>
      <c r="G1535" s="142">
        <v>1.815594355</v>
      </c>
      <c r="H1535" s="143"/>
      <c r="I1535" s="143"/>
      <c r="J1535" s="143"/>
      <c r="K1535" s="143"/>
      <c r="L1535" s="143"/>
      <c r="M1535" s="143"/>
      <c r="N1535" s="80" t="s">
        <v>1526</v>
      </c>
      <c r="O1535" s="80" t="s">
        <v>4342</v>
      </c>
      <c r="P1535" s="80" t="s">
        <v>4343</v>
      </c>
      <c r="Y1535" s="2" t="s">
        <v>23</v>
      </c>
    </row>
    <row r="1536" ht="15.75" customHeight="1">
      <c r="B1536" s="48">
        <v>3.582977E7</v>
      </c>
      <c r="C1536" s="80" t="s">
        <v>3911</v>
      </c>
      <c r="D1536" s="140" t="s">
        <v>636</v>
      </c>
      <c r="E1536" s="80" t="s">
        <v>4344</v>
      </c>
      <c r="F1536" s="80">
        <v>176.0703558</v>
      </c>
      <c r="G1536" s="142">
        <v>13.50334574</v>
      </c>
      <c r="H1536" s="143"/>
      <c r="I1536" s="143"/>
      <c r="J1536" s="143"/>
      <c r="K1536" s="143"/>
      <c r="L1536" s="143"/>
      <c r="M1536" s="143"/>
      <c r="N1536" s="80" t="s">
        <v>2237</v>
      </c>
      <c r="O1536" s="80" t="s">
        <v>4345</v>
      </c>
      <c r="P1536" s="80" t="s">
        <v>4011</v>
      </c>
      <c r="Y1536" s="2" t="s">
        <v>23</v>
      </c>
    </row>
    <row r="1537" ht="15.75" customHeight="1">
      <c r="B1537" s="48">
        <v>3.582977E7</v>
      </c>
      <c r="C1537" s="80" t="s">
        <v>3911</v>
      </c>
      <c r="D1537" s="140" t="s">
        <v>636</v>
      </c>
      <c r="E1537" s="80" t="s">
        <v>4346</v>
      </c>
      <c r="F1537" s="80">
        <v>192.1378333</v>
      </c>
      <c r="G1537" s="142">
        <v>16.15757446</v>
      </c>
      <c r="H1537" s="143"/>
      <c r="I1537" s="143"/>
      <c r="J1537" s="143"/>
      <c r="K1537" s="143"/>
      <c r="L1537" s="143"/>
      <c r="M1537" s="143"/>
      <c r="N1537" s="80" t="s">
        <v>4150</v>
      </c>
      <c r="O1537" s="80" t="s">
        <v>4347</v>
      </c>
      <c r="P1537" s="80" t="s">
        <v>4152</v>
      </c>
      <c r="Y1537" s="2" t="s">
        <v>23</v>
      </c>
    </row>
    <row r="1538" ht="15.75" customHeight="1">
      <c r="B1538" s="48">
        <v>3.582977E7</v>
      </c>
      <c r="C1538" s="80" t="s">
        <v>3911</v>
      </c>
      <c r="D1538" s="140" t="s">
        <v>636</v>
      </c>
      <c r="E1538" s="80" t="s">
        <v>4297</v>
      </c>
      <c r="F1538" s="80">
        <v>198.0756259</v>
      </c>
      <c r="G1538" s="142">
        <v>2.382957204</v>
      </c>
      <c r="H1538" s="143"/>
      <c r="I1538" s="143"/>
      <c r="J1538" s="143"/>
      <c r="K1538" s="143"/>
      <c r="L1538" s="143"/>
      <c r="M1538" s="143"/>
      <c r="N1538" s="80" t="s">
        <v>4298</v>
      </c>
      <c r="O1538" s="80" t="s">
        <v>4299</v>
      </c>
      <c r="P1538" s="80" t="s">
        <v>4300</v>
      </c>
      <c r="Y1538" s="2" t="s">
        <v>23</v>
      </c>
    </row>
    <row r="1539" ht="15.75" customHeight="1">
      <c r="B1539" s="48">
        <v>3.582977E7</v>
      </c>
      <c r="C1539" s="80" t="s">
        <v>3911</v>
      </c>
      <c r="D1539" s="140" t="s">
        <v>636</v>
      </c>
      <c r="E1539" s="80" t="s">
        <v>4348</v>
      </c>
      <c r="F1539" s="80">
        <v>219.1121464</v>
      </c>
      <c r="G1539" s="142">
        <v>12.73841858</v>
      </c>
      <c r="H1539" s="143"/>
      <c r="I1539" s="143"/>
      <c r="J1539" s="143"/>
      <c r="K1539" s="143"/>
      <c r="L1539" s="143"/>
      <c r="M1539" s="143"/>
      <c r="N1539" s="80" t="s">
        <v>4349</v>
      </c>
      <c r="O1539" s="80" t="s">
        <v>4350</v>
      </c>
      <c r="P1539" s="80" t="s">
        <v>4351</v>
      </c>
      <c r="Y1539" s="2" t="s">
        <v>23</v>
      </c>
    </row>
    <row r="1540" ht="15.75" customHeight="1">
      <c r="B1540" s="48">
        <v>3.582977E7</v>
      </c>
      <c r="C1540" s="80" t="s">
        <v>3911</v>
      </c>
      <c r="D1540" s="140" t="s">
        <v>636</v>
      </c>
      <c r="E1540" s="80" t="s">
        <v>259</v>
      </c>
      <c r="F1540" s="80">
        <v>220.1172286</v>
      </c>
      <c r="G1540" s="142">
        <v>6.979924011</v>
      </c>
      <c r="H1540" s="143"/>
      <c r="I1540" s="143"/>
      <c r="J1540" s="143"/>
      <c r="K1540" s="143"/>
      <c r="L1540" s="143"/>
      <c r="M1540" s="143"/>
      <c r="N1540" s="80" t="s">
        <v>2936</v>
      </c>
      <c r="O1540" s="80" t="s">
        <v>4352</v>
      </c>
      <c r="P1540" s="80" t="s">
        <v>4353</v>
      </c>
      <c r="Y1540" s="2" t="s">
        <v>23</v>
      </c>
    </row>
    <row r="1541" ht="15.75" customHeight="1">
      <c r="B1541" s="48">
        <v>3.582977E7</v>
      </c>
      <c r="C1541" s="80" t="s">
        <v>3911</v>
      </c>
      <c r="D1541" s="140" t="s">
        <v>636</v>
      </c>
      <c r="E1541" s="80" t="s">
        <v>4354</v>
      </c>
      <c r="F1541" s="80">
        <v>241.0303003</v>
      </c>
      <c r="G1541" s="142">
        <v>2.055383937</v>
      </c>
      <c r="H1541" s="143"/>
      <c r="I1541" s="143"/>
      <c r="J1541" s="143"/>
      <c r="K1541" s="143"/>
      <c r="L1541" s="143"/>
      <c r="M1541" s="143"/>
      <c r="N1541" s="80" t="s">
        <v>1747</v>
      </c>
      <c r="O1541" s="80" t="s">
        <v>4355</v>
      </c>
      <c r="P1541" s="80" t="s">
        <v>4356</v>
      </c>
      <c r="Y1541" s="2" t="s">
        <v>23</v>
      </c>
    </row>
    <row r="1542" ht="15.75" customHeight="1">
      <c r="B1542" s="48">
        <v>3.582977E7</v>
      </c>
      <c r="C1542" s="80" t="s">
        <v>3911</v>
      </c>
      <c r="D1542" s="140" t="s">
        <v>636</v>
      </c>
      <c r="E1542" s="80" t="s">
        <v>4357</v>
      </c>
      <c r="F1542" s="80">
        <v>260.1634867</v>
      </c>
      <c r="G1542" s="142">
        <v>14.08915507</v>
      </c>
      <c r="H1542" s="143"/>
      <c r="I1542" s="143"/>
      <c r="J1542" s="143"/>
      <c r="K1542" s="143"/>
      <c r="L1542" s="143"/>
      <c r="M1542" s="143"/>
      <c r="N1542" s="80" t="s">
        <v>4358</v>
      </c>
      <c r="O1542" s="80" t="s">
        <v>4359</v>
      </c>
      <c r="P1542" s="80" t="s">
        <v>4360</v>
      </c>
      <c r="Y1542" s="2" t="s">
        <v>23</v>
      </c>
    </row>
    <row r="1543" ht="15.75" customHeight="1">
      <c r="B1543" s="48">
        <v>3.582977E7</v>
      </c>
      <c r="C1543" s="80" t="s">
        <v>3911</v>
      </c>
      <c r="D1543" s="140" t="s">
        <v>636</v>
      </c>
      <c r="E1543" s="80" t="s">
        <v>4006</v>
      </c>
      <c r="F1543" s="80">
        <v>268.1045979</v>
      </c>
      <c r="G1543" s="142">
        <v>10.5635142</v>
      </c>
      <c r="H1543" s="143"/>
      <c r="I1543" s="143"/>
      <c r="J1543" s="143"/>
      <c r="K1543" s="143"/>
      <c r="L1543" s="143"/>
      <c r="M1543" s="143"/>
      <c r="N1543" s="80" t="s">
        <v>933</v>
      </c>
      <c r="O1543" s="80" t="s">
        <v>4301</v>
      </c>
      <c r="P1543" s="80" t="s">
        <v>4008</v>
      </c>
      <c r="Y1543" s="2" t="s">
        <v>23</v>
      </c>
    </row>
    <row r="1544" ht="15.75" customHeight="1">
      <c r="B1544" s="48">
        <v>3.582977E7</v>
      </c>
      <c r="C1544" s="80" t="s">
        <v>3911</v>
      </c>
      <c r="D1544" s="140" t="s">
        <v>636</v>
      </c>
      <c r="E1544" s="80" t="s">
        <v>4361</v>
      </c>
      <c r="F1544" s="80">
        <v>268.1896843</v>
      </c>
      <c r="G1544" s="142">
        <v>12.1666158</v>
      </c>
      <c r="H1544" s="143"/>
      <c r="I1544" s="143"/>
      <c r="J1544" s="143"/>
      <c r="K1544" s="143"/>
      <c r="L1544" s="143"/>
      <c r="M1544" s="143"/>
      <c r="N1544" s="80" t="s">
        <v>4303</v>
      </c>
      <c r="O1544" s="80" t="s">
        <v>4304</v>
      </c>
      <c r="P1544" s="80" t="s">
        <v>4305</v>
      </c>
      <c r="Y1544" s="2" t="s">
        <v>23</v>
      </c>
    </row>
    <row r="1545" ht="15.75" customHeight="1">
      <c r="B1545" s="48">
        <v>3.582977E7</v>
      </c>
      <c r="C1545" s="80" t="s">
        <v>3911</v>
      </c>
      <c r="D1545" s="140" t="s">
        <v>636</v>
      </c>
      <c r="E1545" s="80" t="s">
        <v>4302</v>
      </c>
      <c r="F1545" s="80">
        <v>286.1429781</v>
      </c>
      <c r="G1545" s="142">
        <v>17.5038798</v>
      </c>
      <c r="H1545" s="143"/>
      <c r="I1545" s="143"/>
      <c r="J1545" s="143"/>
      <c r="K1545" s="143"/>
      <c r="L1545" s="143"/>
      <c r="M1545" s="143"/>
      <c r="N1545" s="80" t="s">
        <v>4083</v>
      </c>
      <c r="O1545" s="80" t="s">
        <v>4362</v>
      </c>
      <c r="P1545" s="80" t="s">
        <v>4085</v>
      </c>
      <c r="Y1545" s="2" t="s">
        <v>23</v>
      </c>
    </row>
    <row r="1546" ht="15.75" customHeight="1">
      <c r="B1546" s="48">
        <v>3.582977E7</v>
      </c>
      <c r="C1546" s="80" t="s">
        <v>3911</v>
      </c>
      <c r="D1546" s="140" t="s">
        <v>636</v>
      </c>
      <c r="E1546" s="80" t="s">
        <v>4114</v>
      </c>
      <c r="F1546" s="80">
        <v>307.110256</v>
      </c>
      <c r="G1546" s="142">
        <v>12.65436452</v>
      </c>
      <c r="H1546" s="143"/>
      <c r="I1546" s="143"/>
      <c r="J1546" s="143"/>
      <c r="K1546" s="143"/>
      <c r="L1546" s="143"/>
      <c r="M1546" s="143"/>
      <c r="N1546" s="80" t="s">
        <v>4115</v>
      </c>
      <c r="O1546" s="80" t="s">
        <v>4363</v>
      </c>
      <c r="P1546" s="80" t="s">
        <v>4117</v>
      </c>
      <c r="Y1546" s="2" t="s">
        <v>23</v>
      </c>
    </row>
    <row r="1547" ht="15.75" customHeight="1">
      <c r="B1547" s="48">
        <v>3.582977E7</v>
      </c>
      <c r="C1547" s="80" t="s">
        <v>3911</v>
      </c>
      <c r="D1547" s="140" t="s">
        <v>636</v>
      </c>
      <c r="E1547" s="80" t="s">
        <v>4306</v>
      </c>
      <c r="F1547" s="80">
        <v>361.19964</v>
      </c>
      <c r="G1547" s="142">
        <v>15.21182048</v>
      </c>
      <c r="H1547" s="143"/>
      <c r="I1547" s="143"/>
      <c r="J1547" s="143"/>
      <c r="K1547" s="143"/>
      <c r="L1547" s="143"/>
      <c r="M1547" s="143"/>
      <c r="N1547" s="80" t="s">
        <v>4307</v>
      </c>
      <c r="O1547" s="80" t="s">
        <v>4308</v>
      </c>
      <c r="P1547" s="80" t="s">
        <v>4309</v>
      </c>
      <c r="Y1547" s="2" t="s">
        <v>23</v>
      </c>
    </row>
    <row r="1548" ht="15.75" customHeight="1">
      <c r="B1548" s="48">
        <v>3.582977E7</v>
      </c>
      <c r="C1548" s="80" t="s">
        <v>3911</v>
      </c>
      <c r="D1548" s="140" t="s">
        <v>636</v>
      </c>
      <c r="E1548" s="80" t="s">
        <v>4310</v>
      </c>
      <c r="F1548" s="80">
        <v>363.2153649</v>
      </c>
      <c r="G1548" s="142">
        <v>15.60171102</v>
      </c>
      <c r="H1548" s="143"/>
      <c r="I1548" s="143"/>
      <c r="J1548" s="143"/>
      <c r="K1548" s="143"/>
      <c r="L1548" s="143"/>
      <c r="M1548" s="143"/>
      <c r="N1548" s="80" t="s">
        <v>4311</v>
      </c>
      <c r="O1548" s="80" t="s">
        <v>4312</v>
      </c>
      <c r="P1548" s="80" t="s">
        <v>4313</v>
      </c>
      <c r="Y1548" s="2" t="s">
        <v>23</v>
      </c>
    </row>
    <row r="1549" ht="15.75" customHeight="1">
      <c r="B1549" s="48">
        <v>3.582977E7</v>
      </c>
      <c r="C1549" s="80" t="s">
        <v>3911</v>
      </c>
      <c r="D1549" s="140" t="s">
        <v>636</v>
      </c>
      <c r="E1549" s="80" t="s">
        <v>4364</v>
      </c>
      <c r="F1549" s="80">
        <v>76.07569983</v>
      </c>
      <c r="G1549" s="142">
        <v>1.935008876</v>
      </c>
      <c r="H1549" s="143"/>
      <c r="I1549" s="143"/>
      <c r="J1549" s="143"/>
      <c r="K1549" s="143"/>
      <c r="L1549" s="143"/>
      <c r="M1549" s="143"/>
      <c r="N1549" s="80" t="s">
        <v>3385</v>
      </c>
      <c r="O1549" s="80" t="s">
        <v>4314</v>
      </c>
      <c r="P1549" s="80" t="s">
        <v>4131</v>
      </c>
      <c r="Y1549" s="2" t="s">
        <v>23</v>
      </c>
    </row>
    <row r="1550" ht="15.75" customHeight="1">
      <c r="B1550" s="48">
        <v>3.582977E7</v>
      </c>
      <c r="C1550" s="80" t="s">
        <v>3911</v>
      </c>
      <c r="D1550" s="140" t="s">
        <v>636</v>
      </c>
      <c r="E1550" s="80" t="s">
        <v>3526</v>
      </c>
      <c r="F1550" s="80">
        <v>114.0660854</v>
      </c>
      <c r="G1550" s="142">
        <v>1.915215174</v>
      </c>
      <c r="H1550" s="143"/>
      <c r="I1550" s="143"/>
      <c r="J1550" s="143"/>
      <c r="K1550" s="143"/>
      <c r="L1550" s="143"/>
      <c r="M1550" s="143"/>
      <c r="N1550" s="80" t="s">
        <v>638</v>
      </c>
      <c r="O1550" s="80" t="s">
        <v>4290</v>
      </c>
      <c r="P1550" s="80" t="s">
        <v>3969</v>
      </c>
      <c r="Y1550" s="2" t="s">
        <v>23</v>
      </c>
    </row>
    <row r="1551" ht="15.75" customHeight="1">
      <c r="B1551" s="48">
        <v>3.582977E7</v>
      </c>
      <c r="C1551" s="80" t="s">
        <v>3911</v>
      </c>
      <c r="D1551" s="140" t="s">
        <v>636</v>
      </c>
      <c r="E1551" s="80" t="s">
        <v>380</v>
      </c>
      <c r="F1551" s="80">
        <v>126.0216616</v>
      </c>
      <c r="G1551" s="142">
        <v>2.095440165</v>
      </c>
      <c r="H1551" s="143"/>
      <c r="I1551" s="143"/>
      <c r="J1551" s="143"/>
      <c r="K1551" s="143"/>
      <c r="L1551" s="143"/>
      <c r="M1551" s="143"/>
      <c r="N1551" s="80" t="s">
        <v>3300</v>
      </c>
      <c r="O1551" s="80" t="s">
        <v>4315</v>
      </c>
      <c r="P1551" s="80" t="s">
        <v>4199</v>
      </c>
      <c r="Y1551" s="2" t="s">
        <v>23</v>
      </c>
    </row>
    <row r="1552" ht="15.75" customHeight="1">
      <c r="B1552" s="48">
        <v>3.582977E7</v>
      </c>
      <c r="C1552" s="80" t="s">
        <v>3911</v>
      </c>
      <c r="D1552" s="140" t="s">
        <v>636</v>
      </c>
      <c r="E1552" s="80" t="s">
        <v>4316</v>
      </c>
      <c r="F1552" s="80">
        <v>130.0496672</v>
      </c>
      <c r="G1552" s="142">
        <v>10.62767639</v>
      </c>
      <c r="H1552" s="143"/>
      <c r="I1552" s="143"/>
      <c r="J1552" s="143"/>
      <c r="K1552" s="143"/>
      <c r="L1552" s="143"/>
      <c r="M1552" s="143"/>
      <c r="N1552" s="80" t="s">
        <v>1358</v>
      </c>
      <c r="O1552" s="80" t="s">
        <v>4317</v>
      </c>
      <c r="P1552" s="80" t="s">
        <v>3914</v>
      </c>
      <c r="Y1552" s="2" t="s">
        <v>23</v>
      </c>
    </row>
    <row r="1553" ht="15.75" customHeight="1">
      <c r="B1553" s="48">
        <v>3.582977E7</v>
      </c>
      <c r="C1553" s="80" t="s">
        <v>3911</v>
      </c>
      <c r="D1553" s="140" t="s">
        <v>636</v>
      </c>
      <c r="E1553" s="80" t="s">
        <v>4316</v>
      </c>
      <c r="F1553" s="80">
        <v>130.049683</v>
      </c>
      <c r="G1553" s="142">
        <v>1.955310949</v>
      </c>
      <c r="H1553" s="143"/>
      <c r="I1553" s="143"/>
      <c r="J1553" s="143"/>
      <c r="K1553" s="143"/>
      <c r="L1553" s="143"/>
      <c r="M1553" s="143"/>
      <c r="N1553" s="80" t="s">
        <v>1358</v>
      </c>
      <c r="O1553" s="80" t="s">
        <v>4317</v>
      </c>
      <c r="P1553" s="80" t="s">
        <v>3914</v>
      </c>
      <c r="Y1553" s="2" t="s">
        <v>23</v>
      </c>
    </row>
    <row r="1554" ht="15.75" customHeight="1">
      <c r="B1554" s="48">
        <v>3.582977E7</v>
      </c>
      <c r="C1554" s="80" t="s">
        <v>3911</v>
      </c>
      <c r="D1554" s="140" t="s">
        <v>636</v>
      </c>
      <c r="E1554" s="80" t="s">
        <v>4316</v>
      </c>
      <c r="F1554" s="80">
        <v>130.0497462</v>
      </c>
      <c r="G1554" s="142">
        <v>2.641769663</v>
      </c>
      <c r="H1554" s="143"/>
      <c r="I1554" s="143"/>
      <c r="J1554" s="143"/>
      <c r="K1554" s="143"/>
      <c r="L1554" s="143"/>
      <c r="M1554" s="143"/>
      <c r="N1554" s="80" t="s">
        <v>1358</v>
      </c>
      <c r="O1554" s="80" t="s">
        <v>4317</v>
      </c>
      <c r="P1554" s="80" t="s">
        <v>3914</v>
      </c>
      <c r="Y1554" s="2" t="s">
        <v>23</v>
      </c>
    </row>
    <row r="1555" ht="15.75" customHeight="1">
      <c r="B1555" s="48">
        <v>3.582977E7</v>
      </c>
      <c r="C1555" s="80" t="s">
        <v>3911</v>
      </c>
      <c r="D1555" s="140" t="s">
        <v>636</v>
      </c>
      <c r="E1555" s="80" t="s">
        <v>4365</v>
      </c>
      <c r="F1555" s="80">
        <v>130.0860434</v>
      </c>
      <c r="G1555" s="142">
        <v>2.300255076</v>
      </c>
      <c r="H1555" s="143"/>
      <c r="I1555" s="143"/>
      <c r="J1555" s="143"/>
      <c r="K1555" s="143"/>
      <c r="L1555" s="143"/>
      <c r="M1555" s="143"/>
      <c r="N1555" s="80" t="s">
        <v>2777</v>
      </c>
      <c r="O1555" s="80" t="s">
        <v>4366</v>
      </c>
      <c r="P1555" s="80" t="s">
        <v>4367</v>
      </c>
      <c r="Y1555" s="2" t="s">
        <v>23</v>
      </c>
    </row>
    <row r="1556" ht="15.75" customHeight="1">
      <c r="B1556" s="48">
        <v>3.582977E7</v>
      </c>
      <c r="C1556" s="80" t="s">
        <v>3911</v>
      </c>
      <c r="D1556" s="140" t="s">
        <v>636</v>
      </c>
      <c r="E1556" s="80" t="s">
        <v>4327</v>
      </c>
      <c r="F1556" s="80">
        <v>137.0455196</v>
      </c>
      <c r="G1556" s="142">
        <v>2.450479889</v>
      </c>
      <c r="H1556" s="143"/>
      <c r="I1556" s="143"/>
      <c r="J1556" s="143"/>
      <c r="K1556" s="143"/>
      <c r="L1556" s="143"/>
      <c r="M1556" s="143"/>
      <c r="N1556" s="80" t="s">
        <v>2220</v>
      </c>
      <c r="O1556" s="80" t="s">
        <v>4328</v>
      </c>
      <c r="P1556" s="80" t="s">
        <v>4329</v>
      </c>
      <c r="Y1556" s="2" t="s">
        <v>23</v>
      </c>
    </row>
    <row r="1557" ht="15.75" customHeight="1">
      <c r="B1557" s="48">
        <v>3.582977E7</v>
      </c>
      <c r="C1557" s="80" t="s">
        <v>3911</v>
      </c>
      <c r="D1557" s="140" t="s">
        <v>636</v>
      </c>
      <c r="E1557" s="80" t="s">
        <v>331</v>
      </c>
      <c r="F1557" s="80">
        <v>139.0387277</v>
      </c>
      <c r="G1557" s="142">
        <v>17.82675781</v>
      </c>
      <c r="H1557" s="143"/>
      <c r="I1557" s="143"/>
      <c r="J1557" s="143"/>
      <c r="K1557" s="143"/>
      <c r="L1557" s="143"/>
      <c r="M1557" s="143"/>
      <c r="N1557" s="80" t="s">
        <v>1240</v>
      </c>
      <c r="O1557" s="80" t="s">
        <v>4330</v>
      </c>
      <c r="P1557" s="80" t="s">
        <v>4158</v>
      </c>
      <c r="Y1557" s="2" t="s">
        <v>23</v>
      </c>
    </row>
    <row r="1558" ht="15.75" customHeight="1">
      <c r="B1558" s="48">
        <v>3.582977E7</v>
      </c>
      <c r="C1558" s="80" t="s">
        <v>3911</v>
      </c>
      <c r="D1558" s="140" t="s">
        <v>636</v>
      </c>
      <c r="E1558" s="80" t="s">
        <v>3529</v>
      </c>
      <c r="F1558" s="80">
        <v>147.0761803</v>
      </c>
      <c r="G1558" s="142">
        <v>1.974661001</v>
      </c>
      <c r="H1558" s="143"/>
      <c r="I1558" s="143"/>
      <c r="J1558" s="143"/>
      <c r="K1558" s="143"/>
      <c r="L1558" s="143"/>
      <c r="M1558" s="143"/>
      <c r="N1558" s="80" t="s">
        <v>1211</v>
      </c>
      <c r="O1558" s="80" t="s">
        <v>4291</v>
      </c>
      <c r="P1558" s="80" t="s">
        <v>3916</v>
      </c>
      <c r="Y1558" s="2" t="s">
        <v>23</v>
      </c>
    </row>
    <row r="1559" ht="15.75" customHeight="1">
      <c r="B1559" s="48">
        <v>3.582977E7</v>
      </c>
      <c r="C1559" s="80" t="s">
        <v>3911</v>
      </c>
      <c r="D1559" s="140" t="s">
        <v>636</v>
      </c>
      <c r="E1559" s="80" t="s">
        <v>3538</v>
      </c>
      <c r="F1559" s="80">
        <v>147.1125012</v>
      </c>
      <c r="G1559" s="142">
        <v>1.716119258</v>
      </c>
      <c r="H1559" s="143"/>
      <c r="I1559" s="143"/>
      <c r="J1559" s="143"/>
      <c r="K1559" s="143"/>
      <c r="L1559" s="143"/>
      <c r="M1559" s="143"/>
      <c r="N1559" s="80" t="s">
        <v>2388</v>
      </c>
      <c r="O1559" s="80" t="s">
        <v>4368</v>
      </c>
      <c r="P1559" s="80" t="s">
        <v>4369</v>
      </c>
      <c r="Y1559" s="2" t="s">
        <v>23</v>
      </c>
    </row>
    <row r="1560" ht="15.75" customHeight="1">
      <c r="B1560" s="48">
        <v>3.582977E7</v>
      </c>
      <c r="C1560" s="80" t="s">
        <v>3911</v>
      </c>
      <c r="D1560" s="140" t="s">
        <v>636</v>
      </c>
      <c r="E1560" s="80" t="s">
        <v>3528</v>
      </c>
      <c r="F1560" s="80">
        <v>148.0600392</v>
      </c>
      <c r="G1560" s="142">
        <v>2.0954402</v>
      </c>
      <c r="H1560" s="143"/>
      <c r="I1560" s="143"/>
      <c r="J1560" s="143"/>
      <c r="K1560" s="143"/>
      <c r="L1560" s="143"/>
      <c r="M1560" s="143"/>
      <c r="N1560" s="80" t="s">
        <v>2032</v>
      </c>
      <c r="O1560" s="80" t="s">
        <v>4292</v>
      </c>
      <c r="P1560" s="80" t="s">
        <v>4232</v>
      </c>
      <c r="Y1560" s="2" t="s">
        <v>23</v>
      </c>
    </row>
    <row r="1561" ht="15.75" customHeight="1">
      <c r="B1561" s="48">
        <v>3.582977E7</v>
      </c>
      <c r="C1561" s="80" t="s">
        <v>3911</v>
      </c>
      <c r="D1561" s="140" t="s">
        <v>636</v>
      </c>
      <c r="E1561" s="80" t="s">
        <v>4334</v>
      </c>
      <c r="F1561" s="80">
        <v>150.0581491</v>
      </c>
      <c r="G1561" s="142">
        <v>2.518510183</v>
      </c>
      <c r="H1561" s="143"/>
      <c r="I1561" s="143"/>
      <c r="J1561" s="143"/>
      <c r="K1561" s="143"/>
      <c r="L1561" s="143"/>
      <c r="M1561" s="143"/>
      <c r="N1561" s="80" t="s">
        <v>2444</v>
      </c>
      <c r="O1561" s="80" t="s">
        <v>4335</v>
      </c>
      <c r="P1561" s="80" t="s">
        <v>4336</v>
      </c>
      <c r="Y1561" s="2" t="s">
        <v>23</v>
      </c>
    </row>
    <row r="1562" ht="15.75" customHeight="1">
      <c r="B1562" s="48">
        <v>3.582977E7</v>
      </c>
      <c r="C1562" s="80" t="s">
        <v>3911</v>
      </c>
      <c r="D1562" s="140" t="s">
        <v>636</v>
      </c>
      <c r="E1562" s="80" t="s">
        <v>4139</v>
      </c>
      <c r="F1562" s="80">
        <v>152.1430887</v>
      </c>
      <c r="G1562" s="142">
        <v>11.73940531</v>
      </c>
      <c r="H1562" s="143"/>
      <c r="I1562" s="143"/>
      <c r="J1562" s="143"/>
      <c r="K1562" s="143"/>
      <c r="L1562" s="143"/>
      <c r="M1562" s="143"/>
      <c r="N1562" s="80" t="s">
        <v>4140</v>
      </c>
      <c r="O1562" s="80" t="s">
        <v>4337</v>
      </c>
      <c r="P1562" s="80" t="s">
        <v>4142</v>
      </c>
      <c r="Y1562" s="2" t="s">
        <v>23</v>
      </c>
    </row>
    <row r="1563" ht="15.75" customHeight="1">
      <c r="B1563" s="48">
        <v>3.582977E7</v>
      </c>
      <c r="C1563" s="80" t="s">
        <v>3911</v>
      </c>
      <c r="D1563" s="140" t="s">
        <v>636</v>
      </c>
      <c r="E1563" s="80" t="s">
        <v>3531</v>
      </c>
      <c r="F1563" s="80">
        <v>156.0764312</v>
      </c>
      <c r="G1563" s="142">
        <v>1.755798467</v>
      </c>
      <c r="H1563" s="143"/>
      <c r="I1563" s="143"/>
      <c r="J1563" s="143"/>
      <c r="K1563" s="143"/>
      <c r="L1563" s="143"/>
      <c r="M1563" s="143"/>
      <c r="N1563" s="80" t="s">
        <v>2182</v>
      </c>
      <c r="O1563" s="80" t="s">
        <v>4295</v>
      </c>
      <c r="P1563" s="80" t="s">
        <v>4234</v>
      </c>
      <c r="Y1563" s="2" t="s">
        <v>23</v>
      </c>
    </row>
    <row r="1564" ht="15.75" customHeight="1">
      <c r="B1564" s="48">
        <v>3.582977E7</v>
      </c>
      <c r="C1564" s="80" t="s">
        <v>3911</v>
      </c>
      <c r="D1564" s="140" t="s">
        <v>636</v>
      </c>
      <c r="E1564" s="80" t="s">
        <v>4341</v>
      </c>
      <c r="F1564" s="80">
        <v>175.1186259</v>
      </c>
      <c r="G1564" s="142">
        <v>1.815594355</v>
      </c>
      <c r="H1564" s="143"/>
      <c r="I1564" s="143"/>
      <c r="J1564" s="143"/>
      <c r="K1564" s="143"/>
      <c r="L1564" s="143"/>
      <c r="M1564" s="143"/>
      <c r="N1564" s="80" t="s">
        <v>1526</v>
      </c>
      <c r="O1564" s="80" t="s">
        <v>4342</v>
      </c>
      <c r="P1564" s="80" t="s">
        <v>4343</v>
      </c>
      <c r="Y1564" s="2" t="s">
        <v>23</v>
      </c>
    </row>
    <row r="1565" ht="15.75" customHeight="1">
      <c r="B1565" s="48">
        <v>3.582977E7</v>
      </c>
      <c r="C1565" s="80" t="s">
        <v>3911</v>
      </c>
      <c r="D1565" s="140" t="s">
        <v>636</v>
      </c>
      <c r="E1565" s="80" t="s">
        <v>4344</v>
      </c>
      <c r="F1565" s="80">
        <v>176.0703558</v>
      </c>
      <c r="G1565" s="142">
        <v>13.50334574</v>
      </c>
      <c r="H1565" s="143"/>
      <c r="I1565" s="143"/>
      <c r="J1565" s="143"/>
      <c r="K1565" s="143"/>
      <c r="L1565" s="143"/>
      <c r="M1565" s="143"/>
      <c r="N1565" s="80" t="s">
        <v>2237</v>
      </c>
      <c r="O1565" s="80" t="s">
        <v>4345</v>
      </c>
      <c r="P1565" s="80" t="s">
        <v>4011</v>
      </c>
      <c r="Y1565" s="2" t="s">
        <v>23</v>
      </c>
    </row>
    <row r="1566" ht="15.75" customHeight="1">
      <c r="B1566" s="48">
        <v>3.582977E7</v>
      </c>
      <c r="C1566" s="80" t="s">
        <v>3911</v>
      </c>
      <c r="D1566" s="140" t="s">
        <v>636</v>
      </c>
      <c r="E1566" s="80" t="s">
        <v>4297</v>
      </c>
      <c r="F1566" s="80">
        <v>198.0756259</v>
      </c>
      <c r="G1566" s="142">
        <v>2.382957204</v>
      </c>
      <c r="H1566" s="143"/>
      <c r="I1566" s="143"/>
      <c r="J1566" s="143"/>
      <c r="K1566" s="143"/>
      <c r="L1566" s="143"/>
      <c r="M1566" s="143"/>
      <c r="N1566" s="80" t="s">
        <v>4298</v>
      </c>
      <c r="O1566" s="80" t="s">
        <v>4299</v>
      </c>
      <c r="P1566" s="80" t="s">
        <v>4300</v>
      </c>
      <c r="Y1566" s="2" t="s">
        <v>23</v>
      </c>
    </row>
    <row r="1567" ht="15.75" customHeight="1">
      <c r="B1567" s="48">
        <v>3.582977E7</v>
      </c>
      <c r="C1567" s="80" t="s">
        <v>3911</v>
      </c>
      <c r="D1567" s="140" t="s">
        <v>636</v>
      </c>
      <c r="E1567" s="80" t="s">
        <v>4348</v>
      </c>
      <c r="F1567" s="80">
        <v>219.1121464</v>
      </c>
      <c r="G1567" s="142">
        <v>12.73841858</v>
      </c>
      <c r="H1567" s="143"/>
      <c r="I1567" s="143"/>
      <c r="J1567" s="143"/>
      <c r="K1567" s="143"/>
      <c r="L1567" s="143"/>
      <c r="M1567" s="143"/>
      <c r="N1567" s="80" t="s">
        <v>4349</v>
      </c>
      <c r="O1567" s="80" t="s">
        <v>4350</v>
      </c>
      <c r="P1567" s="80" t="s">
        <v>4351</v>
      </c>
      <c r="Y1567" s="2" t="s">
        <v>23</v>
      </c>
    </row>
    <row r="1568" ht="15.75" customHeight="1">
      <c r="B1568" s="48">
        <v>3.582977E7</v>
      </c>
      <c r="C1568" s="80" t="s">
        <v>3911</v>
      </c>
      <c r="D1568" s="140" t="s">
        <v>636</v>
      </c>
      <c r="E1568" s="80" t="s">
        <v>259</v>
      </c>
      <c r="F1568" s="80">
        <v>220.1172286</v>
      </c>
      <c r="G1568" s="142">
        <v>6.979924011</v>
      </c>
      <c r="H1568" s="143"/>
      <c r="I1568" s="143"/>
      <c r="J1568" s="143"/>
      <c r="K1568" s="143"/>
      <c r="L1568" s="143"/>
      <c r="M1568" s="143"/>
      <c r="N1568" s="80" t="s">
        <v>2936</v>
      </c>
      <c r="O1568" s="80" t="s">
        <v>4352</v>
      </c>
      <c r="P1568" s="80" t="s">
        <v>4353</v>
      </c>
      <c r="Y1568" s="2" t="s">
        <v>23</v>
      </c>
    </row>
    <row r="1569" ht="15.75" customHeight="1">
      <c r="B1569" s="48">
        <v>3.582977E7</v>
      </c>
      <c r="C1569" s="80" t="s">
        <v>3911</v>
      </c>
      <c r="D1569" s="140" t="s">
        <v>636</v>
      </c>
      <c r="E1569" s="80" t="s">
        <v>4354</v>
      </c>
      <c r="F1569" s="80">
        <v>241.0303003</v>
      </c>
      <c r="G1569" s="142">
        <v>2.055383937</v>
      </c>
      <c r="H1569" s="143"/>
      <c r="I1569" s="143"/>
      <c r="J1569" s="143"/>
      <c r="K1569" s="143"/>
      <c r="L1569" s="143"/>
      <c r="M1569" s="143"/>
      <c r="N1569" s="80" t="s">
        <v>1747</v>
      </c>
      <c r="O1569" s="80" t="s">
        <v>4355</v>
      </c>
      <c r="P1569" s="80" t="s">
        <v>4356</v>
      </c>
      <c r="Y1569" s="2" t="s">
        <v>23</v>
      </c>
    </row>
    <row r="1570" ht="15.75" customHeight="1">
      <c r="B1570" s="48">
        <v>3.582977E7</v>
      </c>
      <c r="C1570" s="80" t="s">
        <v>3911</v>
      </c>
      <c r="D1570" s="140" t="s">
        <v>636</v>
      </c>
      <c r="E1570" s="80" t="s">
        <v>4370</v>
      </c>
      <c r="F1570" s="80">
        <v>260.1634867</v>
      </c>
      <c r="G1570" s="142">
        <v>14.08915507</v>
      </c>
      <c r="H1570" s="143"/>
      <c r="I1570" s="143"/>
      <c r="J1570" s="143"/>
      <c r="K1570" s="143"/>
      <c r="L1570" s="143"/>
      <c r="M1570" s="143"/>
      <c r="N1570" s="80" t="s">
        <v>4358</v>
      </c>
      <c r="O1570" s="80" t="s">
        <v>4371</v>
      </c>
      <c r="P1570" s="80" t="s">
        <v>4372</v>
      </c>
      <c r="Y1570" s="2" t="s">
        <v>23</v>
      </c>
    </row>
    <row r="1571" ht="15.75" customHeight="1">
      <c r="B1571" s="48">
        <v>3.582977E7</v>
      </c>
      <c r="C1571" s="80" t="s">
        <v>3911</v>
      </c>
      <c r="D1571" s="140" t="s">
        <v>636</v>
      </c>
      <c r="E1571" s="80" t="s">
        <v>4006</v>
      </c>
      <c r="F1571" s="80">
        <v>268.1045979</v>
      </c>
      <c r="G1571" s="142">
        <v>10.5635142</v>
      </c>
      <c r="H1571" s="143"/>
      <c r="I1571" s="143"/>
      <c r="J1571" s="143"/>
      <c r="K1571" s="143"/>
      <c r="L1571" s="143"/>
      <c r="M1571" s="143"/>
      <c r="N1571" s="80" t="s">
        <v>933</v>
      </c>
      <c r="O1571" s="80" t="s">
        <v>4301</v>
      </c>
      <c r="P1571" s="80" t="s">
        <v>4008</v>
      </c>
      <c r="Y1571" s="2" t="s">
        <v>23</v>
      </c>
    </row>
    <row r="1572" ht="15.75" customHeight="1">
      <c r="B1572" s="48">
        <v>3.582977E7</v>
      </c>
      <c r="C1572" s="80" t="s">
        <v>3911</v>
      </c>
      <c r="D1572" s="140" t="s">
        <v>636</v>
      </c>
      <c r="E1572" s="80" t="s">
        <v>4302</v>
      </c>
      <c r="F1572" s="80">
        <v>268.1896843</v>
      </c>
      <c r="G1572" s="142">
        <v>12.1666158</v>
      </c>
      <c r="H1572" s="143"/>
      <c r="I1572" s="143"/>
      <c r="J1572" s="143"/>
      <c r="K1572" s="143"/>
      <c r="L1572" s="143"/>
      <c r="M1572" s="143"/>
      <c r="N1572" s="80" t="s">
        <v>4303</v>
      </c>
      <c r="O1572" s="80" t="s">
        <v>4304</v>
      </c>
      <c r="P1572" s="80" t="s">
        <v>4305</v>
      </c>
      <c r="Y1572" s="2" t="s">
        <v>23</v>
      </c>
    </row>
    <row r="1573" ht="15.75" customHeight="1">
      <c r="B1573" s="48">
        <v>3.582977E7</v>
      </c>
      <c r="C1573" s="80" t="s">
        <v>3911</v>
      </c>
      <c r="D1573" s="140" t="s">
        <v>636</v>
      </c>
      <c r="E1573" s="80" t="s">
        <v>4279</v>
      </c>
      <c r="F1573" s="80">
        <v>286.1429781</v>
      </c>
      <c r="G1573" s="142">
        <v>17.5038798</v>
      </c>
      <c r="H1573" s="143"/>
      <c r="I1573" s="143"/>
      <c r="J1573" s="143"/>
      <c r="K1573" s="143"/>
      <c r="L1573" s="143"/>
      <c r="M1573" s="143"/>
      <c r="N1573" s="80" t="s">
        <v>4083</v>
      </c>
      <c r="O1573" s="80" t="s">
        <v>4362</v>
      </c>
      <c r="P1573" s="80" t="s">
        <v>4085</v>
      </c>
      <c r="Y1573" s="2" t="s">
        <v>23</v>
      </c>
    </row>
    <row r="1574" ht="15.75" customHeight="1">
      <c r="B1574" s="48">
        <v>3.582977E7</v>
      </c>
      <c r="C1574" s="80" t="s">
        <v>3911</v>
      </c>
      <c r="D1574" s="140" t="s">
        <v>636</v>
      </c>
      <c r="E1574" s="80" t="s">
        <v>4114</v>
      </c>
      <c r="F1574" s="80">
        <v>307.110256</v>
      </c>
      <c r="G1574" s="142">
        <v>12.65436452</v>
      </c>
      <c r="H1574" s="143"/>
      <c r="I1574" s="143"/>
      <c r="J1574" s="143"/>
      <c r="K1574" s="143"/>
      <c r="L1574" s="143"/>
      <c r="M1574" s="143"/>
      <c r="N1574" s="80" t="s">
        <v>4115</v>
      </c>
      <c r="O1574" s="80" t="s">
        <v>4363</v>
      </c>
      <c r="P1574" s="80" t="s">
        <v>4117</v>
      </c>
      <c r="Y1574" s="2" t="s">
        <v>23</v>
      </c>
    </row>
    <row r="1575" ht="15.75" customHeight="1">
      <c r="B1575" s="48">
        <v>3.582977E7</v>
      </c>
      <c r="C1575" s="80" t="s">
        <v>3911</v>
      </c>
      <c r="D1575" s="140" t="s">
        <v>636</v>
      </c>
      <c r="E1575" s="80" t="s">
        <v>4306</v>
      </c>
      <c r="F1575" s="80">
        <v>361.19964</v>
      </c>
      <c r="G1575" s="142">
        <v>15.21182048</v>
      </c>
      <c r="H1575" s="143"/>
      <c r="I1575" s="143"/>
      <c r="J1575" s="143"/>
      <c r="K1575" s="143"/>
      <c r="L1575" s="143"/>
      <c r="M1575" s="143"/>
      <c r="N1575" s="80" t="s">
        <v>4307</v>
      </c>
      <c r="O1575" s="80" t="s">
        <v>4308</v>
      </c>
      <c r="P1575" s="80" t="s">
        <v>4309</v>
      </c>
      <c r="Y1575" s="2" t="s">
        <v>23</v>
      </c>
    </row>
    <row r="1576" ht="15.75" customHeight="1">
      <c r="B1576" s="48">
        <v>3.582977E7</v>
      </c>
      <c r="C1576" s="80" t="s">
        <v>3911</v>
      </c>
      <c r="D1576" s="140" t="s">
        <v>636</v>
      </c>
      <c r="E1576" s="80" t="s">
        <v>4310</v>
      </c>
      <c r="F1576" s="80">
        <v>363.2153649</v>
      </c>
      <c r="G1576" s="142">
        <v>15.60171102</v>
      </c>
      <c r="H1576" s="143"/>
      <c r="I1576" s="143"/>
      <c r="J1576" s="143"/>
      <c r="K1576" s="143"/>
      <c r="L1576" s="143"/>
      <c r="M1576" s="143"/>
      <c r="N1576" s="80" t="s">
        <v>4311</v>
      </c>
      <c r="O1576" s="80" t="s">
        <v>4312</v>
      </c>
      <c r="P1576" s="80" t="s">
        <v>4313</v>
      </c>
      <c r="Y1576" s="2" t="s">
        <v>23</v>
      </c>
    </row>
    <row r="1577" ht="15.75" customHeight="1">
      <c r="B1577" s="48">
        <v>3.582977E7</v>
      </c>
      <c r="C1577" s="80" t="s">
        <v>3911</v>
      </c>
      <c r="D1577" s="140" t="s">
        <v>636</v>
      </c>
      <c r="E1577" s="80" t="s">
        <v>4129</v>
      </c>
      <c r="F1577" s="80">
        <v>76.07569983</v>
      </c>
      <c r="G1577" s="142">
        <v>1.935008876</v>
      </c>
      <c r="H1577" s="143"/>
      <c r="I1577" s="143"/>
      <c r="J1577" s="143"/>
      <c r="K1577" s="143"/>
      <c r="L1577" s="143"/>
      <c r="M1577" s="143"/>
      <c r="N1577" s="80" t="s">
        <v>3385</v>
      </c>
      <c r="O1577" s="145" t="s">
        <v>4314</v>
      </c>
      <c r="P1577" s="80" t="s">
        <v>4131</v>
      </c>
      <c r="Y1577" s="2" t="s">
        <v>23</v>
      </c>
    </row>
    <row r="1578" ht="15.75" customHeight="1">
      <c r="B1578" s="48">
        <v>3.582977E7</v>
      </c>
      <c r="C1578" s="80" t="s">
        <v>3911</v>
      </c>
      <c r="D1578" s="140" t="s">
        <v>636</v>
      </c>
      <c r="E1578" s="80" t="s">
        <v>3526</v>
      </c>
      <c r="F1578" s="80">
        <v>114.0660854</v>
      </c>
      <c r="G1578" s="142">
        <v>1.915215174</v>
      </c>
      <c r="H1578" s="143"/>
      <c r="I1578" s="143"/>
      <c r="J1578" s="143"/>
      <c r="K1578" s="143"/>
      <c r="L1578" s="143"/>
      <c r="M1578" s="143"/>
      <c r="N1578" s="80" t="s">
        <v>638</v>
      </c>
      <c r="O1578" s="145" t="s">
        <v>4290</v>
      </c>
      <c r="P1578" s="80" t="s">
        <v>3969</v>
      </c>
      <c r="Y1578" s="2" t="s">
        <v>23</v>
      </c>
    </row>
    <row r="1579" ht="15.75" customHeight="1">
      <c r="B1579" s="48">
        <v>3.582977E7</v>
      </c>
      <c r="C1579" s="80" t="s">
        <v>3911</v>
      </c>
      <c r="D1579" s="140" t="s">
        <v>636</v>
      </c>
      <c r="E1579" s="80" t="s">
        <v>380</v>
      </c>
      <c r="F1579" s="80">
        <v>126.0216616</v>
      </c>
      <c r="G1579" s="142">
        <v>2.095440165</v>
      </c>
      <c r="H1579" s="143"/>
      <c r="I1579" s="143"/>
      <c r="J1579" s="143"/>
      <c r="K1579" s="143"/>
      <c r="L1579" s="143"/>
      <c r="M1579" s="143"/>
      <c r="N1579" s="80" t="s">
        <v>3300</v>
      </c>
      <c r="O1579" s="145" t="s">
        <v>4315</v>
      </c>
      <c r="P1579" s="80" t="s">
        <v>4199</v>
      </c>
      <c r="Y1579" s="2" t="s">
        <v>23</v>
      </c>
    </row>
    <row r="1580" ht="15.75" customHeight="1">
      <c r="B1580" s="48">
        <v>3.582977E7</v>
      </c>
      <c r="C1580" s="80" t="s">
        <v>3911</v>
      </c>
      <c r="D1580" s="140" t="s">
        <v>636</v>
      </c>
      <c r="E1580" s="80" t="s">
        <v>4318</v>
      </c>
      <c r="F1580" s="80">
        <v>130.0649377</v>
      </c>
      <c r="G1580" s="142">
        <v>9.083832804</v>
      </c>
      <c r="H1580" s="143"/>
      <c r="I1580" s="143"/>
      <c r="J1580" s="143"/>
      <c r="K1580" s="143"/>
      <c r="L1580" s="143"/>
      <c r="M1580" s="143"/>
      <c r="N1580" s="80" t="s">
        <v>4319</v>
      </c>
      <c r="O1580" s="145" t="s">
        <v>4320</v>
      </c>
      <c r="P1580" s="80" t="s">
        <v>4321</v>
      </c>
      <c r="Y1580" s="2" t="s">
        <v>23</v>
      </c>
    </row>
    <row r="1581" ht="15.75" customHeight="1">
      <c r="B1581" s="48">
        <v>3.582977E7</v>
      </c>
      <c r="C1581" s="80" t="s">
        <v>3911</v>
      </c>
      <c r="D1581" s="140" t="s">
        <v>636</v>
      </c>
      <c r="E1581" s="80" t="s">
        <v>4318</v>
      </c>
      <c r="F1581" s="80">
        <v>130.0649995</v>
      </c>
      <c r="G1581" s="142">
        <v>13.50334574</v>
      </c>
      <c r="H1581" s="143"/>
      <c r="I1581" s="143"/>
      <c r="J1581" s="143"/>
      <c r="K1581" s="143"/>
      <c r="L1581" s="143"/>
      <c r="M1581" s="143"/>
      <c r="N1581" s="80" t="s">
        <v>4319</v>
      </c>
      <c r="O1581" s="145" t="s">
        <v>4320</v>
      </c>
      <c r="P1581" s="80" t="s">
        <v>4321</v>
      </c>
      <c r="Y1581" s="2" t="s">
        <v>23</v>
      </c>
    </row>
    <row r="1582" ht="15.75" customHeight="1">
      <c r="B1582" s="48">
        <v>3.582977E7</v>
      </c>
      <c r="C1582" s="80" t="s">
        <v>3911</v>
      </c>
      <c r="D1582" s="140" t="s">
        <v>636</v>
      </c>
      <c r="E1582" s="80" t="s">
        <v>4318</v>
      </c>
      <c r="F1582" s="80">
        <v>130.0649808</v>
      </c>
      <c r="G1582" s="142">
        <v>14.59546102</v>
      </c>
      <c r="H1582" s="143"/>
      <c r="I1582" s="143"/>
      <c r="J1582" s="143"/>
      <c r="K1582" s="143"/>
      <c r="L1582" s="143"/>
      <c r="M1582" s="143"/>
      <c r="N1582" s="80" t="s">
        <v>4319</v>
      </c>
      <c r="O1582" s="145" t="s">
        <v>4320</v>
      </c>
      <c r="P1582" s="80" t="s">
        <v>4321</v>
      </c>
      <c r="Y1582" s="2" t="s">
        <v>23</v>
      </c>
    </row>
    <row r="1583" ht="15.75" customHeight="1">
      <c r="B1583" s="48">
        <v>3.582977E7</v>
      </c>
      <c r="C1583" s="80" t="s">
        <v>3911</v>
      </c>
      <c r="D1583" s="140" t="s">
        <v>636</v>
      </c>
      <c r="E1583" s="80" t="s">
        <v>4327</v>
      </c>
      <c r="F1583" s="80">
        <v>137.0455196</v>
      </c>
      <c r="G1583" s="142">
        <v>2.450479889</v>
      </c>
      <c r="H1583" s="143"/>
      <c r="I1583" s="143"/>
      <c r="J1583" s="143"/>
      <c r="K1583" s="143"/>
      <c r="L1583" s="143"/>
      <c r="M1583" s="143"/>
      <c r="N1583" s="80" t="s">
        <v>2220</v>
      </c>
      <c r="O1583" s="145" t="s">
        <v>4328</v>
      </c>
      <c r="P1583" s="80" t="s">
        <v>4329</v>
      </c>
      <c r="Y1583" s="2" t="s">
        <v>23</v>
      </c>
    </row>
    <row r="1584" ht="15.75" customHeight="1">
      <c r="B1584" s="48">
        <v>3.582977E7</v>
      </c>
      <c r="C1584" s="80" t="s">
        <v>3911</v>
      </c>
      <c r="D1584" s="140" t="s">
        <v>636</v>
      </c>
      <c r="E1584" s="80" t="s">
        <v>4373</v>
      </c>
      <c r="F1584" s="80">
        <v>139.0387277</v>
      </c>
      <c r="G1584" s="142">
        <v>17.82675781</v>
      </c>
      <c r="H1584" s="143"/>
      <c r="I1584" s="143"/>
      <c r="J1584" s="143"/>
      <c r="K1584" s="143"/>
      <c r="L1584" s="143"/>
      <c r="M1584" s="143"/>
      <c r="N1584" s="80" t="s">
        <v>1240</v>
      </c>
      <c r="O1584" s="145" t="s">
        <v>4374</v>
      </c>
      <c r="P1584" s="80" t="s">
        <v>4375</v>
      </c>
      <c r="Y1584" s="2" t="s">
        <v>23</v>
      </c>
    </row>
    <row r="1585" ht="15.75" customHeight="1">
      <c r="B1585" s="48">
        <v>3.582977E7</v>
      </c>
      <c r="C1585" s="80" t="s">
        <v>3911</v>
      </c>
      <c r="D1585" s="140" t="s">
        <v>636</v>
      </c>
      <c r="E1585" s="80" t="s">
        <v>3529</v>
      </c>
      <c r="F1585" s="80">
        <v>147.0761803</v>
      </c>
      <c r="G1585" s="142">
        <v>1.974661001</v>
      </c>
      <c r="H1585" s="143"/>
      <c r="I1585" s="143"/>
      <c r="J1585" s="143"/>
      <c r="K1585" s="143"/>
      <c r="L1585" s="143"/>
      <c r="M1585" s="143"/>
      <c r="N1585" s="80" t="s">
        <v>1211</v>
      </c>
      <c r="O1585" s="145" t="s">
        <v>4291</v>
      </c>
      <c r="P1585" s="80" t="s">
        <v>3916</v>
      </c>
      <c r="Y1585" s="2" t="s">
        <v>23</v>
      </c>
    </row>
    <row r="1586" ht="15.75" customHeight="1">
      <c r="B1586" s="48">
        <v>3.582977E7</v>
      </c>
      <c r="C1586" s="80" t="s">
        <v>3911</v>
      </c>
      <c r="D1586" s="140" t="s">
        <v>636</v>
      </c>
      <c r="E1586" s="80" t="s">
        <v>3538</v>
      </c>
      <c r="F1586" s="80">
        <v>147.1125012</v>
      </c>
      <c r="G1586" s="142">
        <v>1.716119258</v>
      </c>
      <c r="H1586" s="143"/>
      <c r="I1586" s="143"/>
      <c r="J1586" s="143"/>
      <c r="K1586" s="143"/>
      <c r="L1586" s="143"/>
      <c r="M1586" s="143"/>
      <c r="N1586" s="80" t="s">
        <v>2388</v>
      </c>
      <c r="O1586" s="145" t="s">
        <v>4368</v>
      </c>
      <c r="P1586" s="80" t="s">
        <v>4369</v>
      </c>
      <c r="Y1586" s="2" t="s">
        <v>23</v>
      </c>
    </row>
    <row r="1587" ht="15.75" customHeight="1">
      <c r="B1587" s="48">
        <v>3.582977E7</v>
      </c>
      <c r="C1587" s="80" t="s">
        <v>3911</v>
      </c>
      <c r="D1587" s="140" t="s">
        <v>636</v>
      </c>
      <c r="E1587" s="80" t="s">
        <v>3528</v>
      </c>
      <c r="F1587" s="80">
        <v>148.0600392</v>
      </c>
      <c r="G1587" s="142">
        <v>2.0954402</v>
      </c>
      <c r="H1587" s="143"/>
      <c r="I1587" s="143"/>
      <c r="J1587" s="143"/>
      <c r="K1587" s="143"/>
      <c r="L1587" s="143"/>
      <c r="M1587" s="143"/>
      <c r="N1587" s="80" t="s">
        <v>2032</v>
      </c>
      <c r="O1587" s="145" t="s">
        <v>4292</v>
      </c>
      <c r="P1587" s="80" t="s">
        <v>4232</v>
      </c>
      <c r="Y1587" s="2" t="s">
        <v>23</v>
      </c>
    </row>
    <row r="1588" ht="15.75" customHeight="1">
      <c r="B1588" s="48">
        <v>3.582977E7</v>
      </c>
      <c r="C1588" s="80" t="s">
        <v>3911</v>
      </c>
      <c r="D1588" s="140" t="s">
        <v>636</v>
      </c>
      <c r="E1588" s="80" t="s">
        <v>4334</v>
      </c>
      <c r="F1588" s="80">
        <v>150.0581491</v>
      </c>
      <c r="G1588" s="142">
        <v>2.518510183</v>
      </c>
      <c r="H1588" s="143"/>
      <c r="I1588" s="143"/>
      <c r="J1588" s="143"/>
      <c r="K1588" s="143"/>
      <c r="L1588" s="143"/>
      <c r="M1588" s="143"/>
      <c r="N1588" s="80" t="s">
        <v>2444</v>
      </c>
      <c r="O1588" s="145" t="s">
        <v>4335</v>
      </c>
      <c r="P1588" s="80" t="s">
        <v>4336</v>
      </c>
      <c r="Y1588" s="2" t="s">
        <v>23</v>
      </c>
    </row>
    <row r="1589" ht="15.75" customHeight="1">
      <c r="B1589" s="48">
        <v>3.582977E7</v>
      </c>
      <c r="C1589" s="80" t="s">
        <v>3911</v>
      </c>
      <c r="D1589" s="140" t="s">
        <v>636</v>
      </c>
      <c r="E1589" s="80" t="s">
        <v>4139</v>
      </c>
      <c r="F1589" s="80">
        <v>152.1430887</v>
      </c>
      <c r="G1589" s="142">
        <v>11.73940531</v>
      </c>
      <c r="H1589" s="143"/>
      <c r="I1589" s="143"/>
      <c r="J1589" s="143"/>
      <c r="K1589" s="143"/>
      <c r="L1589" s="143"/>
      <c r="M1589" s="143"/>
      <c r="N1589" s="80" t="s">
        <v>4140</v>
      </c>
      <c r="O1589" s="145" t="s">
        <v>4337</v>
      </c>
      <c r="P1589" s="80" t="s">
        <v>4142</v>
      </c>
      <c r="Y1589" s="2" t="s">
        <v>23</v>
      </c>
    </row>
    <row r="1590" ht="15.75" customHeight="1">
      <c r="B1590" s="48">
        <v>3.582977E7</v>
      </c>
      <c r="C1590" s="80" t="s">
        <v>3911</v>
      </c>
      <c r="D1590" s="140" t="s">
        <v>636</v>
      </c>
      <c r="E1590" s="80" t="s">
        <v>3531</v>
      </c>
      <c r="F1590" s="80">
        <v>156.0764312</v>
      </c>
      <c r="G1590" s="142">
        <v>1.755798467</v>
      </c>
      <c r="H1590" s="143"/>
      <c r="I1590" s="143"/>
      <c r="J1590" s="143"/>
      <c r="K1590" s="143"/>
      <c r="L1590" s="143"/>
      <c r="M1590" s="143"/>
      <c r="N1590" s="80" t="s">
        <v>2182</v>
      </c>
      <c r="O1590" s="145" t="s">
        <v>4295</v>
      </c>
      <c r="P1590" s="80" t="s">
        <v>4234</v>
      </c>
      <c r="Y1590" s="2" t="s">
        <v>23</v>
      </c>
    </row>
    <row r="1591" ht="15.75" customHeight="1">
      <c r="B1591" s="48">
        <v>3.582977E7</v>
      </c>
      <c r="C1591" s="80" t="s">
        <v>3911</v>
      </c>
      <c r="D1591" s="140" t="s">
        <v>636</v>
      </c>
      <c r="E1591" s="80" t="s">
        <v>315</v>
      </c>
      <c r="F1591" s="80">
        <v>167.0559838</v>
      </c>
      <c r="G1591" s="142">
        <v>4.372603861</v>
      </c>
      <c r="H1591" s="143"/>
      <c r="I1591" s="143"/>
      <c r="J1591" s="143"/>
      <c r="K1591" s="143"/>
      <c r="L1591" s="143"/>
      <c r="M1591" s="143"/>
      <c r="N1591" s="80" t="s">
        <v>775</v>
      </c>
      <c r="O1591" s="145" t="s">
        <v>4340</v>
      </c>
      <c r="P1591" s="80" t="s">
        <v>4005</v>
      </c>
      <c r="Y1591" s="2" t="s">
        <v>23</v>
      </c>
    </row>
    <row r="1592" ht="15.75" customHeight="1">
      <c r="B1592" s="48">
        <v>3.582977E7</v>
      </c>
      <c r="C1592" s="80" t="s">
        <v>3911</v>
      </c>
      <c r="D1592" s="140" t="s">
        <v>636</v>
      </c>
      <c r="E1592" s="80" t="s">
        <v>4241</v>
      </c>
      <c r="F1592" s="80">
        <v>175.1186259</v>
      </c>
      <c r="G1592" s="142">
        <v>1.815594355</v>
      </c>
      <c r="H1592" s="143"/>
      <c r="I1592" s="143"/>
      <c r="J1592" s="143"/>
      <c r="K1592" s="143"/>
      <c r="L1592" s="143"/>
      <c r="M1592" s="143"/>
      <c r="N1592" s="80" t="s">
        <v>1526</v>
      </c>
      <c r="O1592" s="145" t="s">
        <v>4296</v>
      </c>
      <c r="P1592" s="80" t="s">
        <v>3924</v>
      </c>
      <c r="Y1592" s="2" t="s">
        <v>23</v>
      </c>
    </row>
    <row r="1593" ht="15.75" customHeight="1">
      <c r="B1593" s="48">
        <v>3.582977E7</v>
      </c>
      <c r="C1593" s="80" t="s">
        <v>3911</v>
      </c>
      <c r="D1593" s="140" t="s">
        <v>636</v>
      </c>
      <c r="E1593" s="80" t="s">
        <v>4344</v>
      </c>
      <c r="F1593" s="80">
        <v>176.0703558</v>
      </c>
      <c r="G1593" s="142">
        <v>13.50334574</v>
      </c>
      <c r="H1593" s="143"/>
      <c r="I1593" s="143"/>
      <c r="J1593" s="143"/>
      <c r="K1593" s="143"/>
      <c r="L1593" s="143"/>
      <c r="M1593" s="143"/>
      <c r="N1593" s="80" t="s">
        <v>2237</v>
      </c>
      <c r="O1593" s="145" t="s">
        <v>4345</v>
      </c>
      <c r="P1593" s="80" t="s">
        <v>4011</v>
      </c>
      <c r="Y1593" s="2" t="s">
        <v>23</v>
      </c>
    </row>
    <row r="1594" ht="15.75" customHeight="1">
      <c r="B1594" s="48">
        <v>3.582977E7</v>
      </c>
      <c r="C1594" s="80" t="s">
        <v>3911</v>
      </c>
      <c r="D1594" s="140" t="s">
        <v>636</v>
      </c>
      <c r="E1594" s="80" t="s">
        <v>4346</v>
      </c>
      <c r="F1594" s="80">
        <v>192.1378333</v>
      </c>
      <c r="G1594" s="142">
        <v>16.15757446</v>
      </c>
      <c r="H1594" s="143"/>
      <c r="I1594" s="143"/>
      <c r="J1594" s="143"/>
      <c r="K1594" s="143"/>
      <c r="L1594" s="143"/>
      <c r="M1594" s="143"/>
      <c r="N1594" s="80" t="s">
        <v>4150</v>
      </c>
      <c r="O1594" s="145" t="s">
        <v>4347</v>
      </c>
      <c r="P1594" s="80" t="s">
        <v>4152</v>
      </c>
      <c r="Y1594" s="2" t="s">
        <v>23</v>
      </c>
    </row>
    <row r="1595" ht="15.75" customHeight="1">
      <c r="B1595" s="48">
        <v>3.582977E7</v>
      </c>
      <c r="C1595" s="80" t="s">
        <v>3911</v>
      </c>
      <c r="D1595" s="140" t="s">
        <v>636</v>
      </c>
      <c r="E1595" s="80" t="s">
        <v>4297</v>
      </c>
      <c r="F1595" s="80">
        <v>198.0756259</v>
      </c>
      <c r="G1595" s="142">
        <v>2.382957204</v>
      </c>
      <c r="H1595" s="143"/>
      <c r="I1595" s="143"/>
      <c r="J1595" s="143"/>
      <c r="K1595" s="143"/>
      <c r="L1595" s="143"/>
      <c r="M1595" s="143"/>
      <c r="N1595" s="80" t="s">
        <v>4298</v>
      </c>
      <c r="O1595" s="145" t="s">
        <v>4299</v>
      </c>
      <c r="P1595" s="80" t="s">
        <v>4300</v>
      </c>
      <c r="Y1595" s="2" t="s">
        <v>23</v>
      </c>
    </row>
    <row r="1596" ht="15.75" customHeight="1">
      <c r="B1596" s="48">
        <v>3.582977E7</v>
      </c>
      <c r="C1596" s="80" t="s">
        <v>3911</v>
      </c>
      <c r="D1596" s="140" t="s">
        <v>636</v>
      </c>
      <c r="E1596" s="80" t="s">
        <v>259</v>
      </c>
      <c r="F1596" s="80">
        <v>220.1172286</v>
      </c>
      <c r="G1596" s="142">
        <v>6.979924011</v>
      </c>
      <c r="H1596" s="143"/>
      <c r="I1596" s="143"/>
      <c r="J1596" s="143"/>
      <c r="K1596" s="143"/>
      <c r="L1596" s="143"/>
      <c r="M1596" s="143"/>
      <c r="N1596" s="80" t="s">
        <v>2936</v>
      </c>
      <c r="O1596" s="145" t="s">
        <v>4352</v>
      </c>
      <c r="P1596" s="80" t="s">
        <v>4353</v>
      </c>
      <c r="Y1596" s="2" t="s">
        <v>23</v>
      </c>
    </row>
    <row r="1597" ht="15.75" customHeight="1">
      <c r="B1597" s="48">
        <v>3.582977E7</v>
      </c>
      <c r="C1597" s="80" t="s">
        <v>3911</v>
      </c>
      <c r="D1597" s="140" t="s">
        <v>636</v>
      </c>
      <c r="E1597" s="80" t="s">
        <v>4354</v>
      </c>
      <c r="F1597" s="80">
        <v>241.0303003</v>
      </c>
      <c r="G1597" s="142">
        <v>2.055383937</v>
      </c>
      <c r="H1597" s="143"/>
      <c r="I1597" s="143"/>
      <c r="J1597" s="143"/>
      <c r="K1597" s="143"/>
      <c r="L1597" s="143"/>
      <c r="M1597" s="143"/>
      <c r="N1597" s="80" t="s">
        <v>1747</v>
      </c>
      <c r="O1597" s="145" t="s">
        <v>4355</v>
      </c>
      <c r="P1597" s="80" t="s">
        <v>4356</v>
      </c>
      <c r="Y1597" s="2" t="s">
        <v>23</v>
      </c>
    </row>
    <row r="1598" ht="15.75" customHeight="1">
      <c r="B1598" s="48">
        <v>3.582977E7</v>
      </c>
      <c r="C1598" s="80" t="s">
        <v>3911</v>
      </c>
      <c r="D1598" s="140" t="s">
        <v>636</v>
      </c>
      <c r="E1598" s="80" t="s">
        <v>4376</v>
      </c>
      <c r="F1598" s="80">
        <v>260.1634867</v>
      </c>
      <c r="G1598" s="142">
        <v>14.08915507</v>
      </c>
      <c r="H1598" s="143"/>
      <c r="I1598" s="143"/>
      <c r="J1598" s="143"/>
      <c r="K1598" s="143"/>
      <c r="L1598" s="143"/>
      <c r="M1598" s="143"/>
      <c r="N1598" s="80" t="s">
        <v>4358</v>
      </c>
      <c r="O1598" s="145" t="s">
        <v>4359</v>
      </c>
      <c r="P1598" s="80" t="s">
        <v>4360</v>
      </c>
      <c r="Y1598" s="2" t="s">
        <v>23</v>
      </c>
    </row>
    <row r="1599" ht="15.75" customHeight="1">
      <c r="B1599" s="48">
        <v>3.582977E7</v>
      </c>
      <c r="C1599" s="80" t="s">
        <v>3911</v>
      </c>
      <c r="D1599" s="140" t="s">
        <v>636</v>
      </c>
      <c r="E1599" s="80" t="s">
        <v>4006</v>
      </c>
      <c r="F1599" s="80">
        <v>268.1045979</v>
      </c>
      <c r="G1599" s="142">
        <v>10.5635142</v>
      </c>
      <c r="H1599" s="143"/>
      <c r="I1599" s="143"/>
      <c r="J1599" s="143"/>
      <c r="K1599" s="143"/>
      <c r="L1599" s="143"/>
      <c r="M1599" s="143"/>
      <c r="N1599" s="80" t="s">
        <v>933</v>
      </c>
      <c r="O1599" s="145" t="s">
        <v>4301</v>
      </c>
      <c r="P1599" s="80" t="s">
        <v>4008</v>
      </c>
      <c r="Y1599" s="2" t="s">
        <v>23</v>
      </c>
    </row>
    <row r="1600" ht="15.75" customHeight="1">
      <c r="B1600" s="48">
        <v>3.582977E7</v>
      </c>
      <c r="C1600" s="80" t="s">
        <v>3911</v>
      </c>
      <c r="D1600" s="140" t="s">
        <v>636</v>
      </c>
      <c r="E1600" s="80" t="s">
        <v>4302</v>
      </c>
      <c r="F1600" s="80">
        <v>268.1896843</v>
      </c>
      <c r="G1600" s="142">
        <v>12.1666158</v>
      </c>
      <c r="H1600" s="143"/>
      <c r="I1600" s="143"/>
      <c r="J1600" s="143"/>
      <c r="K1600" s="143"/>
      <c r="L1600" s="143"/>
      <c r="M1600" s="143"/>
      <c r="N1600" s="80" t="s">
        <v>4303</v>
      </c>
      <c r="O1600" s="145" t="s">
        <v>4304</v>
      </c>
      <c r="P1600" s="80" t="s">
        <v>4305</v>
      </c>
      <c r="Y1600" s="2" t="s">
        <v>23</v>
      </c>
    </row>
    <row r="1601" ht="15.75" customHeight="1">
      <c r="B1601" s="48">
        <v>3.582977E7</v>
      </c>
      <c r="C1601" s="80" t="s">
        <v>3911</v>
      </c>
      <c r="D1601" s="140" t="s">
        <v>636</v>
      </c>
      <c r="E1601" s="80" t="s">
        <v>4306</v>
      </c>
      <c r="F1601" s="80">
        <v>361.19964</v>
      </c>
      <c r="G1601" s="142">
        <v>15.21182048</v>
      </c>
      <c r="H1601" s="143"/>
      <c r="I1601" s="143"/>
      <c r="J1601" s="143"/>
      <c r="K1601" s="143"/>
      <c r="L1601" s="143"/>
      <c r="M1601" s="143"/>
      <c r="N1601" s="80" t="s">
        <v>4307</v>
      </c>
      <c r="O1601" s="145" t="s">
        <v>4308</v>
      </c>
      <c r="P1601" s="80" t="s">
        <v>4309</v>
      </c>
      <c r="Y1601" s="2" t="s">
        <v>23</v>
      </c>
    </row>
    <row r="1602" ht="15.75" customHeight="1">
      <c r="B1602" s="48">
        <v>3.582977E7</v>
      </c>
      <c r="C1602" s="80" t="s">
        <v>3911</v>
      </c>
      <c r="D1602" s="140" t="s">
        <v>636</v>
      </c>
      <c r="E1602" s="80" t="s">
        <v>4310</v>
      </c>
      <c r="F1602" s="80">
        <v>363.2153649</v>
      </c>
      <c r="G1602" s="142">
        <v>15.60171102</v>
      </c>
      <c r="H1602" s="143"/>
      <c r="I1602" s="143"/>
      <c r="J1602" s="143"/>
      <c r="K1602" s="143"/>
      <c r="L1602" s="143"/>
      <c r="M1602" s="143"/>
      <c r="N1602" s="80" t="s">
        <v>4311</v>
      </c>
      <c r="O1602" s="145" t="s">
        <v>4312</v>
      </c>
      <c r="P1602" s="80" t="s">
        <v>4313</v>
      </c>
      <c r="Y1602" s="2" t="s">
        <v>23</v>
      </c>
    </row>
    <row r="1603" ht="15.75" customHeight="1">
      <c r="B1603" s="48">
        <v>3.582977E7</v>
      </c>
      <c r="C1603" s="80" t="s">
        <v>3911</v>
      </c>
      <c r="D1603" s="140" t="s">
        <v>636</v>
      </c>
      <c r="E1603" s="80" t="s">
        <v>4129</v>
      </c>
      <c r="F1603" s="80">
        <v>76.07569983</v>
      </c>
      <c r="G1603" s="142">
        <v>1.935008876</v>
      </c>
      <c r="H1603" s="143"/>
      <c r="I1603" s="143"/>
      <c r="J1603" s="143"/>
      <c r="K1603" s="143"/>
      <c r="L1603" s="143"/>
      <c r="M1603" s="143"/>
      <c r="N1603" s="80" t="s">
        <v>3385</v>
      </c>
      <c r="O1603" s="80" t="s">
        <v>4314</v>
      </c>
      <c r="P1603" s="80" t="s">
        <v>4131</v>
      </c>
      <c r="Y1603" s="2" t="s">
        <v>23</v>
      </c>
    </row>
    <row r="1604" ht="15.75" customHeight="1">
      <c r="B1604" s="48">
        <v>3.582977E7</v>
      </c>
      <c r="C1604" s="80" t="s">
        <v>3911</v>
      </c>
      <c r="D1604" s="140" t="s">
        <v>636</v>
      </c>
      <c r="E1604" s="80" t="s">
        <v>3526</v>
      </c>
      <c r="F1604" s="80">
        <v>114.0660854</v>
      </c>
      <c r="G1604" s="142">
        <v>1.915215174</v>
      </c>
      <c r="H1604" s="143"/>
      <c r="I1604" s="143"/>
      <c r="J1604" s="143"/>
      <c r="K1604" s="143"/>
      <c r="L1604" s="143"/>
      <c r="M1604" s="143"/>
      <c r="N1604" s="80" t="s">
        <v>638</v>
      </c>
      <c r="O1604" s="80" t="s">
        <v>4290</v>
      </c>
      <c r="P1604" s="80" t="s">
        <v>3969</v>
      </c>
      <c r="Y1604" s="2" t="s">
        <v>23</v>
      </c>
    </row>
    <row r="1605" ht="15.75" customHeight="1">
      <c r="B1605" s="48">
        <v>3.582977E7</v>
      </c>
      <c r="C1605" s="80" t="s">
        <v>3911</v>
      </c>
      <c r="D1605" s="140" t="s">
        <v>636</v>
      </c>
      <c r="E1605" s="80" t="s">
        <v>380</v>
      </c>
      <c r="F1605" s="80">
        <v>126.0216616</v>
      </c>
      <c r="G1605" s="142">
        <v>2.095440165</v>
      </c>
      <c r="H1605" s="143"/>
      <c r="I1605" s="143"/>
      <c r="J1605" s="143"/>
      <c r="K1605" s="143"/>
      <c r="L1605" s="143"/>
      <c r="M1605" s="143"/>
      <c r="N1605" s="80" t="s">
        <v>3300</v>
      </c>
      <c r="O1605" s="80" t="s">
        <v>4315</v>
      </c>
      <c r="P1605" s="80" t="s">
        <v>4199</v>
      </c>
      <c r="Y1605" s="2" t="s">
        <v>23</v>
      </c>
    </row>
    <row r="1606" ht="15.75" customHeight="1">
      <c r="B1606" s="48">
        <v>3.582977E7</v>
      </c>
      <c r="C1606" s="80" t="s">
        <v>3911</v>
      </c>
      <c r="D1606" s="140" t="s">
        <v>636</v>
      </c>
      <c r="E1606" s="80" t="s">
        <v>4316</v>
      </c>
      <c r="F1606" s="80">
        <v>130.0496672</v>
      </c>
      <c r="G1606" s="142">
        <v>10.62767639</v>
      </c>
      <c r="H1606" s="143"/>
      <c r="I1606" s="143"/>
      <c r="J1606" s="143"/>
      <c r="K1606" s="143"/>
      <c r="L1606" s="143"/>
      <c r="M1606" s="143"/>
      <c r="N1606" s="80" t="s">
        <v>1358</v>
      </c>
      <c r="O1606" s="80" t="s">
        <v>4317</v>
      </c>
      <c r="P1606" s="80" t="s">
        <v>3914</v>
      </c>
      <c r="Y1606" s="2" t="s">
        <v>23</v>
      </c>
    </row>
    <row r="1607" ht="15.75" customHeight="1">
      <c r="B1607" s="48">
        <v>3.582977E7</v>
      </c>
      <c r="C1607" s="80" t="s">
        <v>3911</v>
      </c>
      <c r="D1607" s="140" t="s">
        <v>636</v>
      </c>
      <c r="E1607" s="80" t="s">
        <v>4316</v>
      </c>
      <c r="F1607" s="80">
        <v>130.049683</v>
      </c>
      <c r="G1607" s="142">
        <v>1.955310949</v>
      </c>
      <c r="H1607" s="143"/>
      <c r="I1607" s="143"/>
      <c r="J1607" s="143"/>
      <c r="K1607" s="143"/>
      <c r="L1607" s="143"/>
      <c r="M1607" s="143"/>
      <c r="N1607" s="80" t="s">
        <v>1358</v>
      </c>
      <c r="O1607" s="80" t="s">
        <v>4317</v>
      </c>
      <c r="P1607" s="80" t="s">
        <v>3914</v>
      </c>
      <c r="Y1607" s="2" t="s">
        <v>23</v>
      </c>
    </row>
    <row r="1608" ht="15.75" customHeight="1">
      <c r="B1608" s="48">
        <v>3.582977E7</v>
      </c>
      <c r="C1608" s="80" t="s">
        <v>3911</v>
      </c>
      <c r="D1608" s="140" t="s">
        <v>636</v>
      </c>
      <c r="E1608" s="80" t="s">
        <v>4316</v>
      </c>
      <c r="F1608" s="80">
        <v>130.0497462</v>
      </c>
      <c r="G1608" s="142">
        <v>2.641769663</v>
      </c>
      <c r="H1608" s="143"/>
      <c r="I1608" s="143"/>
      <c r="J1608" s="143"/>
      <c r="K1608" s="143"/>
      <c r="L1608" s="143"/>
      <c r="M1608" s="143"/>
      <c r="N1608" s="80" t="s">
        <v>1358</v>
      </c>
      <c r="O1608" s="80" t="s">
        <v>4317</v>
      </c>
      <c r="P1608" s="80" t="s">
        <v>3914</v>
      </c>
      <c r="Y1608" s="2" t="s">
        <v>23</v>
      </c>
    </row>
    <row r="1609" ht="15.75" customHeight="1">
      <c r="B1609" s="48">
        <v>3.582977E7</v>
      </c>
      <c r="C1609" s="80" t="s">
        <v>3911</v>
      </c>
      <c r="D1609" s="140" t="s">
        <v>636</v>
      </c>
      <c r="E1609" s="80" t="s">
        <v>4318</v>
      </c>
      <c r="F1609" s="80">
        <v>130.0649377</v>
      </c>
      <c r="G1609" s="142">
        <v>9.083832804</v>
      </c>
      <c r="H1609" s="143"/>
      <c r="I1609" s="143"/>
      <c r="J1609" s="143"/>
      <c r="K1609" s="143"/>
      <c r="L1609" s="143"/>
      <c r="M1609" s="143"/>
      <c r="N1609" s="80" t="s">
        <v>4319</v>
      </c>
      <c r="O1609" s="80" t="s">
        <v>4320</v>
      </c>
      <c r="P1609" s="80" t="s">
        <v>4321</v>
      </c>
      <c r="Y1609" s="2" t="s">
        <v>23</v>
      </c>
    </row>
    <row r="1610" ht="15.75" customHeight="1">
      <c r="B1610" s="48">
        <v>3.582977E7</v>
      </c>
      <c r="C1610" s="80" t="s">
        <v>3911</v>
      </c>
      <c r="D1610" s="140" t="s">
        <v>636</v>
      </c>
      <c r="E1610" s="80" t="s">
        <v>4318</v>
      </c>
      <c r="F1610" s="80">
        <v>130.0649995</v>
      </c>
      <c r="G1610" s="142">
        <v>13.50334574</v>
      </c>
      <c r="H1610" s="143"/>
      <c r="I1610" s="143"/>
      <c r="J1610" s="143"/>
      <c r="K1610" s="143"/>
      <c r="L1610" s="143"/>
      <c r="M1610" s="143"/>
      <c r="N1610" s="80" t="s">
        <v>4319</v>
      </c>
      <c r="O1610" s="80" t="s">
        <v>4320</v>
      </c>
      <c r="P1610" s="80" t="s">
        <v>4321</v>
      </c>
      <c r="Y1610" s="2" t="s">
        <v>23</v>
      </c>
    </row>
    <row r="1611" ht="15.75" customHeight="1">
      <c r="B1611" s="48">
        <v>3.582977E7</v>
      </c>
      <c r="C1611" s="80" t="s">
        <v>3911</v>
      </c>
      <c r="D1611" s="140" t="s">
        <v>636</v>
      </c>
      <c r="E1611" s="80" t="s">
        <v>4318</v>
      </c>
      <c r="F1611" s="80">
        <v>130.0649808</v>
      </c>
      <c r="G1611" s="142">
        <v>14.59546102</v>
      </c>
      <c r="H1611" s="143"/>
      <c r="I1611" s="143"/>
      <c r="J1611" s="143"/>
      <c r="K1611" s="143"/>
      <c r="L1611" s="143"/>
      <c r="M1611" s="143"/>
      <c r="N1611" s="80" t="s">
        <v>4319</v>
      </c>
      <c r="O1611" s="80" t="s">
        <v>4320</v>
      </c>
      <c r="P1611" s="80" t="s">
        <v>4321</v>
      </c>
      <c r="Y1611" s="2" t="s">
        <v>23</v>
      </c>
    </row>
    <row r="1612" ht="15.75" customHeight="1">
      <c r="B1612" s="48">
        <v>3.582977E7</v>
      </c>
      <c r="C1612" s="80" t="s">
        <v>3911</v>
      </c>
      <c r="D1612" s="140" t="s">
        <v>636</v>
      </c>
      <c r="E1612" s="80" t="s">
        <v>4365</v>
      </c>
      <c r="F1612" s="80">
        <v>130.0860434</v>
      </c>
      <c r="G1612" s="142">
        <v>2.300255076</v>
      </c>
      <c r="H1612" s="143"/>
      <c r="I1612" s="143"/>
      <c r="J1612" s="143"/>
      <c r="K1612" s="143"/>
      <c r="L1612" s="143"/>
      <c r="M1612" s="143"/>
      <c r="N1612" s="80" t="s">
        <v>2777</v>
      </c>
      <c r="O1612" s="80" t="s">
        <v>4366</v>
      </c>
      <c r="P1612" s="80" t="s">
        <v>4367</v>
      </c>
      <c r="Y1612" s="2" t="s">
        <v>23</v>
      </c>
    </row>
    <row r="1613" ht="15.75" customHeight="1">
      <c r="B1613" s="48">
        <v>3.582977E7</v>
      </c>
      <c r="C1613" s="80" t="s">
        <v>3911</v>
      </c>
      <c r="D1613" s="140" t="s">
        <v>636</v>
      </c>
      <c r="E1613" s="80" t="s">
        <v>4324</v>
      </c>
      <c r="F1613" s="80">
        <v>132.0764983</v>
      </c>
      <c r="G1613" s="142">
        <v>1.955310949</v>
      </c>
      <c r="H1613" s="143"/>
      <c r="I1613" s="143"/>
      <c r="J1613" s="143"/>
      <c r="K1613" s="143"/>
      <c r="L1613" s="143"/>
      <c r="M1613" s="143"/>
      <c r="N1613" s="80" t="s">
        <v>1723</v>
      </c>
      <c r="O1613" s="80" t="s">
        <v>4325</v>
      </c>
      <c r="P1613" s="80" t="s">
        <v>4326</v>
      </c>
      <c r="Y1613" s="2" t="s">
        <v>23</v>
      </c>
    </row>
    <row r="1614" ht="15.75" customHeight="1">
      <c r="B1614" s="48">
        <v>3.582977E7</v>
      </c>
      <c r="C1614" s="80" t="s">
        <v>3911</v>
      </c>
      <c r="D1614" s="140" t="s">
        <v>636</v>
      </c>
      <c r="E1614" s="80" t="s">
        <v>4327</v>
      </c>
      <c r="F1614" s="80">
        <v>137.0455196</v>
      </c>
      <c r="G1614" s="142">
        <v>2.450479889</v>
      </c>
      <c r="H1614" s="143"/>
      <c r="I1614" s="143"/>
      <c r="J1614" s="143"/>
      <c r="K1614" s="143"/>
      <c r="L1614" s="143"/>
      <c r="M1614" s="143"/>
      <c r="N1614" s="80" t="s">
        <v>2220</v>
      </c>
      <c r="O1614" s="80" t="s">
        <v>4328</v>
      </c>
      <c r="P1614" s="80" t="s">
        <v>4329</v>
      </c>
      <c r="Y1614" s="2" t="s">
        <v>23</v>
      </c>
    </row>
    <row r="1615" ht="15.75" customHeight="1">
      <c r="B1615" s="48">
        <v>3.582977E7</v>
      </c>
      <c r="C1615" s="80" t="s">
        <v>3911</v>
      </c>
      <c r="D1615" s="140" t="s">
        <v>636</v>
      </c>
      <c r="E1615" s="80" t="s">
        <v>4377</v>
      </c>
      <c r="F1615" s="80">
        <v>138.0546115</v>
      </c>
      <c r="G1615" s="142">
        <v>1.974661001</v>
      </c>
      <c r="H1615" s="143"/>
      <c r="I1615" s="143"/>
      <c r="J1615" s="143"/>
      <c r="K1615" s="143"/>
      <c r="L1615" s="143"/>
      <c r="M1615" s="143"/>
      <c r="N1615" s="80" t="s">
        <v>1498</v>
      </c>
      <c r="O1615" s="80" t="s">
        <v>4378</v>
      </c>
      <c r="P1615" s="80" t="s">
        <v>4379</v>
      </c>
      <c r="Y1615" s="2" t="s">
        <v>23</v>
      </c>
    </row>
    <row r="1616" ht="15.75" customHeight="1">
      <c r="B1616" s="48">
        <v>3.582977E7</v>
      </c>
      <c r="C1616" s="80" t="s">
        <v>3911</v>
      </c>
      <c r="D1616" s="140" t="s">
        <v>636</v>
      </c>
      <c r="E1616" s="80" t="s">
        <v>331</v>
      </c>
      <c r="F1616" s="80">
        <v>139.0387277</v>
      </c>
      <c r="G1616" s="142">
        <v>17.82675781</v>
      </c>
      <c r="H1616" s="143"/>
      <c r="I1616" s="143"/>
      <c r="J1616" s="143"/>
      <c r="K1616" s="143"/>
      <c r="L1616" s="143"/>
      <c r="M1616" s="143"/>
      <c r="N1616" s="80" t="s">
        <v>1240</v>
      </c>
      <c r="O1616" s="80" t="s">
        <v>4330</v>
      </c>
      <c r="P1616" s="80" t="s">
        <v>4158</v>
      </c>
      <c r="Y1616" s="2" t="s">
        <v>23</v>
      </c>
    </row>
    <row r="1617" ht="15.75" customHeight="1">
      <c r="B1617" s="48">
        <v>3.582977E7</v>
      </c>
      <c r="C1617" s="80" t="s">
        <v>3911</v>
      </c>
      <c r="D1617" s="140" t="s">
        <v>636</v>
      </c>
      <c r="E1617" s="80" t="s">
        <v>4103</v>
      </c>
      <c r="F1617" s="80">
        <v>144.0806088</v>
      </c>
      <c r="G1617" s="142">
        <v>9.083832804</v>
      </c>
      <c r="H1617" s="143"/>
      <c r="I1617" s="143"/>
      <c r="J1617" s="143"/>
      <c r="K1617" s="143"/>
      <c r="L1617" s="143"/>
      <c r="M1617" s="143"/>
      <c r="N1617" s="80" t="s">
        <v>4104</v>
      </c>
      <c r="O1617" s="80" t="s">
        <v>4105</v>
      </c>
      <c r="P1617" s="80" t="s">
        <v>4106</v>
      </c>
      <c r="Y1617" s="2" t="s">
        <v>23</v>
      </c>
    </row>
    <row r="1618" ht="15.75" customHeight="1">
      <c r="B1618" s="48">
        <v>3.582977E7</v>
      </c>
      <c r="C1618" s="80" t="s">
        <v>3911</v>
      </c>
      <c r="D1618" s="140" t="s">
        <v>636</v>
      </c>
      <c r="E1618" s="80" t="s">
        <v>4380</v>
      </c>
      <c r="F1618" s="80">
        <v>147.0761803</v>
      </c>
      <c r="G1618" s="142">
        <v>1.974661001</v>
      </c>
      <c r="H1618" s="143"/>
      <c r="I1618" s="143"/>
      <c r="J1618" s="143"/>
      <c r="K1618" s="143"/>
      <c r="L1618" s="143"/>
      <c r="M1618" s="143"/>
      <c r="N1618" s="80" t="s">
        <v>1211</v>
      </c>
      <c r="O1618" s="80" t="s">
        <v>4381</v>
      </c>
      <c r="P1618" s="80" t="s">
        <v>4382</v>
      </c>
      <c r="Y1618" s="2" t="s">
        <v>23</v>
      </c>
    </row>
    <row r="1619" ht="15.75" customHeight="1">
      <c r="B1619" s="48">
        <v>3.582977E7</v>
      </c>
      <c r="C1619" s="80" t="s">
        <v>3911</v>
      </c>
      <c r="D1619" s="140" t="s">
        <v>636</v>
      </c>
      <c r="E1619" s="80" t="s">
        <v>4383</v>
      </c>
      <c r="F1619" s="80">
        <v>147.1125012</v>
      </c>
      <c r="G1619" s="142">
        <v>1.716119258</v>
      </c>
      <c r="H1619" s="143"/>
      <c r="I1619" s="143"/>
      <c r="J1619" s="143"/>
      <c r="K1619" s="143"/>
      <c r="L1619" s="143"/>
      <c r="M1619" s="143"/>
      <c r="N1619" s="80" t="s">
        <v>2388</v>
      </c>
      <c r="O1619" s="80" t="s">
        <v>4384</v>
      </c>
      <c r="P1619" s="80" t="s">
        <v>4385</v>
      </c>
      <c r="Y1619" s="2" t="s">
        <v>23</v>
      </c>
    </row>
    <row r="1620" ht="15.75" customHeight="1">
      <c r="B1620" s="48">
        <v>3.582977E7</v>
      </c>
      <c r="C1620" s="80" t="s">
        <v>3911</v>
      </c>
      <c r="D1620" s="140" t="s">
        <v>636</v>
      </c>
      <c r="E1620" s="80" t="s">
        <v>3528</v>
      </c>
      <c r="F1620" s="80">
        <v>148.0600392</v>
      </c>
      <c r="G1620" s="142">
        <v>2.0954402</v>
      </c>
      <c r="H1620" s="143"/>
      <c r="I1620" s="143"/>
      <c r="J1620" s="143"/>
      <c r="K1620" s="143"/>
      <c r="L1620" s="143"/>
      <c r="M1620" s="143"/>
      <c r="N1620" s="80" t="s">
        <v>2032</v>
      </c>
      <c r="O1620" s="80" t="s">
        <v>4292</v>
      </c>
      <c r="P1620" s="80" t="s">
        <v>4232</v>
      </c>
      <c r="Y1620" s="2" t="s">
        <v>23</v>
      </c>
    </row>
    <row r="1621" ht="15.75" customHeight="1">
      <c r="B1621" s="48">
        <v>3.582977E7</v>
      </c>
      <c r="C1621" s="80" t="s">
        <v>3911</v>
      </c>
      <c r="D1621" s="140" t="s">
        <v>636</v>
      </c>
      <c r="E1621" s="80" t="s">
        <v>4334</v>
      </c>
      <c r="F1621" s="80">
        <v>150.0581491</v>
      </c>
      <c r="G1621" s="142">
        <v>2.518510183</v>
      </c>
      <c r="H1621" s="143"/>
      <c r="I1621" s="143"/>
      <c r="J1621" s="143"/>
      <c r="K1621" s="143"/>
      <c r="L1621" s="143"/>
      <c r="M1621" s="143"/>
      <c r="N1621" s="80" t="s">
        <v>2444</v>
      </c>
      <c r="O1621" s="80" t="s">
        <v>4335</v>
      </c>
      <c r="P1621" s="80" t="s">
        <v>4336</v>
      </c>
      <c r="Y1621" s="2" t="s">
        <v>23</v>
      </c>
    </row>
    <row r="1622" ht="15.75" customHeight="1">
      <c r="B1622" s="48">
        <v>3.582977E7</v>
      </c>
      <c r="C1622" s="80" t="s">
        <v>3911</v>
      </c>
      <c r="D1622" s="140" t="s">
        <v>636</v>
      </c>
      <c r="E1622" s="80" t="s">
        <v>4139</v>
      </c>
      <c r="F1622" s="80">
        <v>152.1430887</v>
      </c>
      <c r="G1622" s="142">
        <v>11.73940531</v>
      </c>
      <c r="H1622" s="143"/>
      <c r="I1622" s="143"/>
      <c r="J1622" s="143"/>
      <c r="K1622" s="143"/>
      <c r="L1622" s="143"/>
      <c r="M1622" s="143"/>
      <c r="N1622" s="80" t="s">
        <v>4140</v>
      </c>
      <c r="O1622" s="80" t="s">
        <v>4337</v>
      </c>
      <c r="P1622" s="80" t="s">
        <v>4142</v>
      </c>
      <c r="Y1622" s="2" t="s">
        <v>23</v>
      </c>
    </row>
    <row r="1623" ht="15.75" customHeight="1">
      <c r="B1623" s="48">
        <v>3.582977E7</v>
      </c>
      <c r="C1623" s="80" t="s">
        <v>3911</v>
      </c>
      <c r="D1623" s="140" t="s">
        <v>636</v>
      </c>
      <c r="E1623" s="80" t="s">
        <v>3953</v>
      </c>
      <c r="F1623" s="80">
        <v>153.0403773</v>
      </c>
      <c r="G1623" s="142">
        <v>2.649215317</v>
      </c>
      <c r="H1623" s="143"/>
      <c r="I1623" s="143"/>
      <c r="J1623" s="143"/>
      <c r="K1623" s="143"/>
      <c r="L1623" s="143"/>
      <c r="M1623" s="143"/>
      <c r="N1623" s="80" t="s">
        <v>3496</v>
      </c>
      <c r="O1623" s="80" t="s">
        <v>4386</v>
      </c>
      <c r="P1623" s="80" t="s">
        <v>3955</v>
      </c>
      <c r="Y1623" s="2" t="s">
        <v>23</v>
      </c>
    </row>
    <row r="1624" ht="15.75" customHeight="1">
      <c r="B1624" s="48">
        <v>3.582977E7</v>
      </c>
      <c r="C1624" s="80" t="s">
        <v>3911</v>
      </c>
      <c r="D1624" s="140" t="s">
        <v>636</v>
      </c>
      <c r="E1624" s="80" t="s">
        <v>4387</v>
      </c>
      <c r="F1624" s="80">
        <v>156.0764312</v>
      </c>
      <c r="G1624" s="142">
        <v>1.755798467</v>
      </c>
      <c r="H1624" s="143"/>
      <c r="I1624" s="143"/>
      <c r="J1624" s="143"/>
      <c r="K1624" s="143"/>
      <c r="L1624" s="143"/>
      <c r="M1624" s="143"/>
      <c r="N1624" s="80" t="s">
        <v>2182</v>
      </c>
      <c r="O1624" s="80" t="s">
        <v>4388</v>
      </c>
      <c r="P1624" s="80" t="s">
        <v>4389</v>
      </c>
      <c r="Y1624" s="2" t="s">
        <v>23</v>
      </c>
    </row>
    <row r="1625" ht="15.75" customHeight="1">
      <c r="B1625" s="48">
        <v>3.582977E7</v>
      </c>
      <c r="C1625" s="80" t="s">
        <v>3911</v>
      </c>
      <c r="D1625" s="140" t="s">
        <v>636</v>
      </c>
      <c r="E1625" s="80" t="s">
        <v>4390</v>
      </c>
      <c r="F1625" s="80">
        <v>165.0543323</v>
      </c>
      <c r="G1625" s="142">
        <v>2.846753184</v>
      </c>
      <c r="H1625" s="143"/>
      <c r="I1625" s="143"/>
      <c r="J1625" s="143"/>
      <c r="K1625" s="143"/>
      <c r="L1625" s="143"/>
      <c r="M1625" s="143"/>
      <c r="N1625" s="80" t="s">
        <v>1108</v>
      </c>
      <c r="O1625" s="80" t="s">
        <v>4391</v>
      </c>
      <c r="P1625" s="80" t="s">
        <v>4392</v>
      </c>
      <c r="Y1625" s="2" t="s">
        <v>23</v>
      </c>
    </row>
    <row r="1626" ht="15.75" customHeight="1">
      <c r="B1626" s="48">
        <v>3.582977E7</v>
      </c>
      <c r="C1626" s="80" t="s">
        <v>3911</v>
      </c>
      <c r="D1626" s="140" t="s">
        <v>636</v>
      </c>
      <c r="E1626" s="80" t="s">
        <v>315</v>
      </c>
      <c r="F1626" s="80">
        <v>167.0559838</v>
      </c>
      <c r="G1626" s="142">
        <v>4.372603861</v>
      </c>
      <c r="H1626" s="143"/>
      <c r="I1626" s="143"/>
      <c r="J1626" s="143"/>
      <c r="K1626" s="143"/>
      <c r="L1626" s="143"/>
      <c r="M1626" s="143"/>
      <c r="N1626" s="80" t="s">
        <v>775</v>
      </c>
      <c r="O1626" s="80" t="s">
        <v>4340</v>
      </c>
      <c r="P1626" s="80" t="s">
        <v>4005</v>
      </c>
      <c r="Y1626" s="2" t="s">
        <v>23</v>
      </c>
    </row>
    <row r="1627" ht="15.75" customHeight="1">
      <c r="B1627" s="48">
        <v>3.582977E7</v>
      </c>
      <c r="C1627" s="80" t="s">
        <v>3911</v>
      </c>
      <c r="D1627" s="140" t="s">
        <v>636</v>
      </c>
      <c r="E1627" s="80" t="s">
        <v>4341</v>
      </c>
      <c r="F1627" s="80">
        <v>175.1186259</v>
      </c>
      <c r="G1627" s="142">
        <v>1.815594355</v>
      </c>
      <c r="H1627" s="143"/>
      <c r="I1627" s="143"/>
      <c r="J1627" s="143"/>
      <c r="K1627" s="143"/>
      <c r="L1627" s="143"/>
      <c r="M1627" s="143"/>
      <c r="N1627" s="80" t="s">
        <v>1526</v>
      </c>
      <c r="O1627" s="80" t="s">
        <v>4342</v>
      </c>
      <c r="P1627" s="80" t="s">
        <v>4343</v>
      </c>
      <c r="Y1627" s="2" t="s">
        <v>23</v>
      </c>
    </row>
    <row r="1628" ht="15.75" customHeight="1">
      <c r="B1628" s="48">
        <v>3.582977E7</v>
      </c>
      <c r="C1628" s="80" t="s">
        <v>3911</v>
      </c>
      <c r="D1628" s="140" t="s">
        <v>636</v>
      </c>
      <c r="E1628" s="80" t="s">
        <v>4344</v>
      </c>
      <c r="F1628" s="80">
        <v>176.0703558</v>
      </c>
      <c r="G1628" s="142">
        <v>13.50334574</v>
      </c>
      <c r="H1628" s="143"/>
      <c r="I1628" s="143"/>
      <c r="J1628" s="143"/>
      <c r="K1628" s="143"/>
      <c r="L1628" s="143"/>
      <c r="M1628" s="143"/>
      <c r="N1628" s="80" t="s">
        <v>2237</v>
      </c>
      <c r="O1628" s="80" t="s">
        <v>4345</v>
      </c>
      <c r="P1628" s="80" t="s">
        <v>4011</v>
      </c>
      <c r="Y1628" s="2" t="s">
        <v>23</v>
      </c>
    </row>
    <row r="1629" ht="15.75" customHeight="1">
      <c r="B1629" s="48">
        <v>3.582977E7</v>
      </c>
      <c r="C1629" s="80" t="s">
        <v>3911</v>
      </c>
      <c r="D1629" s="140" t="s">
        <v>636</v>
      </c>
      <c r="E1629" s="80" t="s">
        <v>4346</v>
      </c>
      <c r="F1629" s="80">
        <v>192.1378333</v>
      </c>
      <c r="G1629" s="142">
        <v>16.15757446</v>
      </c>
      <c r="H1629" s="143"/>
      <c r="I1629" s="143"/>
      <c r="J1629" s="143"/>
      <c r="K1629" s="143"/>
      <c r="L1629" s="143"/>
      <c r="M1629" s="143"/>
      <c r="N1629" s="80" t="s">
        <v>4150</v>
      </c>
      <c r="O1629" s="80" t="s">
        <v>4347</v>
      </c>
      <c r="P1629" s="80" t="s">
        <v>4152</v>
      </c>
      <c r="Y1629" s="2" t="s">
        <v>23</v>
      </c>
    </row>
    <row r="1630" ht="15.75" customHeight="1">
      <c r="B1630" s="48">
        <v>3.582977E7</v>
      </c>
      <c r="C1630" s="80" t="s">
        <v>3911</v>
      </c>
      <c r="D1630" s="140" t="s">
        <v>636</v>
      </c>
      <c r="E1630" s="80" t="s">
        <v>4297</v>
      </c>
      <c r="F1630" s="80">
        <v>198.0756259</v>
      </c>
      <c r="G1630" s="142">
        <v>2.382957204</v>
      </c>
      <c r="H1630" s="143"/>
      <c r="I1630" s="143"/>
      <c r="J1630" s="143"/>
      <c r="K1630" s="143"/>
      <c r="L1630" s="143"/>
      <c r="M1630" s="143"/>
      <c r="N1630" s="80" t="s">
        <v>4298</v>
      </c>
      <c r="O1630" s="80" t="s">
        <v>4299</v>
      </c>
      <c r="P1630" s="80" t="s">
        <v>4300</v>
      </c>
      <c r="Y1630" s="2" t="s">
        <v>23</v>
      </c>
    </row>
    <row r="1631" ht="15.75" customHeight="1">
      <c r="B1631" s="48">
        <v>3.582977E7</v>
      </c>
      <c r="C1631" s="80" t="s">
        <v>3911</v>
      </c>
      <c r="D1631" s="140" t="s">
        <v>636</v>
      </c>
      <c r="E1631" s="80" t="s">
        <v>4118</v>
      </c>
      <c r="F1631" s="80">
        <v>204.1127115</v>
      </c>
      <c r="G1631" s="142">
        <v>10.56112061</v>
      </c>
      <c r="H1631" s="143"/>
      <c r="I1631" s="143"/>
      <c r="J1631" s="143"/>
      <c r="K1631" s="143"/>
      <c r="L1631" s="143"/>
      <c r="M1631" s="143"/>
      <c r="N1631" s="80" t="s">
        <v>4119</v>
      </c>
      <c r="O1631" s="80" t="s">
        <v>4393</v>
      </c>
      <c r="P1631" s="80" t="s">
        <v>4121</v>
      </c>
      <c r="Y1631" s="2" t="s">
        <v>23</v>
      </c>
    </row>
    <row r="1632" ht="15.75" customHeight="1">
      <c r="B1632" s="48">
        <v>3.582977E7</v>
      </c>
      <c r="C1632" s="80" t="s">
        <v>3911</v>
      </c>
      <c r="D1632" s="140" t="s">
        <v>636</v>
      </c>
      <c r="E1632" s="80" t="s">
        <v>4348</v>
      </c>
      <c r="F1632" s="80">
        <v>219.1121464</v>
      </c>
      <c r="G1632" s="142">
        <v>12.73841858</v>
      </c>
      <c r="H1632" s="143"/>
      <c r="I1632" s="143"/>
      <c r="J1632" s="143"/>
      <c r="K1632" s="143"/>
      <c r="L1632" s="143"/>
      <c r="M1632" s="143"/>
      <c r="N1632" s="80" t="s">
        <v>4349</v>
      </c>
      <c r="O1632" s="80" t="s">
        <v>4350</v>
      </c>
      <c r="P1632" s="80" t="s">
        <v>4351</v>
      </c>
      <c r="Y1632" s="2" t="s">
        <v>23</v>
      </c>
    </row>
    <row r="1633" ht="15.75" customHeight="1">
      <c r="B1633" s="48">
        <v>3.582977E7</v>
      </c>
      <c r="C1633" s="80" t="s">
        <v>3911</v>
      </c>
      <c r="D1633" s="140" t="s">
        <v>636</v>
      </c>
      <c r="E1633" s="80" t="s">
        <v>259</v>
      </c>
      <c r="F1633" s="80">
        <v>220.1172286</v>
      </c>
      <c r="G1633" s="142">
        <v>6.979924011</v>
      </c>
      <c r="H1633" s="143"/>
      <c r="I1633" s="143"/>
      <c r="J1633" s="143"/>
      <c r="K1633" s="143"/>
      <c r="L1633" s="143"/>
      <c r="M1633" s="143"/>
      <c r="N1633" s="80" t="s">
        <v>2936</v>
      </c>
      <c r="O1633" s="80" t="s">
        <v>4352</v>
      </c>
      <c r="P1633" s="80" t="s">
        <v>4353</v>
      </c>
      <c r="Y1633" s="2" t="s">
        <v>23</v>
      </c>
    </row>
    <row r="1634" ht="15.75" customHeight="1">
      <c r="B1634" s="48">
        <v>3.582977E7</v>
      </c>
      <c r="C1634" s="80" t="s">
        <v>3911</v>
      </c>
      <c r="D1634" s="140" t="s">
        <v>636</v>
      </c>
      <c r="E1634" s="80" t="s">
        <v>4354</v>
      </c>
      <c r="F1634" s="80">
        <v>241.0303003</v>
      </c>
      <c r="G1634" s="142">
        <v>2.055383937</v>
      </c>
      <c r="H1634" s="143"/>
      <c r="I1634" s="143"/>
      <c r="J1634" s="143"/>
      <c r="K1634" s="143"/>
      <c r="L1634" s="143"/>
      <c r="M1634" s="143"/>
      <c r="N1634" s="80" t="s">
        <v>1747</v>
      </c>
      <c r="O1634" s="80" t="s">
        <v>4355</v>
      </c>
      <c r="P1634" s="80" t="s">
        <v>4356</v>
      </c>
      <c r="Y1634" s="2" t="s">
        <v>23</v>
      </c>
    </row>
    <row r="1635" ht="15.75" customHeight="1">
      <c r="B1635" s="48">
        <v>3.582977E7</v>
      </c>
      <c r="C1635" s="80" t="s">
        <v>3911</v>
      </c>
      <c r="D1635" s="140" t="s">
        <v>636</v>
      </c>
      <c r="E1635" s="80" t="s">
        <v>4370</v>
      </c>
      <c r="F1635" s="80">
        <v>260.1634867</v>
      </c>
      <c r="G1635" s="142">
        <v>14.08915507</v>
      </c>
      <c r="H1635" s="143"/>
      <c r="I1635" s="143"/>
      <c r="J1635" s="143"/>
      <c r="K1635" s="143"/>
      <c r="L1635" s="143"/>
      <c r="M1635" s="143"/>
      <c r="N1635" s="80" t="s">
        <v>4358</v>
      </c>
      <c r="O1635" s="80" t="s">
        <v>4371</v>
      </c>
      <c r="P1635" s="80" t="s">
        <v>4372</v>
      </c>
      <c r="Y1635" s="2" t="s">
        <v>23</v>
      </c>
    </row>
    <row r="1636" ht="15.75" customHeight="1">
      <c r="B1636" s="48">
        <v>3.582977E7</v>
      </c>
      <c r="C1636" s="80" t="s">
        <v>3911</v>
      </c>
      <c r="D1636" s="140" t="s">
        <v>636</v>
      </c>
      <c r="E1636" s="80" t="s">
        <v>4006</v>
      </c>
      <c r="F1636" s="80">
        <v>268.1045979</v>
      </c>
      <c r="G1636" s="142">
        <v>10.5635142</v>
      </c>
      <c r="H1636" s="143"/>
      <c r="I1636" s="143"/>
      <c r="J1636" s="143"/>
      <c r="K1636" s="143"/>
      <c r="L1636" s="143"/>
      <c r="M1636" s="143"/>
      <c r="N1636" s="80" t="s">
        <v>933</v>
      </c>
      <c r="O1636" s="80" t="s">
        <v>4301</v>
      </c>
      <c r="P1636" s="80" t="s">
        <v>4008</v>
      </c>
      <c r="Y1636" s="2" t="s">
        <v>23</v>
      </c>
    </row>
    <row r="1637" ht="15.75" customHeight="1">
      <c r="B1637" s="48">
        <v>3.582977E7</v>
      </c>
      <c r="C1637" s="80" t="s">
        <v>3911</v>
      </c>
      <c r="D1637" s="140" t="s">
        <v>636</v>
      </c>
      <c r="E1637" s="80" t="s">
        <v>4302</v>
      </c>
      <c r="F1637" s="80">
        <v>268.1896843</v>
      </c>
      <c r="G1637" s="142">
        <v>12.1666158</v>
      </c>
      <c r="H1637" s="143"/>
      <c r="I1637" s="143"/>
      <c r="J1637" s="143"/>
      <c r="K1637" s="143"/>
      <c r="L1637" s="143"/>
      <c r="M1637" s="143"/>
      <c r="N1637" s="80" t="s">
        <v>4303</v>
      </c>
      <c r="O1637" s="80" t="s">
        <v>4304</v>
      </c>
      <c r="P1637" s="80" t="s">
        <v>4305</v>
      </c>
      <c r="Y1637" s="2" t="s">
        <v>23</v>
      </c>
    </row>
    <row r="1638" ht="15.75" customHeight="1">
      <c r="B1638" s="48">
        <v>3.582977E7</v>
      </c>
      <c r="C1638" s="80" t="s">
        <v>3911</v>
      </c>
      <c r="D1638" s="140" t="s">
        <v>636</v>
      </c>
      <c r="E1638" s="80" t="s">
        <v>4279</v>
      </c>
      <c r="F1638" s="80">
        <v>286.1429781</v>
      </c>
      <c r="G1638" s="142">
        <v>17.5038798</v>
      </c>
      <c r="H1638" s="143"/>
      <c r="I1638" s="143"/>
      <c r="J1638" s="143"/>
      <c r="K1638" s="143"/>
      <c r="L1638" s="143"/>
      <c r="M1638" s="143"/>
      <c r="N1638" s="80" t="s">
        <v>4083</v>
      </c>
      <c r="O1638" s="80" t="s">
        <v>4362</v>
      </c>
      <c r="P1638" s="80" t="s">
        <v>4085</v>
      </c>
      <c r="Y1638" s="2" t="s">
        <v>23</v>
      </c>
    </row>
    <row r="1639" ht="15.75" customHeight="1">
      <c r="B1639" s="48">
        <v>3.582977E7</v>
      </c>
      <c r="C1639" s="80" t="s">
        <v>3911</v>
      </c>
      <c r="D1639" s="140" t="s">
        <v>636</v>
      </c>
      <c r="E1639" s="80" t="s">
        <v>4114</v>
      </c>
      <c r="F1639" s="80">
        <v>307.110256</v>
      </c>
      <c r="G1639" s="142">
        <v>12.65436452</v>
      </c>
      <c r="H1639" s="143"/>
      <c r="I1639" s="143"/>
      <c r="J1639" s="143"/>
      <c r="K1639" s="143"/>
      <c r="L1639" s="143"/>
      <c r="M1639" s="143"/>
      <c r="N1639" s="80" t="s">
        <v>4115</v>
      </c>
      <c r="O1639" s="80" t="s">
        <v>4363</v>
      </c>
      <c r="P1639" s="80" t="s">
        <v>4117</v>
      </c>
      <c r="Y1639" s="2" t="s">
        <v>23</v>
      </c>
    </row>
    <row r="1640" ht="15.75" customHeight="1">
      <c r="B1640" s="48">
        <v>3.582977E7</v>
      </c>
      <c r="C1640" s="80" t="s">
        <v>3911</v>
      </c>
      <c r="D1640" s="140" t="s">
        <v>636</v>
      </c>
      <c r="E1640" s="80" t="s">
        <v>4306</v>
      </c>
      <c r="F1640" s="80">
        <v>361.19964</v>
      </c>
      <c r="G1640" s="142">
        <v>15.21182048</v>
      </c>
      <c r="H1640" s="143"/>
      <c r="I1640" s="143"/>
      <c r="J1640" s="143"/>
      <c r="K1640" s="143"/>
      <c r="L1640" s="143"/>
      <c r="M1640" s="143"/>
      <c r="N1640" s="80" t="s">
        <v>4307</v>
      </c>
      <c r="O1640" s="80" t="s">
        <v>4308</v>
      </c>
      <c r="P1640" s="80" t="s">
        <v>4309</v>
      </c>
      <c r="Y1640" s="2" t="s">
        <v>23</v>
      </c>
    </row>
    <row r="1641" ht="15.75" customHeight="1">
      <c r="B1641" s="48">
        <v>3.582977E7</v>
      </c>
      <c r="C1641" s="80" t="s">
        <v>3911</v>
      </c>
      <c r="D1641" s="140" t="s">
        <v>636</v>
      </c>
      <c r="E1641" s="80" t="s">
        <v>4310</v>
      </c>
      <c r="F1641" s="80">
        <v>363.2153649</v>
      </c>
      <c r="G1641" s="142">
        <v>15.60171102</v>
      </c>
      <c r="H1641" s="143"/>
      <c r="I1641" s="143"/>
      <c r="J1641" s="143"/>
      <c r="K1641" s="143"/>
      <c r="L1641" s="143"/>
      <c r="M1641" s="143"/>
      <c r="N1641" s="80" t="s">
        <v>4311</v>
      </c>
      <c r="O1641" s="80" t="s">
        <v>4312</v>
      </c>
      <c r="P1641" s="80" t="s">
        <v>4313</v>
      </c>
      <c r="Y1641" s="2" t="s">
        <v>23</v>
      </c>
    </row>
    <row r="1642" ht="15.75" customHeight="1">
      <c r="B1642" s="48">
        <v>3.582977E7</v>
      </c>
      <c r="C1642" s="80" t="s">
        <v>3911</v>
      </c>
      <c r="D1642" s="140" t="s">
        <v>636</v>
      </c>
      <c r="E1642" s="80" t="s">
        <v>4129</v>
      </c>
      <c r="F1642" s="80">
        <v>76.07569983</v>
      </c>
      <c r="G1642" s="142">
        <v>1.935008876</v>
      </c>
      <c r="H1642" s="143"/>
      <c r="I1642" s="143"/>
      <c r="J1642" s="143"/>
      <c r="K1642" s="143"/>
      <c r="L1642" s="143"/>
      <c r="M1642" s="143"/>
      <c r="N1642" s="80" t="s">
        <v>3385</v>
      </c>
      <c r="O1642" s="80" t="s">
        <v>4314</v>
      </c>
      <c r="P1642" s="80" t="s">
        <v>4131</v>
      </c>
      <c r="Y1642" s="2" t="s">
        <v>23</v>
      </c>
    </row>
    <row r="1643" ht="15.75" customHeight="1">
      <c r="B1643" s="48">
        <v>3.582977E7</v>
      </c>
      <c r="C1643" s="80" t="s">
        <v>3911</v>
      </c>
      <c r="D1643" s="140" t="s">
        <v>636</v>
      </c>
      <c r="E1643" s="80" t="s">
        <v>637</v>
      </c>
      <c r="F1643" s="80">
        <v>114.0660854</v>
      </c>
      <c r="G1643" s="142">
        <v>1.915215174</v>
      </c>
      <c r="H1643" s="143"/>
      <c r="I1643" s="143"/>
      <c r="J1643" s="143"/>
      <c r="K1643" s="143"/>
      <c r="L1643" s="143"/>
      <c r="M1643" s="143"/>
      <c r="N1643" s="80" t="s">
        <v>638</v>
      </c>
      <c r="O1643" s="80" t="s">
        <v>4290</v>
      </c>
      <c r="P1643" s="80" t="s">
        <v>3969</v>
      </c>
      <c r="Y1643" s="2" t="s">
        <v>23</v>
      </c>
    </row>
    <row r="1644" ht="15.75" customHeight="1">
      <c r="B1644" s="48">
        <v>3.582977E7</v>
      </c>
      <c r="C1644" s="80" t="s">
        <v>3911</v>
      </c>
      <c r="D1644" s="140" t="s">
        <v>636</v>
      </c>
      <c r="E1644" s="80" t="s">
        <v>3299</v>
      </c>
      <c r="F1644" s="80">
        <v>126.0216616</v>
      </c>
      <c r="G1644" s="142">
        <v>2.095440165</v>
      </c>
      <c r="H1644" s="143"/>
      <c r="I1644" s="143"/>
      <c r="J1644" s="143"/>
      <c r="K1644" s="143"/>
      <c r="L1644" s="143"/>
      <c r="M1644" s="143"/>
      <c r="N1644" s="80" t="s">
        <v>3300</v>
      </c>
      <c r="O1644" s="80" t="s">
        <v>4315</v>
      </c>
      <c r="P1644" s="80" t="s">
        <v>4199</v>
      </c>
      <c r="Y1644" s="2" t="s">
        <v>23</v>
      </c>
    </row>
    <row r="1645" ht="15.75" customHeight="1">
      <c r="B1645" s="48">
        <v>3.582977E7</v>
      </c>
      <c r="C1645" s="80" t="s">
        <v>3911</v>
      </c>
      <c r="D1645" s="140" t="s">
        <v>636</v>
      </c>
      <c r="E1645" s="80" t="s">
        <v>4316</v>
      </c>
      <c r="F1645" s="80">
        <v>130.0496672</v>
      </c>
      <c r="G1645" s="142">
        <v>10.62767639</v>
      </c>
      <c r="H1645" s="143"/>
      <c r="I1645" s="143"/>
      <c r="J1645" s="143"/>
      <c r="K1645" s="143"/>
      <c r="L1645" s="143"/>
      <c r="M1645" s="143"/>
      <c r="N1645" s="80" t="s">
        <v>1358</v>
      </c>
      <c r="O1645" s="80" t="s">
        <v>4317</v>
      </c>
      <c r="P1645" s="80" t="s">
        <v>3914</v>
      </c>
      <c r="Y1645" s="2" t="s">
        <v>23</v>
      </c>
    </row>
    <row r="1646" ht="15.75" customHeight="1">
      <c r="B1646" s="48">
        <v>3.582977E7</v>
      </c>
      <c r="C1646" s="80" t="s">
        <v>3911</v>
      </c>
      <c r="D1646" s="140" t="s">
        <v>636</v>
      </c>
      <c r="E1646" s="80" t="s">
        <v>4316</v>
      </c>
      <c r="F1646" s="80">
        <v>130.049683</v>
      </c>
      <c r="G1646" s="142">
        <v>1.955310949</v>
      </c>
      <c r="H1646" s="143"/>
      <c r="I1646" s="143"/>
      <c r="J1646" s="143"/>
      <c r="K1646" s="143"/>
      <c r="L1646" s="143"/>
      <c r="M1646" s="143"/>
      <c r="N1646" s="80" t="s">
        <v>1358</v>
      </c>
      <c r="O1646" s="80" t="s">
        <v>4317</v>
      </c>
      <c r="P1646" s="80" t="s">
        <v>3914</v>
      </c>
      <c r="Y1646" s="2" t="s">
        <v>23</v>
      </c>
    </row>
    <row r="1647" ht="15.75" customHeight="1">
      <c r="B1647" s="48">
        <v>3.582977E7</v>
      </c>
      <c r="C1647" s="80" t="s">
        <v>3911</v>
      </c>
      <c r="D1647" s="140" t="s">
        <v>636</v>
      </c>
      <c r="E1647" s="80" t="s">
        <v>4316</v>
      </c>
      <c r="F1647" s="80">
        <v>130.0497462</v>
      </c>
      <c r="G1647" s="142">
        <v>2.641769663</v>
      </c>
      <c r="H1647" s="143"/>
      <c r="I1647" s="143"/>
      <c r="J1647" s="143"/>
      <c r="K1647" s="143"/>
      <c r="L1647" s="143"/>
      <c r="M1647" s="143"/>
      <c r="N1647" s="80" t="s">
        <v>1358</v>
      </c>
      <c r="O1647" s="80" t="s">
        <v>4317</v>
      </c>
      <c r="P1647" s="80" t="s">
        <v>3914</v>
      </c>
      <c r="Y1647" s="2" t="s">
        <v>23</v>
      </c>
    </row>
    <row r="1648" ht="15.75" customHeight="1">
      <c r="B1648" s="48">
        <v>3.582977E7</v>
      </c>
      <c r="C1648" s="80" t="s">
        <v>3911</v>
      </c>
      <c r="D1648" s="140" t="s">
        <v>636</v>
      </c>
      <c r="E1648" s="80" t="s">
        <v>4318</v>
      </c>
      <c r="F1648" s="80">
        <v>130.0649377</v>
      </c>
      <c r="G1648" s="142">
        <v>9.083832804</v>
      </c>
      <c r="H1648" s="143"/>
      <c r="I1648" s="143"/>
      <c r="J1648" s="143"/>
      <c r="K1648" s="143"/>
      <c r="L1648" s="143"/>
      <c r="M1648" s="143"/>
      <c r="N1648" s="80" t="s">
        <v>4319</v>
      </c>
      <c r="O1648" s="80" t="s">
        <v>4320</v>
      </c>
      <c r="P1648" s="80" t="s">
        <v>4321</v>
      </c>
      <c r="Y1648" s="2" t="s">
        <v>23</v>
      </c>
    </row>
    <row r="1649" ht="15.75" customHeight="1">
      <c r="B1649" s="48">
        <v>3.582977E7</v>
      </c>
      <c r="C1649" s="80" t="s">
        <v>3911</v>
      </c>
      <c r="D1649" s="140" t="s">
        <v>636</v>
      </c>
      <c r="E1649" s="80" t="s">
        <v>4318</v>
      </c>
      <c r="F1649" s="80">
        <v>130.0649995</v>
      </c>
      <c r="G1649" s="142">
        <v>13.50334574</v>
      </c>
      <c r="H1649" s="143"/>
      <c r="I1649" s="143"/>
      <c r="J1649" s="143"/>
      <c r="K1649" s="143"/>
      <c r="L1649" s="143"/>
      <c r="M1649" s="143"/>
      <c r="N1649" s="80" t="s">
        <v>4319</v>
      </c>
      <c r="O1649" s="80" t="s">
        <v>4320</v>
      </c>
      <c r="P1649" s="80" t="s">
        <v>4321</v>
      </c>
      <c r="Y1649" s="2" t="s">
        <v>23</v>
      </c>
    </row>
    <row r="1650" ht="15.75" customHeight="1">
      <c r="B1650" s="48">
        <v>3.582977E7</v>
      </c>
      <c r="C1650" s="80" t="s">
        <v>3911</v>
      </c>
      <c r="D1650" s="140" t="s">
        <v>636</v>
      </c>
      <c r="E1650" s="80" t="s">
        <v>4318</v>
      </c>
      <c r="F1650" s="80">
        <v>130.0649808</v>
      </c>
      <c r="G1650" s="142">
        <v>14.59546102</v>
      </c>
      <c r="H1650" s="143"/>
      <c r="I1650" s="143"/>
      <c r="J1650" s="143"/>
      <c r="K1650" s="143"/>
      <c r="L1650" s="143"/>
      <c r="M1650" s="143"/>
      <c r="N1650" s="80" t="s">
        <v>4319</v>
      </c>
      <c r="O1650" s="80" t="s">
        <v>4320</v>
      </c>
      <c r="P1650" s="80" t="s">
        <v>4321</v>
      </c>
      <c r="Y1650" s="2" t="s">
        <v>23</v>
      </c>
    </row>
    <row r="1651" ht="15.75" customHeight="1">
      <c r="B1651" s="48">
        <v>3.582977E7</v>
      </c>
      <c r="C1651" s="80" t="s">
        <v>3911</v>
      </c>
      <c r="D1651" s="140" t="s">
        <v>636</v>
      </c>
      <c r="E1651" s="80" t="s">
        <v>4324</v>
      </c>
      <c r="F1651" s="80">
        <v>132.0764983</v>
      </c>
      <c r="G1651" s="142">
        <v>1.955310949</v>
      </c>
      <c r="H1651" s="143"/>
      <c r="I1651" s="143"/>
      <c r="J1651" s="143"/>
      <c r="K1651" s="143"/>
      <c r="L1651" s="143"/>
      <c r="M1651" s="143"/>
      <c r="N1651" s="80" t="s">
        <v>1723</v>
      </c>
      <c r="O1651" s="80" t="s">
        <v>4325</v>
      </c>
      <c r="P1651" s="80" t="s">
        <v>4326</v>
      </c>
      <c r="Y1651" s="2" t="s">
        <v>23</v>
      </c>
    </row>
    <row r="1652" ht="15.75" customHeight="1">
      <c r="B1652" s="48">
        <v>3.582977E7</v>
      </c>
      <c r="C1652" s="80" t="s">
        <v>3911</v>
      </c>
      <c r="D1652" s="140" t="s">
        <v>636</v>
      </c>
      <c r="E1652" s="80" t="s">
        <v>4394</v>
      </c>
      <c r="F1652" s="80">
        <v>132.0806033</v>
      </c>
      <c r="G1652" s="142">
        <v>9.083832804</v>
      </c>
      <c r="H1652" s="143"/>
      <c r="I1652" s="143"/>
      <c r="J1652" s="143"/>
      <c r="K1652" s="143"/>
      <c r="L1652" s="143"/>
      <c r="M1652" s="143"/>
      <c r="N1652" s="80" t="s">
        <v>3829</v>
      </c>
      <c r="O1652" s="80" t="s">
        <v>4112</v>
      </c>
      <c r="P1652" s="80" t="s">
        <v>4113</v>
      </c>
      <c r="Y1652" s="2" t="s">
        <v>23</v>
      </c>
    </row>
    <row r="1653" ht="15.75" customHeight="1">
      <c r="B1653" s="48">
        <v>3.582977E7</v>
      </c>
      <c r="C1653" s="80" t="s">
        <v>3911</v>
      </c>
      <c r="D1653" s="140" t="s">
        <v>636</v>
      </c>
      <c r="E1653" s="80" t="s">
        <v>4395</v>
      </c>
      <c r="F1653" s="80">
        <v>137.0455196</v>
      </c>
      <c r="G1653" s="142">
        <v>2.450479889</v>
      </c>
      <c r="H1653" s="143"/>
      <c r="I1653" s="143"/>
      <c r="J1653" s="143"/>
      <c r="K1653" s="143"/>
      <c r="L1653" s="143"/>
      <c r="M1653" s="143"/>
      <c r="N1653" s="80" t="s">
        <v>2220</v>
      </c>
      <c r="O1653" s="80" t="s">
        <v>4328</v>
      </c>
      <c r="P1653" s="80" t="s">
        <v>4329</v>
      </c>
      <c r="Y1653" s="2" t="s">
        <v>23</v>
      </c>
    </row>
    <row r="1654" ht="15.75" customHeight="1">
      <c r="B1654" s="48">
        <v>3.582977E7</v>
      </c>
      <c r="C1654" s="80" t="s">
        <v>3911</v>
      </c>
      <c r="D1654" s="140" t="s">
        <v>636</v>
      </c>
      <c r="E1654" s="80" t="s">
        <v>4396</v>
      </c>
      <c r="F1654" s="80">
        <v>138.0546115</v>
      </c>
      <c r="G1654" s="142">
        <v>1.974661001</v>
      </c>
      <c r="H1654" s="143"/>
      <c r="I1654" s="143"/>
      <c r="J1654" s="143"/>
      <c r="K1654" s="143"/>
      <c r="L1654" s="143"/>
      <c r="M1654" s="143"/>
      <c r="N1654" s="80" t="s">
        <v>1498</v>
      </c>
      <c r="O1654" s="80" t="s">
        <v>4378</v>
      </c>
      <c r="P1654" s="80" t="s">
        <v>4379</v>
      </c>
      <c r="Y1654" s="2" t="s">
        <v>23</v>
      </c>
    </row>
    <row r="1655" ht="15.75" customHeight="1">
      <c r="B1655" s="48">
        <v>3.582977E7</v>
      </c>
      <c r="C1655" s="80" t="s">
        <v>3911</v>
      </c>
      <c r="D1655" s="140" t="s">
        <v>636</v>
      </c>
      <c r="E1655" s="80" t="s">
        <v>4397</v>
      </c>
      <c r="F1655" s="80">
        <v>139.0387277</v>
      </c>
      <c r="G1655" s="142">
        <v>17.82675781</v>
      </c>
      <c r="H1655" s="143"/>
      <c r="I1655" s="143"/>
      <c r="J1655" s="143"/>
      <c r="K1655" s="143"/>
      <c r="L1655" s="143"/>
      <c r="M1655" s="143"/>
      <c r="N1655" s="80" t="s">
        <v>1240</v>
      </c>
      <c r="O1655" s="80" t="s">
        <v>4330</v>
      </c>
      <c r="P1655" s="80" t="s">
        <v>4158</v>
      </c>
      <c r="Y1655" s="2" t="s">
        <v>23</v>
      </c>
    </row>
    <row r="1656" ht="15.75" customHeight="1">
      <c r="B1656" s="48">
        <v>3.582977E7</v>
      </c>
      <c r="C1656" s="80" t="s">
        <v>3911</v>
      </c>
      <c r="D1656" s="140" t="s">
        <v>636</v>
      </c>
      <c r="E1656" s="80" t="s">
        <v>4398</v>
      </c>
      <c r="F1656" s="80">
        <v>144.0806088</v>
      </c>
      <c r="G1656" s="142">
        <v>9.083832804</v>
      </c>
      <c r="H1656" s="143"/>
      <c r="I1656" s="143"/>
      <c r="J1656" s="143"/>
      <c r="K1656" s="143"/>
      <c r="L1656" s="143"/>
      <c r="M1656" s="143"/>
      <c r="N1656" s="80" t="s">
        <v>4104</v>
      </c>
      <c r="O1656" s="80" t="s">
        <v>4105</v>
      </c>
      <c r="P1656" s="80" t="s">
        <v>4106</v>
      </c>
      <c r="Y1656" s="2" t="s">
        <v>23</v>
      </c>
    </row>
    <row r="1657" ht="15.75" customHeight="1">
      <c r="B1657" s="48">
        <v>3.582977E7</v>
      </c>
      <c r="C1657" s="80" t="s">
        <v>3911</v>
      </c>
      <c r="D1657" s="140" t="s">
        <v>636</v>
      </c>
      <c r="E1657" s="80" t="s">
        <v>4399</v>
      </c>
      <c r="F1657" s="80">
        <v>147.0761803</v>
      </c>
      <c r="G1657" s="142">
        <v>1.974661001</v>
      </c>
      <c r="H1657" s="143"/>
      <c r="I1657" s="143"/>
      <c r="J1657" s="143"/>
      <c r="K1657" s="143"/>
      <c r="L1657" s="143"/>
      <c r="M1657" s="143"/>
      <c r="N1657" s="80" t="s">
        <v>1211</v>
      </c>
      <c r="O1657" s="80" t="s">
        <v>4291</v>
      </c>
      <c r="P1657" s="80" t="s">
        <v>3916</v>
      </c>
      <c r="Y1657" s="2" t="s">
        <v>23</v>
      </c>
    </row>
    <row r="1658" ht="15.75" customHeight="1">
      <c r="B1658" s="48">
        <v>3.582977E7</v>
      </c>
      <c r="C1658" s="80" t="s">
        <v>3911</v>
      </c>
      <c r="D1658" s="140" t="s">
        <v>636</v>
      </c>
      <c r="E1658" s="80" t="s">
        <v>4400</v>
      </c>
      <c r="F1658" s="80">
        <v>147.1125012</v>
      </c>
      <c r="G1658" s="142">
        <v>1.716119258</v>
      </c>
      <c r="H1658" s="143"/>
      <c r="I1658" s="143"/>
      <c r="J1658" s="143"/>
      <c r="K1658" s="143"/>
      <c r="L1658" s="143"/>
      <c r="M1658" s="143"/>
      <c r="N1658" s="80" t="s">
        <v>2388</v>
      </c>
      <c r="O1658" s="80" t="s">
        <v>4368</v>
      </c>
      <c r="P1658" s="80" t="s">
        <v>4369</v>
      </c>
      <c r="Y1658" s="2" t="s">
        <v>23</v>
      </c>
    </row>
    <row r="1659" ht="15.75" customHeight="1">
      <c r="B1659" s="48">
        <v>3.582977E7</v>
      </c>
      <c r="C1659" s="80" t="s">
        <v>3911</v>
      </c>
      <c r="D1659" s="140" t="s">
        <v>636</v>
      </c>
      <c r="E1659" s="80" t="s">
        <v>4401</v>
      </c>
      <c r="F1659" s="80">
        <v>148.0600392</v>
      </c>
      <c r="G1659" s="142">
        <v>2.0954402</v>
      </c>
      <c r="H1659" s="143"/>
      <c r="I1659" s="143"/>
      <c r="J1659" s="143"/>
      <c r="K1659" s="143"/>
      <c r="L1659" s="143"/>
      <c r="M1659" s="143"/>
      <c r="N1659" s="80" t="s">
        <v>2032</v>
      </c>
      <c r="O1659" s="80" t="s">
        <v>4292</v>
      </c>
      <c r="P1659" s="80" t="s">
        <v>4232</v>
      </c>
      <c r="Y1659" s="2" t="s">
        <v>23</v>
      </c>
    </row>
    <row r="1660" ht="15.75" customHeight="1">
      <c r="B1660" s="48">
        <v>3.582977E7</v>
      </c>
      <c r="C1660" s="80" t="s">
        <v>3911</v>
      </c>
      <c r="D1660" s="140" t="s">
        <v>636</v>
      </c>
      <c r="E1660" s="80" t="s">
        <v>4402</v>
      </c>
      <c r="F1660" s="80">
        <v>150.0581491</v>
      </c>
      <c r="G1660" s="142">
        <v>2.518510183</v>
      </c>
      <c r="H1660" s="143"/>
      <c r="I1660" s="143"/>
      <c r="J1660" s="143"/>
      <c r="K1660" s="143"/>
      <c r="L1660" s="143"/>
      <c r="M1660" s="143"/>
      <c r="N1660" s="80" t="s">
        <v>2444</v>
      </c>
      <c r="O1660" s="80" t="s">
        <v>4293</v>
      </c>
      <c r="P1660" s="80" t="s">
        <v>4294</v>
      </c>
      <c r="Y1660" s="2" t="s">
        <v>23</v>
      </c>
    </row>
    <row r="1661" ht="15.75" customHeight="1">
      <c r="B1661" s="48">
        <v>3.582977E7</v>
      </c>
      <c r="C1661" s="80" t="s">
        <v>3911</v>
      </c>
      <c r="D1661" s="140" t="s">
        <v>636</v>
      </c>
      <c r="E1661" s="80" t="s">
        <v>4403</v>
      </c>
      <c r="F1661" s="80">
        <v>152.1430887</v>
      </c>
      <c r="G1661" s="142">
        <v>11.73940531</v>
      </c>
      <c r="H1661" s="143"/>
      <c r="I1661" s="143"/>
      <c r="J1661" s="143"/>
      <c r="K1661" s="143"/>
      <c r="L1661" s="143"/>
      <c r="M1661" s="143"/>
      <c r="N1661" s="80" t="s">
        <v>4140</v>
      </c>
      <c r="O1661" s="80" t="s">
        <v>4337</v>
      </c>
      <c r="P1661" s="80" t="s">
        <v>4142</v>
      </c>
      <c r="Y1661" s="2" t="s">
        <v>23</v>
      </c>
    </row>
    <row r="1662" ht="15.75" customHeight="1">
      <c r="B1662" s="48">
        <v>3.582977E7</v>
      </c>
      <c r="C1662" s="80" t="s">
        <v>3911</v>
      </c>
      <c r="D1662" s="140" t="s">
        <v>636</v>
      </c>
      <c r="E1662" s="80" t="s">
        <v>3953</v>
      </c>
      <c r="F1662" s="80">
        <v>153.0403773</v>
      </c>
      <c r="G1662" s="142">
        <v>2.649215317</v>
      </c>
      <c r="H1662" s="143"/>
      <c r="I1662" s="143"/>
      <c r="J1662" s="143"/>
      <c r="K1662" s="143"/>
      <c r="L1662" s="143"/>
      <c r="M1662" s="143"/>
      <c r="N1662" s="80" t="s">
        <v>3496</v>
      </c>
      <c r="O1662" s="80" t="s">
        <v>4386</v>
      </c>
      <c r="P1662" s="80" t="s">
        <v>3955</v>
      </c>
      <c r="Y1662" s="2" t="s">
        <v>23</v>
      </c>
    </row>
    <row r="1663" ht="15.75" customHeight="1">
      <c r="B1663" s="48">
        <v>3.582977E7</v>
      </c>
      <c r="C1663" s="80" t="s">
        <v>3911</v>
      </c>
      <c r="D1663" s="140" t="s">
        <v>636</v>
      </c>
      <c r="E1663" s="80" t="s">
        <v>3531</v>
      </c>
      <c r="F1663" s="80">
        <v>156.0764312</v>
      </c>
      <c r="G1663" s="142">
        <v>1.755798467</v>
      </c>
      <c r="H1663" s="143"/>
      <c r="I1663" s="143"/>
      <c r="J1663" s="143"/>
      <c r="K1663" s="143"/>
      <c r="L1663" s="143"/>
      <c r="M1663" s="143"/>
      <c r="N1663" s="80" t="s">
        <v>2182</v>
      </c>
      <c r="O1663" s="80" t="s">
        <v>4295</v>
      </c>
      <c r="P1663" s="80" t="s">
        <v>4234</v>
      </c>
      <c r="Y1663" s="2" t="s">
        <v>23</v>
      </c>
    </row>
    <row r="1664" ht="15.75" customHeight="1">
      <c r="B1664" s="48">
        <v>3.582977E7</v>
      </c>
      <c r="C1664" s="80" t="s">
        <v>3911</v>
      </c>
      <c r="D1664" s="140" t="s">
        <v>636</v>
      </c>
      <c r="E1664" s="80" t="s">
        <v>4390</v>
      </c>
      <c r="F1664" s="80">
        <v>165.0543323</v>
      </c>
      <c r="G1664" s="142">
        <v>2.846753184</v>
      </c>
      <c r="H1664" s="143"/>
      <c r="I1664" s="143"/>
      <c r="J1664" s="143"/>
      <c r="K1664" s="143"/>
      <c r="L1664" s="143"/>
      <c r="M1664" s="143"/>
      <c r="N1664" s="80" t="s">
        <v>1108</v>
      </c>
      <c r="O1664" s="80" t="s">
        <v>4391</v>
      </c>
      <c r="P1664" s="80" t="s">
        <v>4392</v>
      </c>
      <c r="Y1664" s="2" t="s">
        <v>23</v>
      </c>
    </row>
    <row r="1665" ht="15.75" customHeight="1">
      <c r="B1665" s="48">
        <v>3.582977E7</v>
      </c>
      <c r="C1665" s="80" t="s">
        <v>3911</v>
      </c>
      <c r="D1665" s="140" t="s">
        <v>636</v>
      </c>
      <c r="E1665" s="80" t="s">
        <v>315</v>
      </c>
      <c r="F1665" s="80">
        <v>167.0559838</v>
      </c>
      <c r="G1665" s="142">
        <v>4.372603861</v>
      </c>
      <c r="H1665" s="143"/>
      <c r="I1665" s="143"/>
      <c r="J1665" s="143"/>
      <c r="K1665" s="143"/>
      <c r="L1665" s="143"/>
      <c r="M1665" s="143"/>
      <c r="N1665" s="80" t="s">
        <v>775</v>
      </c>
      <c r="O1665" s="80" t="s">
        <v>4340</v>
      </c>
      <c r="P1665" s="80" t="s">
        <v>4005</v>
      </c>
      <c r="Y1665" s="2" t="s">
        <v>23</v>
      </c>
    </row>
    <row r="1666" ht="15.75" customHeight="1">
      <c r="B1666" s="48">
        <v>3.582977E7</v>
      </c>
      <c r="C1666" s="80" t="s">
        <v>3911</v>
      </c>
      <c r="D1666" s="140" t="s">
        <v>636</v>
      </c>
      <c r="E1666" s="80" t="s">
        <v>4404</v>
      </c>
      <c r="F1666" s="80">
        <v>170.0919842</v>
      </c>
      <c r="G1666" s="142">
        <v>1.795115153</v>
      </c>
      <c r="H1666" s="143"/>
      <c r="I1666" s="143"/>
      <c r="J1666" s="143"/>
      <c r="K1666" s="143"/>
      <c r="L1666" s="143"/>
      <c r="M1666" s="143"/>
      <c r="N1666" s="80" t="s">
        <v>761</v>
      </c>
      <c r="O1666" s="80" t="s">
        <v>4405</v>
      </c>
      <c r="P1666" s="80" t="s">
        <v>4406</v>
      </c>
      <c r="Y1666" s="2" t="s">
        <v>23</v>
      </c>
    </row>
    <row r="1667" ht="15.75" customHeight="1">
      <c r="B1667" s="48">
        <v>3.582977E7</v>
      </c>
      <c r="C1667" s="80" t="s">
        <v>3911</v>
      </c>
      <c r="D1667" s="140" t="s">
        <v>636</v>
      </c>
      <c r="E1667" s="80" t="s">
        <v>4407</v>
      </c>
      <c r="F1667" s="80">
        <v>175.1186259</v>
      </c>
      <c r="G1667" s="142">
        <v>1.815594355</v>
      </c>
      <c r="H1667" s="143"/>
      <c r="I1667" s="143"/>
      <c r="J1667" s="143"/>
      <c r="K1667" s="143"/>
      <c r="L1667" s="143"/>
      <c r="M1667" s="143"/>
      <c r="N1667" s="80" t="s">
        <v>1526</v>
      </c>
      <c r="O1667" s="80" t="s">
        <v>4296</v>
      </c>
      <c r="P1667" s="80" t="s">
        <v>3924</v>
      </c>
      <c r="Y1667" s="2" t="s">
        <v>23</v>
      </c>
    </row>
    <row r="1668" ht="15.75" customHeight="1">
      <c r="B1668" s="48">
        <v>3.582977E7</v>
      </c>
      <c r="C1668" s="80" t="s">
        <v>3911</v>
      </c>
      <c r="D1668" s="140" t="s">
        <v>636</v>
      </c>
      <c r="E1668" s="80" t="s">
        <v>4408</v>
      </c>
      <c r="F1668" s="80">
        <v>176.0703558</v>
      </c>
      <c r="G1668" s="142">
        <v>13.50334574</v>
      </c>
      <c r="H1668" s="143"/>
      <c r="I1668" s="143"/>
      <c r="J1668" s="143"/>
      <c r="K1668" s="143"/>
      <c r="L1668" s="143"/>
      <c r="M1668" s="143"/>
      <c r="N1668" s="80" t="s">
        <v>2237</v>
      </c>
      <c r="O1668" s="80" t="s">
        <v>4345</v>
      </c>
      <c r="P1668" s="80" t="s">
        <v>4011</v>
      </c>
      <c r="Y1668" s="2" t="s">
        <v>23</v>
      </c>
    </row>
    <row r="1669" ht="15.75" customHeight="1">
      <c r="B1669" s="48">
        <v>3.582977E7</v>
      </c>
      <c r="C1669" s="80" t="s">
        <v>3911</v>
      </c>
      <c r="D1669" s="140" t="s">
        <v>636</v>
      </c>
      <c r="E1669" s="80" t="s">
        <v>4409</v>
      </c>
      <c r="F1669" s="80">
        <v>197.0664164</v>
      </c>
      <c r="G1669" s="142">
        <v>8.941756185</v>
      </c>
      <c r="H1669" s="143"/>
      <c r="I1669" s="143"/>
      <c r="J1669" s="143"/>
      <c r="K1669" s="143"/>
      <c r="L1669" s="143"/>
      <c r="M1669" s="143"/>
      <c r="N1669" s="80" t="s">
        <v>4410</v>
      </c>
      <c r="O1669" s="80" t="s">
        <v>4411</v>
      </c>
      <c r="P1669" s="80" t="s">
        <v>4412</v>
      </c>
      <c r="Y1669" s="2" t="s">
        <v>23</v>
      </c>
    </row>
    <row r="1670" ht="15.75" customHeight="1">
      <c r="B1670" s="48">
        <v>3.582977E7</v>
      </c>
      <c r="C1670" s="80" t="s">
        <v>3911</v>
      </c>
      <c r="D1670" s="140" t="s">
        <v>636</v>
      </c>
      <c r="E1670" s="80" t="s">
        <v>4413</v>
      </c>
      <c r="F1670" s="80">
        <v>198.0756259</v>
      </c>
      <c r="G1670" s="142">
        <v>2.382957204</v>
      </c>
      <c r="H1670" s="143"/>
      <c r="I1670" s="143"/>
      <c r="J1670" s="143"/>
      <c r="K1670" s="143"/>
      <c r="L1670" s="143"/>
      <c r="M1670" s="143"/>
      <c r="N1670" s="80" t="s">
        <v>4298</v>
      </c>
      <c r="O1670" s="80" t="s">
        <v>4414</v>
      </c>
      <c r="P1670" s="80" t="s">
        <v>4415</v>
      </c>
      <c r="Y1670" s="2" t="s">
        <v>23</v>
      </c>
    </row>
    <row r="1671" ht="15.75" customHeight="1">
      <c r="B1671" s="48">
        <v>3.582977E7</v>
      </c>
      <c r="C1671" s="80" t="s">
        <v>3911</v>
      </c>
      <c r="D1671" s="140" t="s">
        <v>636</v>
      </c>
      <c r="E1671" s="80" t="s">
        <v>4118</v>
      </c>
      <c r="F1671" s="80">
        <v>204.1127115</v>
      </c>
      <c r="G1671" s="142">
        <v>10.56112061</v>
      </c>
      <c r="H1671" s="143"/>
      <c r="I1671" s="143"/>
      <c r="J1671" s="143"/>
      <c r="K1671" s="143"/>
      <c r="L1671" s="143"/>
      <c r="M1671" s="143"/>
      <c r="N1671" s="80" t="s">
        <v>4119</v>
      </c>
      <c r="O1671" s="80" t="s">
        <v>4393</v>
      </c>
      <c r="P1671" s="80" t="s">
        <v>4121</v>
      </c>
      <c r="Y1671" s="2" t="s">
        <v>23</v>
      </c>
    </row>
    <row r="1672" ht="15.75" customHeight="1">
      <c r="B1672" s="48">
        <v>3.582977E7</v>
      </c>
      <c r="C1672" s="80" t="s">
        <v>3911</v>
      </c>
      <c r="D1672" s="140" t="s">
        <v>636</v>
      </c>
      <c r="E1672" s="80" t="s">
        <v>4416</v>
      </c>
      <c r="F1672" s="80">
        <v>219.1121464</v>
      </c>
      <c r="G1672" s="142">
        <v>12.73841858</v>
      </c>
      <c r="H1672" s="143"/>
      <c r="I1672" s="143"/>
      <c r="J1672" s="143"/>
      <c r="K1672" s="143"/>
      <c r="L1672" s="143"/>
      <c r="M1672" s="143"/>
      <c r="N1672" s="80" t="s">
        <v>4349</v>
      </c>
      <c r="O1672" s="80" t="s">
        <v>4350</v>
      </c>
      <c r="P1672" s="80" t="s">
        <v>4351</v>
      </c>
      <c r="Y1672" s="2" t="s">
        <v>23</v>
      </c>
    </row>
    <row r="1673" ht="15.75" customHeight="1">
      <c r="B1673" s="48">
        <v>3.582977E7</v>
      </c>
      <c r="C1673" s="80" t="s">
        <v>3911</v>
      </c>
      <c r="D1673" s="140" t="s">
        <v>636</v>
      </c>
      <c r="E1673" s="80" t="s">
        <v>4417</v>
      </c>
      <c r="F1673" s="80">
        <v>220.1172286</v>
      </c>
      <c r="G1673" s="142">
        <v>6.979924011</v>
      </c>
      <c r="H1673" s="143"/>
      <c r="I1673" s="143"/>
      <c r="J1673" s="143"/>
      <c r="K1673" s="143"/>
      <c r="L1673" s="143"/>
      <c r="M1673" s="143"/>
      <c r="N1673" s="80" t="s">
        <v>2936</v>
      </c>
      <c r="O1673" s="80" t="s">
        <v>4352</v>
      </c>
      <c r="P1673" s="80" t="s">
        <v>4353</v>
      </c>
      <c r="Y1673" s="2" t="s">
        <v>23</v>
      </c>
    </row>
    <row r="1674" ht="15.75" customHeight="1">
      <c r="B1674" s="48">
        <v>3.582977E7</v>
      </c>
      <c r="C1674" s="80" t="s">
        <v>3911</v>
      </c>
      <c r="D1674" s="140" t="s">
        <v>636</v>
      </c>
      <c r="E1674" s="80" t="s">
        <v>4257</v>
      </c>
      <c r="F1674" s="80">
        <v>232.1076464</v>
      </c>
      <c r="G1674" s="142">
        <v>10.45184428</v>
      </c>
      <c r="H1674" s="143"/>
      <c r="I1674" s="143"/>
      <c r="J1674" s="143"/>
      <c r="K1674" s="143"/>
      <c r="L1674" s="143"/>
      <c r="M1674" s="143"/>
      <c r="N1674" s="80" t="s">
        <v>4258</v>
      </c>
      <c r="O1674" s="80" t="s">
        <v>4418</v>
      </c>
      <c r="P1674" s="80" t="s">
        <v>4260</v>
      </c>
      <c r="Y1674" s="2" t="s">
        <v>23</v>
      </c>
    </row>
    <row r="1675" ht="15.75" customHeight="1">
      <c r="B1675" s="48">
        <v>3.582977E7</v>
      </c>
      <c r="C1675" s="80" t="s">
        <v>3911</v>
      </c>
      <c r="D1675" s="140" t="s">
        <v>636</v>
      </c>
      <c r="E1675" s="80" t="s">
        <v>4419</v>
      </c>
      <c r="F1675" s="80">
        <v>241.0303003</v>
      </c>
      <c r="G1675" s="142">
        <v>2.055383937</v>
      </c>
      <c r="H1675" s="143"/>
      <c r="I1675" s="143"/>
      <c r="J1675" s="143"/>
      <c r="K1675" s="143"/>
      <c r="L1675" s="143"/>
      <c r="M1675" s="143"/>
      <c r="N1675" s="80" t="s">
        <v>1747</v>
      </c>
      <c r="O1675" s="80" t="s">
        <v>4420</v>
      </c>
      <c r="P1675" s="80" t="s">
        <v>4421</v>
      </c>
      <c r="Y1675" s="2" t="s">
        <v>23</v>
      </c>
    </row>
    <row r="1676" ht="15.75" customHeight="1">
      <c r="B1676" s="48">
        <v>3.582977E7</v>
      </c>
      <c r="C1676" s="80" t="s">
        <v>3911</v>
      </c>
      <c r="D1676" s="140" t="s">
        <v>636</v>
      </c>
      <c r="E1676" s="80" t="s">
        <v>4058</v>
      </c>
      <c r="F1676" s="80">
        <v>246.1231365</v>
      </c>
      <c r="G1676" s="142">
        <v>10.5635142</v>
      </c>
      <c r="H1676" s="143"/>
      <c r="I1676" s="143"/>
      <c r="J1676" s="143"/>
      <c r="K1676" s="143"/>
      <c r="L1676" s="143"/>
      <c r="M1676" s="143"/>
      <c r="N1676" s="80" t="s">
        <v>4059</v>
      </c>
      <c r="O1676" s="80" t="s">
        <v>4422</v>
      </c>
      <c r="P1676" s="80" t="s">
        <v>4061</v>
      </c>
      <c r="Y1676" s="2" t="s">
        <v>23</v>
      </c>
    </row>
    <row r="1677" ht="15.75" customHeight="1">
      <c r="B1677" s="48">
        <v>3.582977E7</v>
      </c>
      <c r="C1677" s="80" t="s">
        <v>3911</v>
      </c>
      <c r="D1677" s="140" t="s">
        <v>636</v>
      </c>
      <c r="E1677" s="80" t="s">
        <v>4423</v>
      </c>
      <c r="F1677" s="80">
        <v>260.1634867</v>
      </c>
      <c r="G1677" s="142">
        <v>14.08915507</v>
      </c>
      <c r="H1677" s="143"/>
      <c r="I1677" s="143"/>
      <c r="J1677" s="143"/>
      <c r="K1677" s="143"/>
      <c r="L1677" s="143"/>
      <c r="M1677" s="143"/>
      <c r="N1677" s="80" t="s">
        <v>4358</v>
      </c>
      <c r="O1677" s="80" t="s">
        <v>4371</v>
      </c>
      <c r="P1677" s="80" t="s">
        <v>4372</v>
      </c>
      <c r="Y1677" s="2" t="s">
        <v>23</v>
      </c>
    </row>
    <row r="1678" ht="15.75" customHeight="1">
      <c r="B1678" s="48">
        <v>3.582977E7</v>
      </c>
      <c r="C1678" s="80" t="s">
        <v>3911</v>
      </c>
      <c r="D1678" s="140" t="s">
        <v>636</v>
      </c>
      <c r="E1678" s="80" t="s">
        <v>4424</v>
      </c>
      <c r="F1678" s="80">
        <v>261.1435165</v>
      </c>
      <c r="G1678" s="142">
        <v>10.3993337</v>
      </c>
      <c r="H1678" s="143"/>
      <c r="I1678" s="143"/>
      <c r="J1678" s="143"/>
      <c r="K1678" s="143"/>
      <c r="L1678" s="143"/>
      <c r="M1678" s="143"/>
      <c r="N1678" s="80" t="s">
        <v>1991</v>
      </c>
      <c r="O1678" s="80" t="s">
        <v>4425</v>
      </c>
      <c r="P1678" s="80" t="s">
        <v>4426</v>
      </c>
      <c r="Y1678" s="2" t="s">
        <v>23</v>
      </c>
    </row>
    <row r="1679" ht="15.75" customHeight="1">
      <c r="B1679" s="48">
        <v>3.582977E7</v>
      </c>
      <c r="C1679" s="80" t="s">
        <v>3911</v>
      </c>
      <c r="D1679" s="140" t="s">
        <v>636</v>
      </c>
      <c r="E1679" s="80" t="s">
        <v>1415</v>
      </c>
      <c r="F1679" s="80">
        <v>268.1045979</v>
      </c>
      <c r="G1679" s="142">
        <v>10.5635142</v>
      </c>
      <c r="H1679" s="143"/>
      <c r="I1679" s="143"/>
      <c r="J1679" s="143"/>
      <c r="K1679" s="143"/>
      <c r="L1679" s="143"/>
      <c r="M1679" s="143"/>
      <c r="N1679" s="80" t="s">
        <v>933</v>
      </c>
      <c r="O1679" s="80" t="s">
        <v>4301</v>
      </c>
      <c r="P1679" s="80" t="s">
        <v>4008</v>
      </c>
      <c r="Y1679" s="2" t="s">
        <v>23</v>
      </c>
    </row>
    <row r="1680" ht="15.75" customHeight="1">
      <c r="B1680" s="48">
        <v>3.582977E7</v>
      </c>
      <c r="C1680" s="80" t="s">
        <v>3911</v>
      </c>
      <c r="D1680" s="140" t="s">
        <v>636</v>
      </c>
      <c r="E1680" s="80" t="s">
        <v>4427</v>
      </c>
      <c r="F1680" s="80">
        <v>268.1536568</v>
      </c>
      <c r="G1680" s="142">
        <v>10.26497192</v>
      </c>
      <c r="H1680" s="143"/>
      <c r="I1680" s="143"/>
      <c r="J1680" s="143"/>
      <c r="K1680" s="143"/>
      <c r="L1680" s="143"/>
      <c r="M1680" s="143"/>
      <c r="N1680" s="80" t="s">
        <v>4428</v>
      </c>
      <c r="O1680" s="80" t="s">
        <v>4429</v>
      </c>
      <c r="P1680" s="80" t="s">
        <v>4430</v>
      </c>
      <c r="Y1680" s="2" t="s">
        <v>23</v>
      </c>
    </row>
    <row r="1681" ht="15.75" customHeight="1">
      <c r="B1681" s="48">
        <v>3.582977E7</v>
      </c>
      <c r="C1681" s="80" t="s">
        <v>3911</v>
      </c>
      <c r="D1681" s="140" t="s">
        <v>636</v>
      </c>
      <c r="E1681" s="80" t="s">
        <v>4431</v>
      </c>
      <c r="F1681" s="80">
        <v>268.1896843</v>
      </c>
      <c r="G1681" s="142">
        <v>12.1666158</v>
      </c>
      <c r="H1681" s="143"/>
      <c r="I1681" s="143"/>
      <c r="J1681" s="143"/>
      <c r="K1681" s="143"/>
      <c r="L1681" s="143"/>
      <c r="M1681" s="143"/>
      <c r="N1681" s="80" t="s">
        <v>4303</v>
      </c>
      <c r="O1681" s="80" t="s">
        <v>4304</v>
      </c>
      <c r="P1681" s="80" t="s">
        <v>4305</v>
      </c>
      <c r="Y1681" s="2" t="s">
        <v>23</v>
      </c>
    </row>
    <row r="1682" ht="15.75" customHeight="1">
      <c r="B1682" s="48">
        <v>3.582977E7</v>
      </c>
      <c r="C1682" s="80" t="s">
        <v>3911</v>
      </c>
      <c r="D1682" s="140" t="s">
        <v>636</v>
      </c>
      <c r="E1682" s="80" t="s">
        <v>4432</v>
      </c>
      <c r="F1682" s="80">
        <v>286.1429781</v>
      </c>
      <c r="G1682" s="142">
        <v>17.5038798</v>
      </c>
      <c r="H1682" s="143"/>
      <c r="I1682" s="143"/>
      <c r="J1682" s="143"/>
      <c r="K1682" s="143"/>
      <c r="L1682" s="143"/>
      <c r="M1682" s="143"/>
      <c r="N1682" s="80" t="s">
        <v>4083</v>
      </c>
      <c r="O1682" s="80" t="s">
        <v>4362</v>
      </c>
      <c r="P1682" s="80" t="s">
        <v>4085</v>
      </c>
      <c r="Y1682" s="2" t="s">
        <v>23</v>
      </c>
    </row>
    <row r="1683" ht="15.75" customHeight="1">
      <c r="B1683" s="48">
        <v>3.582977E7</v>
      </c>
      <c r="C1683" s="80" t="s">
        <v>3911</v>
      </c>
      <c r="D1683" s="140" t="s">
        <v>636</v>
      </c>
      <c r="E1683" s="80" t="s">
        <v>4433</v>
      </c>
      <c r="F1683" s="80">
        <v>307.110256</v>
      </c>
      <c r="G1683" s="142">
        <v>12.65436452</v>
      </c>
      <c r="H1683" s="143"/>
      <c r="I1683" s="143"/>
      <c r="J1683" s="143"/>
      <c r="K1683" s="143"/>
      <c r="L1683" s="143"/>
      <c r="M1683" s="143"/>
      <c r="N1683" s="80" t="s">
        <v>4115</v>
      </c>
      <c r="O1683" s="80" t="s">
        <v>4363</v>
      </c>
      <c r="P1683" s="80" t="s">
        <v>4117</v>
      </c>
      <c r="Y1683" s="2" t="s">
        <v>23</v>
      </c>
    </row>
    <row r="1684" ht="15.75" customHeight="1">
      <c r="B1684" s="48">
        <v>3.582977E7</v>
      </c>
      <c r="C1684" s="80" t="s">
        <v>3911</v>
      </c>
      <c r="D1684" s="140" t="s">
        <v>636</v>
      </c>
      <c r="E1684" s="80" t="s">
        <v>4434</v>
      </c>
      <c r="F1684" s="80">
        <v>361.19964</v>
      </c>
      <c r="G1684" s="142">
        <v>15.21182048</v>
      </c>
      <c r="H1684" s="143"/>
      <c r="I1684" s="143"/>
      <c r="J1684" s="143"/>
      <c r="K1684" s="143"/>
      <c r="L1684" s="143"/>
      <c r="M1684" s="143"/>
      <c r="N1684" s="80" t="s">
        <v>4307</v>
      </c>
      <c r="O1684" s="80" t="s">
        <v>4308</v>
      </c>
      <c r="P1684" s="80" t="s">
        <v>4309</v>
      </c>
      <c r="Y1684" s="2" t="s">
        <v>23</v>
      </c>
    </row>
    <row r="1685" ht="15.75" customHeight="1">
      <c r="B1685" s="48">
        <v>3.582977E7</v>
      </c>
      <c r="C1685" s="80" t="s">
        <v>3911</v>
      </c>
      <c r="D1685" s="140" t="s">
        <v>636</v>
      </c>
      <c r="E1685" s="80" t="s">
        <v>4435</v>
      </c>
      <c r="F1685" s="80">
        <v>363.2153649</v>
      </c>
      <c r="G1685" s="142">
        <v>15.60171102</v>
      </c>
      <c r="H1685" s="143"/>
      <c r="I1685" s="143"/>
      <c r="J1685" s="143"/>
      <c r="K1685" s="143"/>
      <c r="L1685" s="143"/>
      <c r="M1685" s="143"/>
      <c r="N1685" s="80" t="s">
        <v>4311</v>
      </c>
      <c r="O1685" s="80" t="s">
        <v>4312</v>
      </c>
      <c r="P1685" s="80" t="s">
        <v>4313</v>
      </c>
      <c r="Y1685" s="2" t="s">
        <v>23</v>
      </c>
    </row>
    <row r="1686" ht="15.75" customHeight="1">
      <c r="B1686" s="48">
        <v>3.582977E7</v>
      </c>
      <c r="C1686" s="80" t="s">
        <v>4177</v>
      </c>
      <c r="D1686" s="140" t="s">
        <v>636</v>
      </c>
      <c r="E1686" s="80" t="s">
        <v>3550</v>
      </c>
      <c r="F1686" s="80">
        <v>106.0497826</v>
      </c>
      <c r="G1686" s="142">
        <v>10.64855754</v>
      </c>
      <c r="H1686" s="143"/>
      <c r="I1686" s="143"/>
      <c r="J1686" s="143"/>
      <c r="K1686" s="143"/>
      <c r="L1686" s="143"/>
      <c r="M1686" s="143"/>
      <c r="N1686" s="80" t="s">
        <v>3190</v>
      </c>
      <c r="O1686" s="80" t="s">
        <v>4436</v>
      </c>
      <c r="P1686" s="80" t="s">
        <v>4437</v>
      </c>
      <c r="Y1686" s="2" t="s">
        <v>23</v>
      </c>
    </row>
    <row r="1687" ht="15.75" customHeight="1">
      <c r="B1687" s="48">
        <v>3.582977E7</v>
      </c>
      <c r="C1687" s="80" t="s">
        <v>4177</v>
      </c>
      <c r="D1687" s="140" t="s">
        <v>636</v>
      </c>
      <c r="E1687" s="80" t="s">
        <v>219</v>
      </c>
      <c r="F1687" s="80">
        <v>116.0704859</v>
      </c>
      <c r="G1687" s="142">
        <v>6.892362467</v>
      </c>
      <c r="H1687" s="143"/>
      <c r="I1687" s="143"/>
      <c r="J1687" s="143"/>
      <c r="K1687" s="143"/>
      <c r="L1687" s="143"/>
      <c r="M1687" s="143"/>
      <c r="N1687" s="80" t="s">
        <v>3058</v>
      </c>
      <c r="O1687" s="80" t="s">
        <v>4438</v>
      </c>
      <c r="P1687" s="80" t="s">
        <v>4439</v>
      </c>
      <c r="Y1687" s="2" t="s">
        <v>23</v>
      </c>
    </row>
    <row r="1688" ht="15.75" customHeight="1">
      <c r="B1688" s="48">
        <v>3.582977E7</v>
      </c>
      <c r="C1688" s="80" t="s">
        <v>4177</v>
      </c>
      <c r="D1688" s="140" t="s">
        <v>636</v>
      </c>
      <c r="E1688" s="80" t="s">
        <v>219</v>
      </c>
      <c r="F1688" s="80">
        <v>116.0704889</v>
      </c>
      <c r="G1688" s="142">
        <v>12.99381307</v>
      </c>
      <c r="H1688" s="143"/>
      <c r="I1688" s="143"/>
      <c r="J1688" s="143"/>
      <c r="K1688" s="143"/>
      <c r="L1688" s="143"/>
      <c r="M1688" s="143"/>
      <c r="N1688" s="80" t="s">
        <v>3058</v>
      </c>
      <c r="O1688" s="80" t="s">
        <v>4438</v>
      </c>
      <c r="P1688" s="80" t="s">
        <v>4439</v>
      </c>
      <c r="Y1688" s="2" t="s">
        <v>23</v>
      </c>
    </row>
    <row r="1689" ht="15.75" customHeight="1">
      <c r="B1689" s="48">
        <v>3.582977E7</v>
      </c>
      <c r="C1689" s="80" t="s">
        <v>4177</v>
      </c>
      <c r="D1689" s="140" t="s">
        <v>636</v>
      </c>
      <c r="E1689" s="80" t="s">
        <v>3561</v>
      </c>
      <c r="F1689" s="80">
        <v>118.0860451</v>
      </c>
      <c r="G1689" s="142">
        <v>6.869437154</v>
      </c>
      <c r="H1689" s="143"/>
      <c r="I1689" s="143"/>
      <c r="J1689" s="143"/>
      <c r="K1689" s="143"/>
      <c r="L1689" s="143"/>
      <c r="M1689" s="143"/>
      <c r="N1689" s="80" t="s">
        <v>1324</v>
      </c>
      <c r="O1689" s="80" t="s">
        <v>4440</v>
      </c>
      <c r="P1689" s="80" t="s">
        <v>4441</v>
      </c>
      <c r="Y1689" s="2" t="s">
        <v>23</v>
      </c>
    </row>
    <row r="1690" ht="15.75" customHeight="1">
      <c r="B1690" s="48">
        <v>3.582977E7</v>
      </c>
      <c r="C1690" s="80" t="s">
        <v>4177</v>
      </c>
      <c r="D1690" s="140" t="s">
        <v>636</v>
      </c>
      <c r="E1690" s="80" t="s">
        <v>4195</v>
      </c>
      <c r="F1690" s="80">
        <v>123.055135</v>
      </c>
      <c r="G1690" s="142">
        <v>2.453264618</v>
      </c>
      <c r="H1690" s="143"/>
      <c r="I1690" s="143"/>
      <c r="J1690" s="143"/>
      <c r="K1690" s="143"/>
      <c r="L1690" s="143"/>
      <c r="M1690" s="143"/>
      <c r="N1690" s="80" t="s">
        <v>2732</v>
      </c>
      <c r="O1690" s="80" t="s">
        <v>4442</v>
      </c>
      <c r="P1690" s="80" t="s">
        <v>4197</v>
      </c>
      <c r="Y1690" s="2" t="s">
        <v>23</v>
      </c>
    </row>
    <row r="1691" ht="15.75" customHeight="1">
      <c r="B1691" s="48">
        <v>3.582977E7</v>
      </c>
      <c r="C1691" s="80" t="s">
        <v>4177</v>
      </c>
      <c r="D1691" s="140" t="s">
        <v>636</v>
      </c>
      <c r="E1691" s="80" t="s">
        <v>3529</v>
      </c>
      <c r="F1691" s="80">
        <v>147.0763018</v>
      </c>
      <c r="G1691" s="142">
        <v>10.64855754</v>
      </c>
      <c r="H1691" s="143"/>
      <c r="I1691" s="143"/>
      <c r="J1691" s="143"/>
      <c r="K1691" s="143"/>
      <c r="L1691" s="143"/>
      <c r="M1691" s="143"/>
      <c r="N1691" s="80" t="s">
        <v>1211</v>
      </c>
      <c r="O1691" s="80" t="s">
        <v>4291</v>
      </c>
      <c r="P1691" s="80" t="s">
        <v>3916</v>
      </c>
      <c r="Y1691" s="2" t="s">
        <v>23</v>
      </c>
    </row>
    <row r="1692" ht="15.75" customHeight="1">
      <c r="B1692" s="48">
        <v>3.582977E7</v>
      </c>
      <c r="C1692" s="80" t="s">
        <v>4177</v>
      </c>
      <c r="D1692" s="140" t="s">
        <v>636</v>
      </c>
      <c r="E1692" s="80" t="s">
        <v>3528</v>
      </c>
      <c r="F1692" s="80">
        <v>148.0602929</v>
      </c>
      <c r="G1692" s="142">
        <v>11.52445961</v>
      </c>
      <c r="H1692" s="143"/>
      <c r="I1692" s="143"/>
      <c r="J1692" s="143"/>
      <c r="K1692" s="143"/>
      <c r="L1692" s="143"/>
      <c r="M1692" s="143"/>
      <c r="N1692" s="80" t="s">
        <v>2032</v>
      </c>
      <c r="O1692" s="80" t="s">
        <v>4292</v>
      </c>
      <c r="P1692" s="80" t="s">
        <v>4232</v>
      </c>
      <c r="Y1692" s="2" t="s">
        <v>23</v>
      </c>
    </row>
    <row r="1693" ht="15.75" customHeight="1">
      <c r="B1693" s="48">
        <v>3.582977E7</v>
      </c>
      <c r="C1693" s="80" t="s">
        <v>4177</v>
      </c>
      <c r="D1693" s="140" t="s">
        <v>636</v>
      </c>
      <c r="E1693" s="80" t="s">
        <v>3541</v>
      </c>
      <c r="F1693" s="80">
        <v>150.0582308</v>
      </c>
      <c r="G1693" s="142">
        <v>6.286570721</v>
      </c>
      <c r="H1693" s="143"/>
      <c r="I1693" s="143"/>
      <c r="J1693" s="143"/>
      <c r="K1693" s="143"/>
      <c r="L1693" s="143"/>
      <c r="M1693" s="143"/>
      <c r="N1693" s="80" t="s">
        <v>2444</v>
      </c>
      <c r="O1693" s="80" t="s">
        <v>4293</v>
      </c>
      <c r="P1693" s="80" t="s">
        <v>4294</v>
      </c>
      <c r="Y1693" s="2" t="s">
        <v>23</v>
      </c>
    </row>
    <row r="1694" ht="15.75" customHeight="1">
      <c r="B1694" s="48">
        <v>3.582977E7</v>
      </c>
      <c r="C1694" s="80" t="s">
        <v>4177</v>
      </c>
      <c r="D1694" s="140" t="s">
        <v>636</v>
      </c>
      <c r="E1694" s="80" t="s">
        <v>3531</v>
      </c>
      <c r="F1694" s="80">
        <v>156.0766513</v>
      </c>
      <c r="G1694" s="142">
        <v>10.03189087</v>
      </c>
      <c r="H1694" s="143"/>
      <c r="I1694" s="143"/>
      <c r="J1694" s="143"/>
      <c r="K1694" s="143"/>
      <c r="L1694" s="143"/>
      <c r="M1694" s="143"/>
      <c r="N1694" s="80" t="s">
        <v>2182</v>
      </c>
      <c r="O1694" s="80" t="s">
        <v>4295</v>
      </c>
      <c r="P1694" s="80" t="s">
        <v>4234</v>
      </c>
      <c r="Y1694" s="2" t="s">
        <v>23</v>
      </c>
    </row>
    <row r="1695" ht="15.75" customHeight="1">
      <c r="B1695" s="48">
        <v>3.582977E7</v>
      </c>
      <c r="C1695" s="80" t="s">
        <v>4177</v>
      </c>
      <c r="D1695" s="140" t="s">
        <v>636</v>
      </c>
      <c r="E1695" s="80" t="s">
        <v>3531</v>
      </c>
      <c r="F1695" s="80">
        <v>156.0766634</v>
      </c>
      <c r="G1695" s="142">
        <v>11.47378082</v>
      </c>
      <c r="H1695" s="143"/>
      <c r="I1695" s="143"/>
      <c r="J1695" s="143"/>
      <c r="K1695" s="143"/>
      <c r="L1695" s="143"/>
      <c r="M1695" s="143"/>
      <c r="N1695" s="80" t="s">
        <v>2182</v>
      </c>
      <c r="O1695" s="80" t="s">
        <v>4295</v>
      </c>
      <c r="P1695" s="80" t="s">
        <v>4234</v>
      </c>
      <c r="Y1695" s="2" t="s">
        <v>23</v>
      </c>
    </row>
    <row r="1696" ht="15.75" customHeight="1">
      <c r="B1696" s="48">
        <v>3.582977E7</v>
      </c>
      <c r="C1696" s="80" t="s">
        <v>4177</v>
      </c>
      <c r="D1696" s="140" t="s">
        <v>636</v>
      </c>
      <c r="E1696" s="80" t="s">
        <v>3531</v>
      </c>
      <c r="F1696" s="80">
        <v>156.0766262</v>
      </c>
      <c r="G1696" s="142">
        <v>6.040583293</v>
      </c>
      <c r="H1696" s="143"/>
      <c r="I1696" s="143"/>
      <c r="J1696" s="143"/>
      <c r="K1696" s="143"/>
      <c r="L1696" s="143"/>
      <c r="M1696" s="143"/>
      <c r="N1696" s="80" t="s">
        <v>2182</v>
      </c>
      <c r="O1696" s="80" t="s">
        <v>4295</v>
      </c>
      <c r="P1696" s="80" t="s">
        <v>4234</v>
      </c>
      <c r="Y1696" s="2" t="s">
        <v>23</v>
      </c>
    </row>
    <row r="1697" ht="15.75" customHeight="1">
      <c r="B1697" s="48">
        <v>3.582977E7</v>
      </c>
      <c r="C1697" s="80" t="s">
        <v>4177</v>
      </c>
      <c r="D1697" s="140" t="s">
        <v>636</v>
      </c>
      <c r="E1697" s="80" t="s">
        <v>4241</v>
      </c>
      <c r="F1697" s="80">
        <v>175.118841</v>
      </c>
      <c r="G1697" s="142">
        <v>12.98966166</v>
      </c>
      <c r="H1697" s="143"/>
      <c r="I1697" s="143"/>
      <c r="J1697" s="143"/>
      <c r="K1697" s="143"/>
      <c r="L1697" s="143"/>
      <c r="M1697" s="143"/>
      <c r="N1697" s="80" t="s">
        <v>1526</v>
      </c>
      <c r="O1697" s="80" t="s">
        <v>4296</v>
      </c>
      <c r="P1697" s="80" t="s">
        <v>3924</v>
      </c>
      <c r="Y1697" s="2" t="s">
        <v>23</v>
      </c>
    </row>
    <row r="1698" ht="15.75" customHeight="1">
      <c r="B1698" s="48">
        <v>3.582977E7</v>
      </c>
      <c r="C1698" s="80" t="s">
        <v>4177</v>
      </c>
      <c r="D1698" s="140" t="s">
        <v>636</v>
      </c>
      <c r="E1698" s="80" t="s">
        <v>4129</v>
      </c>
      <c r="F1698" s="80">
        <v>76.07562707</v>
      </c>
      <c r="G1698" s="142">
        <v>4.214683278</v>
      </c>
      <c r="H1698" s="143"/>
      <c r="I1698" s="143"/>
      <c r="J1698" s="143"/>
      <c r="K1698" s="143"/>
      <c r="L1698" s="143"/>
      <c r="M1698" s="143"/>
      <c r="N1698" s="80" t="s">
        <v>3385</v>
      </c>
      <c r="O1698" s="80" t="s">
        <v>4314</v>
      </c>
      <c r="P1698" s="80" t="s">
        <v>4131</v>
      </c>
      <c r="Y1698" s="2" t="s">
        <v>23</v>
      </c>
    </row>
    <row r="1699" ht="15.75" customHeight="1">
      <c r="B1699" s="48">
        <v>3.582977E7</v>
      </c>
      <c r="C1699" s="80" t="s">
        <v>4177</v>
      </c>
      <c r="D1699" s="140" t="s">
        <v>636</v>
      </c>
      <c r="E1699" s="80" t="s">
        <v>3044</v>
      </c>
      <c r="F1699" s="80">
        <v>86.09634271</v>
      </c>
      <c r="G1699" s="142">
        <v>7.233322652</v>
      </c>
      <c r="H1699" s="143"/>
      <c r="I1699" s="143"/>
      <c r="J1699" s="143"/>
      <c r="K1699" s="143"/>
      <c r="L1699" s="143"/>
      <c r="M1699" s="143"/>
      <c r="N1699" s="80" t="s">
        <v>3045</v>
      </c>
      <c r="O1699" s="80" t="s">
        <v>3046</v>
      </c>
      <c r="P1699" s="80" t="s">
        <v>3996</v>
      </c>
      <c r="Y1699" s="2" t="s">
        <v>23</v>
      </c>
    </row>
    <row r="1700" ht="15.75" customHeight="1">
      <c r="B1700" s="48">
        <v>3.582977E7</v>
      </c>
      <c r="C1700" s="80" t="s">
        <v>4177</v>
      </c>
      <c r="D1700" s="140" t="s">
        <v>636</v>
      </c>
      <c r="E1700" s="80" t="s">
        <v>3044</v>
      </c>
      <c r="F1700" s="80">
        <v>86.09633569</v>
      </c>
      <c r="G1700" s="142">
        <v>4.895774078</v>
      </c>
      <c r="H1700" s="143"/>
      <c r="I1700" s="143"/>
      <c r="J1700" s="143"/>
      <c r="K1700" s="143"/>
      <c r="L1700" s="143"/>
      <c r="M1700" s="143"/>
      <c r="N1700" s="80" t="s">
        <v>3045</v>
      </c>
      <c r="O1700" s="80" t="s">
        <v>3046</v>
      </c>
      <c r="P1700" s="80" t="s">
        <v>3996</v>
      </c>
      <c r="Y1700" s="2" t="s">
        <v>23</v>
      </c>
    </row>
    <row r="1701" ht="15.75" customHeight="1">
      <c r="B1701" s="48">
        <v>3.582977E7</v>
      </c>
      <c r="C1701" s="80" t="s">
        <v>4177</v>
      </c>
      <c r="D1701" s="140" t="s">
        <v>636</v>
      </c>
      <c r="E1701" s="80" t="s">
        <v>4443</v>
      </c>
      <c r="F1701" s="80">
        <v>102.0548685</v>
      </c>
      <c r="G1701" s="142">
        <v>9.568754069</v>
      </c>
      <c r="H1701" s="143"/>
      <c r="I1701" s="143"/>
      <c r="J1701" s="143"/>
      <c r="K1701" s="143"/>
      <c r="L1701" s="143"/>
      <c r="M1701" s="143"/>
      <c r="N1701" s="80" t="s">
        <v>4444</v>
      </c>
      <c r="O1701" s="80" t="s">
        <v>4445</v>
      </c>
      <c r="P1701" s="80" t="s">
        <v>4446</v>
      </c>
      <c r="Y1701" s="2" t="s">
        <v>23</v>
      </c>
    </row>
    <row r="1702" ht="15.75" customHeight="1">
      <c r="B1702" s="48">
        <v>3.582977E7</v>
      </c>
      <c r="C1702" s="80" t="s">
        <v>4177</v>
      </c>
      <c r="D1702" s="140" t="s">
        <v>636</v>
      </c>
      <c r="E1702" s="80" t="s">
        <v>4443</v>
      </c>
      <c r="F1702" s="80">
        <v>102.0547173</v>
      </c>
      <c r="G1702" s="142">
        <v>11.75814819</v>
      </c>
      <c r="H1702" s="143"/>
      <c r="I1702" s="143"/>
      <c r="J1702" s="143"/>
      <c r="K1702" s="143"/>
      <c r="L1702" s="143"/>
      <c r="M1702" s="143"/>
      <c r="N1702" s="80" t="s">
        <v>4444</v>
      </c>
      <c r="O1702" s="80" t="s">
        <v>4445</v>
      </c>
      <c r="P1702" s="80" t="s">
        <v>4446</v>
      </c>
      <c r="Y1702" s="2" t="s">
        <v>23</v>
      </c>
    </row>
    <row r="1703" ht="15.75" customHeight="1">
      <c r="B1703" s="48">
        <v>3.582977E7</v>
      </c>
      <c r="C1703" s="80" t="s">
        <v>4177</v>
      </c>
      <c r="D1703" s="140" t="s">
        <v>636</v>
      </c>
      <c r="E1703" s="80" t="s">
        <v>4447</v>
      </c>
      <c r="F1703" s="80">
        <v>104.0705024</v>
      </c>
      <c r="G1703" s="142">
        <v>6.142877197</v>
      </c>
      <c r="H1703" s="143"/>
      <c r="I1703" s="143"/>
      <c r="J1703" s="143"/>
      <c r="K1703" s="143"/>
      <c r="L1703" s="143"/>
      <c r="M1703" s="143"/>
      <c r="N1703" s="80" t="s">
        <v>1078</v>
      </c>
      <c r="O1703" s="80" t="s">
        <v>4448</v>
      </c>
      <c r="P1703" s="80" t="s">
        <v>4449</v>
      </c>
      <c r="Y1703" s="2" t="s">
        <v>23</v>
      </c>
    </row>
    <row r="1704" ht="15.75" customHeight="1">
      <c r="B1704" s="48">
        <v>3.582977E7</v>
      </c>
      <c r="C1704" s="80" t="s">
        <v>4177</v>
      </c>
      <c r="D1704" s="140" t="s">
        <v>636</v>
      </c>
      <c r="E1704" s="80" t="s">
        <v>4447</v>
      </c>
      <c r="F1704" s="80">
        <v>104.0704811</v>
      </c>
      <c r="G1704" s="142">
        <v>8.991985067</v>
      </c>
      <c r="H1704" s="143"/>
      <c r="I1704" s="143"/>
      <c r="J1704" s="143"/>
      <c r="K1704" s="143"/>
      <c r="L1704" s="143"/>
      <c r="M1704" s="143"/>
      <c r="N1704" s="80" t="s">
        <v>1078</v>
      </c>
      <c r="O1704" s="80" t="s">
        <v>4448</v>
      </c>
      <c r="P1704" s="80" t="s">
        <v>4449</v>
      </c>
      <c r="Y1704" s="2" t="s">
        <v>23</v>
      </c>
    </row>
    <row r="1705" ht="15.75" customHeight="1">
      <c r="B1705" s="48">
        <v>3.582977E7</v>
      </c>
      <c r="C1705" s="80" t="s">
        <v>4177</v>
      </c>
      <c r="D1705" s="140" t="s">
        <v>636</v>
      </c>
      <c r="E1705" s="80" t="s">
        <v>4447</v>
      </c>
      <c r="F1705" s="80">
        <v>104.0705116</v>
      </c>
      <c r="G1705" s="142">
        <v>8.499874878</v>
      </c>
      <c r="H1705" s="143"/>
      <c r="I1705" s="143"/>
      <c r="J1705" s="143"/>
      <c r="K1705" s="143"/>
      <c r="L1705" s="143"/>
      <c r="M1705" s="143"/>
      <c r="N1705" s="80" t="s">
        <v>1078</v>
      </c>
      <c r="O1705" s="80" t="s">
        <v>4448</v>
      </c>
      <c r="P1705" s="80" t="s">
        <v>4449</v>
      </c>
      <c r="Y1705" s="2" t="s">
        <v>23</v>
      </c>
    </row>
    <row r="1706" ht="15.75" customHeight="1">
      <c r="B1706" s="48">
        <v>3.582977E7</v>
      </c>
      <c r="C1706" s="80" t="s">
        <v>4177</v>
      </c>
      <c r="D1706" s="140" t="s">
        <v>636</v>
      </c>
      <c r="E1706" s="80" t="s">
        <v>4450</v>
      </c>
      <c r="F1706" s="80">
        <v>106.0497826</v>
      </c>
      <c r="G1706" s="142">
        <v>10.64855754</v>
      </c>
      <c r="H1706" s="143"/>
      <c r="I1706" s="143"/>
      <c r="J1706" s="143"/>
      <c r="K1706" s="143"/>
      <c r="L1706" s="143"/>
      <c r="M1706" s="143"/>
      <c r="N1706" s="80" t="s">
        <v>3190</v>
      </c>
      <c r="O1706" s="80" t="s">
        <v>4451</v>
      </c>
      <c r="P1706" s="80" t="s">
        <v>4452</v>
      </c>
      <c r="Y1706" s="2" t="s">
        <v>23</v>
      </c>
    </row>
    <row r="1707" ht="15.75" customHeight="1">
      <c r="B1707" s="48">
        <v>3.582977E7</v>
      </c>
      <c r="C1707" s="80" t="s">
        <v>4177</v>
      </c>
      <c r="D1707" s="140" t="s">
        <v>636</v>
      </c>
      <c r="E1707" s="80" t="s">
        <v>219</v>
      </c>
      <c r="F1707" s="80">
        <v>116.0704859</v>
      </c>
      <c r="G1707" s="142">
        <v>6.892362467</v>
      </c>
      <c r="H1707" s="143"/>
      <c r="I1707" s="143"/>
      <c r="J1707" s="143"/>
      <c r="K1707" s="143"/>
      <c r="L1707" s="143"/>
      <c r="M1707" s="143"/>
      <c r="N1707" s="80" t="s">
        <v>3058</v>
      </c>
      <c r="O1707" s="80" t="s">
        <v>4438</v>
      </c>
      <c r="P1707" s="80" t="s">
        <v>4439</v>
      </c>
      <c r="Y1707" s="2" t="s">
        <v>23</v>
      </c>
    </row>
    <row r="1708" ht="15.75" customHeight="1">
      <c r="B1708" s="48">
        <v>3.582977E7</v>
      </c>
      <c r="C1708" s="80" t="s">
        <v>4177</v>
      </c>
      <c r="D1708" s="140" t="s">
        <v>636</v>
      </c>
      <c r="E1708" s="80" t="s">
        <v>219</v>
      </c>
      <c r="F1708" s="80">
        <v>116.0704889</v>
      </c>
      <c r="G1708" s="142">
        <v>12.99381307</v>
      </c>
      <c r="H1708" s="143"/>
      <c r="I1708" s="143"/>
      <c r="J1708" s="143"/>
      <c r="K1708" s="143"/>
      <c r="L1708" s="143"/>
      <c r="M1708" s="143"/>
      <c r="N1708" s="80" t="s">
        <v>3058</v>
      </c>
      <c r="O1708" s="80" t="s">
        <v>4438</v>
      </c>
      <c r="P1708" s="80" t="s">
        <v>4439</v>
      </c>
      <c r="Y1708" s="2" t="s">
        <v>23</v>
      </c>
    </row>
    <row r="1709" ht="15.75" customHeight="1">
      <c r="B1709" s="48">
        <v>3.582977E7</v>
      </c>
      <c r="C1709" s="80" t="s">
        <v>4177</v>
      </c>
      <c r="D1709" s="140" t="s">
        <v>636</v>
      </c>
      <c r="E1709" s="80" t="s">
        <v>3561</v>
      </c>
      <c r="F1709" s="80">
        <v>118.0860451</v>
      </c>
      <c r="G1709" s="142">
        <v>6.869437154</v>
      </c>
      <c r="H1709" s="143"/>
      <c r="I1709" s="143"/>
      <c r="J1709" s="143"/>
      <c r="K1709" s="143"/>
      <c r="L1709" s="143"/>
      <c r="M1709" s="143"/>
      <c r="N1709" s="80" t="s">
        <v>1324</v>
      </c>
      <c r="O1709" s="80" t="s">
        <v>4440</v>
      </c>
      <c r="P1709" s="80" t="s">
        <v>4441</v>
      </c>
      <c r="Y1709" s="2" t="s">
        <v>23</v>
      </c>
    </row>
    <row r="1710" ht="15.75" customHeight="1">
      <c r="B1710" s="48">
        <v>3.582977E7</v>
      </c>
      <c r="C1710" s="80" t="s">
        <v>4177</v>
      </c>
      <c r="D1710" s="140" t="s">
        <v>636</v>
      </c>
      <c r="E1710" s="80" t="s">
        <v>4453</v>
      </c>
      <c r="F1710" s="80">
        <v>120.0654171</v>
      </c>
      <c r="G1710" s="142">
        <v>9.576372274</v>
      </c>
      <c r="H1710" s="143"/>
      <c r="I1710" s="143"/>
      <c r="J1710" s="143"/>
      <c r="K1710" s="143"/>
      <c r="L1710" s="143"/>
      <c r="M1710" s="143"/>
      <c r="N1710" s="80" t="s">
        <v>1017</v>
      </c>
      <c r="O1710" s="80" t="s">
        <v>4454</v>
      </c>
      <c r="P1710" s="80" t="s">
        <v>4455</v>
      </c>
      <c r="Y1710" s="2" t="s">
        <v>23</v>
      </c>
    </row>
    <row r="1711" ht="15.75" customHeight="1">
      <c r="B1711" s="48">
        <v>3.582977E7</v>
      </c>
      <c r="C1711" s="80" t="s">
        <v>4177</v>
      </c>
      <c r="D1711" s="140" t="s">
        <v>636</v>
      </c>
      <c r="E1711" s="80" t="s">
        <v>4195</v>
      </c>
      <c r="F1711" s="80">
        <v>123.055135</v>
      </c>
      <c r="G1711" s="142">
        <v>2.453264618</v>
      </c>
      <c r="H1711" s="143"/>
      <c r="I1711" s="143"/>
      <c r="J1711" s="143"/>
      <c r="K1711" s="143"/>
      <c r="L1711" s="143"/>
      <c r="M1711" s="143"/>
      <c r="N1711" s="80" t="s">
        <v>2732</v>
      </c>
      <c r="O1711" s="80" t="s">
        <v>4442</v>
      </c>
      <c r="P1711" s="80" t="s">
        <v>4197</v>
      </c>
      <c r="Y1711" s="2" t="s">
        <v>23</v>
      </c>
    </row>
    <row r="1712" ht="15.75" customHeight="1">
      <c r="B1712" s="48">
        <v>3.582977E7</v>
      </c>
      <c r="C1712" s="80" t="s">
        <v>4177</v>
      </c>
      <c r="D1712" s="140" t="s">
        <v>636</v>
      </c>
      <c r="E1712" s="80" t="s">
        <v>380</v>
      </c>
      <c r="F1712" s="80">
        <v>126.0218329</v>
      </c>
      <c r="G1712" s="142">
        <v>10.08154399</v>
      </c>
      <c r="H1712" s="143"/>
      <c r="I1712" s="143"/>
      <c r="J1712" s="143"/>
      <c r="K1712" s="143"/>
      <c r="L1712" s="143"/>
      <c r="M1712" s="143"/>
      <c r="N1712" s="80" t="s">
        <v>3300</v>
      </c>
      <c r="O1712" s="80" t="s">
        <v>4315</v>
      </c>
      <c r="P1712" s="80" t="s">
        <v>4199</v>
      </c>
      <c r="Y1712" s="2" t="s">
        <v>23</v>
      </c>
    </row>
    <row r="1713" ht="15.75" customHeight="1">
      <c r="B1713" s="48">
        <v>3.582977E7</v>
      </c>
      <c r="C1713" s="80" t="s">
        <v>4177</v>
      </c>
      <c r="D1713" s="140" t="s">
        <v>636</v>
      </c>
      <c r="E1713" s="80" t="s">
        <v>4316</v>
      </c>
      <c r="F1713" s="80">
        <v>130.0497647</v>
      </c>
      <c r="G1713" s="142">
        <v>10.091487</v>
      </c>
      <c r="H1713" s="143"/>
      <c r="I1713" s="143"/>
      <c r="J1713" s="143"/>
      <c r="K1713" s="143"/>
      <c r="L1713" s="143"/>
      <c r="M1713" s="143"/>
      <c r="N1713" s="80" t="s">
        <v>1358</v>
      </c>
      <c r="O1713" s="80" t="s">
        <v>4317</v>
      </c>
      <c r="P1713" s="80" t="s">
        <v>3914</v>
      </c>
      <c r="Y1713" s="2" t="s">
        <v>23</v>
      </c>
    </row>
    <row r="1714" ht="15.75" customHeight="1">
      <c r="B1714" s="48">
        <v>3.582977E7</v>
      </c>
      <c r="C1714" s="80" t="s">
        <v>4177</v>
      </c>
      <c r="D1714" s="140" t="s">
        <v>636</v>
      </c>
      <c r="E1714" s="80" t="s">
        <v>4316</v>
      </c>
      <c r="F1714" s="80">
        <v>130.049781</v>
      </c>
      <c r="G1714" s="142">
        <v>10.64855754</v>
      </c>
      <c r="H1714" s="143"/>
      <c r="I1714" s="143"/>
      <c r="J1714" s="143"/>
      <c r="K1714" s="143"/>
      <c r="L1714" s="143"/>
      <c r="M1714" s="143"/>
      <c r="N1714" s="80" t="s">
        <v>1358</v>
      </c>
      <c r="O1714" s="80" t="s">
        <v>4317</v>
      </c>
      <c r="P1714" s="80" t="s">
        <v>3914</v>
      </c>
      <c r="Y1714" s="2" t="s">
        <v>23</v>
      </c>
    </row>
    <row r="1715" ht="15.75" customHeight="1">
      <c r="B1715" s="48">
        <v>3.582977E7</v>
      </c>
      <c r="C1715" s="80" t="s">
        <v>4177</v>
      </c>
      <c r="D1715" s="140" t="s">
        <v>636</v>
      </c>
      <c r="E1715" s="80" t="s">
        <v>4316</v>
      </c>
      <c r="F1715" s="80">
        <v>130.0497759</v>
      </c>
      <c r="G1715" s="142">
        <v>11.52779846</v>
      </c>
      <c r="H1715" s="143"/>
      <c r="I1715" s="143"/>
      <c r="J1715" s="143"/>
      <c r="K1715" s="143"/>
      <c r="L1715" s="143"/>
      <c r="M1715" s="143"/>
      <c r="N1715" s="80" t="s">
        <v>1358</v>
      </c>
      <c r="O1715" s="80" t="s">
        <v>4317</v>
      </c>
      <c r="P1715" s="80" t="s">
        <v>3914</v>
      </c>
      <c r="Y1715" s="2" t="s">
        <v>23</v>
      </c>
    </row>
    <row r="1716" ht="15.75" customHeight="1">
      <c r="B1716" s="48">
        <v>3.582977E7</v>
      </c>
      <c r="C1716" s="80" t="s">
        <v>4177</v>
      </c>
      <c r="D1716" s="140" t="s">
        <v>636</v>
      </c>
      <c r="E1716" s="80" t="s">
        <v>4322</v>
      </c>
      <c r="F1716" s="80">
        <v>130.0862826</v>
      </c>
      <c r="G1716" s="142">
        <v>12.89682922</v>
      </c>
      <c r="H1716" s="143"/>
      <c r="I1716" s="143"/>
      <c r="J1716" s="143"/>
      <c r="K1716" s="143"/>
      <c r="L1716" s="143"/>
      <c r="M1716" s="143"/>
      <c r="N1716" s="80" t="s">
        <v>2777</v>
      </c>
      <c r="O1716" s="80" t="s">
        <v>4323</v>
      </c>
      <c r="P1716" s="80" t="s">
        <v>3933</v>
      </c>
      <c r="Y1716" s="2" t="s">
        <v>23</v>
      </c>
    </row>
    <row r="1717" ht="15.75" customHeight="1">
      <c r="B1717" s="48">
        <v>3.582977E7</v>
      </c>
      <c r="C1717" s="80" t="s">
        <v>4177</v>
      </c>
      <c r="D1717" s="140" t="s">
        <v>636</v>
      </c>
      <c r="E1717" s="80" t="s">
        <v>4322</v>
      </c>
      <c r="F1717" s="80">
        <v>130.0861548</v>
      </c>
      <c r="G1717" s="142">
        <v>4.547264608</v>
      </c>
      <c r="H1717" s="143"/>
      <c r="I1717" s="143"/>
      <c r="J1717" s="143"/>
      <c r="K1717" s="143"/>
      <c r="L1717" s="143"/>
      <c r="M1717" s="143"/>
      <c r="N1717" s="80" t="s">
        <v>2777</v>
      </c>
      <c r="O1717" s="80" t="s">
        <v>4323</v>
      </c>
      <c r="P1717" s="80" t="s">
        <v>3933</v>
      </c>
      <c r="Y1717" s="2" t="s">
        <v>23</v>
      </c>
    </row>
    <row r="1718" ht="15.75" customHeight="1">
      <c r="B1718" s="48">
        <v>3.582977E7</v>
      </c>
      <c r="C1718" s="80" t="s">
        <v>4177</v>
      </c>
      <c r="D1718" s="140" t="s">
        <v>636</v>
      </c>
      <c r="E1718" s="80" t="s">
        <v>4322</v>
      </c>
      <c r="F1718" s="80">
        <v>130.0861508</v>
      </c>
      <c r="G1718" s="142">
        <v>6.458618673</v>
      </c>
      <c r="H1718" s="143"/>
      <c r="I1718" s="143"/>
      <c r="J1718" s="143"/>
      <c r="K1718" s="143"/>
      <c r="L1718" s="143"/>
      <c r="M1718" s="143"/>
      <c r="N1718" s="80" t="s">
        <v>2777</v>
      </c>
      <c r="O1718" s="80" t="s">
        <v>4323</v>
      </c>
      <c r="P1718" s="80" t="s">
        <v>3933</v>
      </c>
      <c r="Y1718" s="2" t="s">
        <v>23</v>
      </c>
    </row>
    <row r="1719" ht="15.75" customHeight="1">
      <c r="B1719" s="48">
        <v>3.582977E7</v>
      </c>
      <c r="C1719" s="80" t="s">
        <v>4177</v>
      </c>
      <c r="D1719" s="140" t="s">
        <v>636</v>
      </c>
      <c r="E1719" s="80" t="s">
        <v>4456</v>
      </c>
      <c r="F1719" s="80">
        <v>132.1017954</v>
      </c>
      <c r="G1719" s="142">
        <v>5.373793538</v>
      </c>
      <c r="H1719" s="143"/>
      <c r="I1719" s="143"/>
      <c r="J1719" s="143"/>
      <c r="K1719" s="143"/>
      <c r="L1719" s="143"/>
      <c r="M1719" s="143"/>
      <c r="N1719" s="80" t="s">
        <v>2272</v>
      </c>
      <c r="O1719" s="80" t="s">
        <v>4457</v>
      </c>
      <c r="P1719" s="80" t="s">
        <v>4458</v>
      </c>
      <c r="Y1719" s="2" t="s">
        <v>23</v>
      </c>
    </row>
    <row r="1720" ht="15.75" customHeight="1">
      <c r="B1720" s="48">
        <v>3.582977E7</v>
      </c>
      <c r="C1720" s="80" t="s">
        <v>4177</v>
      </c>
      <c r="D1720" s="140" t="s">
        <v>636</v>
      </c>
      <c r="E1720" s="80" t="s">
        <v>4456</v>
      </c>
      <c r="F1720" s="80">
        <v>132.1017537</v>
      </c>
      <c r="G1720" s="142">
        <v>4.324224854</v>
      </c>
      <c r="H1720" s="143"/>
      <c r="I1720" s="143"/>
      <c r="J1720" s="143"/>
      <c r="K1720" s="143"/>
      <c r="L1720" s="143"/>
      <c r="M1720" s="143"/>
      <c r="N1720" s="80" t="s">
        <v>2272</v>
      </c>
      <c r="O1720" s="80" t="s">
        <v>4457</v>
      </c>
      <c r="P1720" s="80" t="s">
        <v>4458</v>
      </c>
      <c r="Y1720" s="2" t="s">
        <v>23</v>
      </c>
    </row>
    <row r="1721" ht="15.75" customHeight="1">
      <c r="B1721" s="48">
        <v>3.582977E7</v>
      </c>
      <c r="C1721" s="80" t="s">
        <v>4177</v>
      </c>
      <c r="D1721" s="140" t="s">
        <v>636</v>
      </c>
      <c r="E1721" s="80" t="s">
        <v>4456</v>
      </c>
      <c r="F1721" s="80">
        <v>132.1017713</v>
      </c>
      <c r="G1721" s="142">
        <v>4.893104045</v>
      </c>
      <c r="H1721" s="143"/>
      <c r="I1721" s="143"/>
      <c r="J1721" s="143"/>
      <c r="K1721" s="143"/>
      <c r="L1721" s="143"/>
      <c r="M1721" s="143"/>
      <c r="N1721" s="80" t="s">
        <v>2272</v>
      </c>
      <c r="O1721" s="80" t="s">
        <v>4457</v>
      </c>
      <c r="P1721" s="80" t="s">
        <v>4458</v>
      </c>
      <c r="Y1721" s="2" t="s">
        <v>23</v>
      </c>
    </row>
    <row r="1722" ht="15.75" customHeight="1">
      <c r="B1722" s="48">
        <v>3.582977E7</v>
      </c>
      <c r="C1722" s="80" t="s">
        <v>4177</v>
      </c>
      <c r="D1722" s="140" t="s">
        <v>636</v>
      </c>
      <c r="E1722" s="80" t="s">
        <v>4327</v>
      </c>
      <c r="F1722" s="80">
        <v>137.0456614</v>
      </c>
      <c r="G1722" s="142">
        <v>4.076954397</v>
      </c>
      <c r="H1722" s="143"/>
      <c r="I1722" s="143"/>
      <c r="J1722" s="143"/>
      <c r="K1722" s="143"/>
      <c r="L1722" s="143"/>
      <c r="M1722" s="143"/>
      <c r="N1722" s="80" t="s">
        <v>2220</v>
      </c>
      <c r="O1722" s="80" t="s">
        <v>4328</v>
      </c>
      <c r="P1722" s="80" t="s">
        <v>4329</v>
      </c>
      <c r="Y1722" s="2" t="s">
        <v>23</v>
      </c>
    </row>
    <row r="1723" ht="15.75" customHeight="1">
      <c r="B1723" s="48">
        <v>3.582977E7</v>
      </c>
      <c r="C1723" s="80" t="s">
        <v>4177</v>
      </c>
      <c r="D1723" s="140" t="s">
        <v>636</v>
      </c>
      <c r="E1723" s="80" t="s">
        <v>3529</v>
      </c>
      <c r="F1723" s="80">
        <v>147.0763018</v>
      </c>
      <c r="G1723" s="142">
        <v>10.64855754</v>
      </c>
      <c r="H1723" s="143"/>
      <c r="I1723" s="143"/>
      <c r="J1723" s="143"/>
      <c r="K1723" s="143"/>
      <c r="L1723" s="143"/>
      <c r="M1723" s="143"/>
      <c r="N1723" s="80" t="s">
        <v>1211</v>
      </c>
      <c r="O1723" s="80" t="s">
        <v>4291</v>
      </c>
      <c r="P1723" s="80" t="s">
        <v>3916</v>
      </c>
      <c r="Y1723" s="2" t="s">
        <v>23</v>
      </c>
    </row>
    <row r="1724" ht="15.75" customHeight="1">
      <c r="B1724" s="48">
        <v>3.582977E7</v>
      </c>
      <c r="C1724" s="80" t="s">
        <v>4177</v>
      </c>
      <c r="D1724" s="140" t="s">
        <v>636</v>
      </c>
      <c r="E1724" s="80" t="s">
        <v>3528</v>
      </c>
      <c r="F1724" s="80">
        <v>148.0602929</v>
      </c>
      <c r="G1724" s="142">
        <v>11.52445961</v>
      </c>
      <c r="H1724" s="143"/>
      <c r="I1724" s="143"/>
      <c r="J1724" s="143"/>
      <c r="K1724" s="143"/>
      <c r="L1724" s="143"/>
      <c r="M1724" s="143"/>
      <c r="N1724" s="80" t="s">
        <v>2032</v>
      </c>
      <c r="O1724" s="80" t="s">
        <v>4292</v>
      </c>
      <c r="P1724" s="80" t="s">
        <v>4232</v>
      </c>
      <c r="Y1724" s="2" t="s">
        <v>23</v>
      </c>
    </row>
    <row r="1725" ht="15.75" customHeight="1">
      <c r="B1725" s="48">
        <v>3.582977E7</v>
      </c>
      <c r="C1725" s="80" t="s">
        <v>4177</v>
      </c>
      <c r="D1725" s="140" t="s">
        <v>636</v>
      </c>
      <c r="E1725" s="80" t="s">
        <v>4334</v>
      </c>
      <c r="F1725" s="80">
        <v>150.0582308</v>
      </c>
      <c r="G1725" s="142">
        <v>6.286570721</v>
      </c>
      <c r="H1725" s="143"/>
      <c r="I1725" s="143"/>
      <c r="J1725" s="143"/>
      <c r="K1725" s="143"/>
      <c r="L1725" s="143"/>
      <c r="M1725" s="143"/>
      <c r="N1725" s="80" t="s">
        <v>2444</v>
      </c>
      <c r="O1725" s="80" t="s">
        <v>4335</v>
      </c>
      <c r="P1725" s="80" t="s">
        <v>4336</v>
      </c>
      <c r="Y1725" s="2" t="s">
        <v>23</v>
      </c>
    </row>
    <row r="1726" ht="15.75" customHeight="1">
      <c r="B1726" s="48">
        <v>3.582977E7</v>
      </c>
      <c r="C1726" s="80" t="s">
        <v>4177</v>
      </c>
      <c r="D1726" s="140" t="s">
        <v>636</v>
      </c>
      <c r="E1726" s="80" t="s">
        <v>4139</v>
      </c>
      <c r="F1726" s="80">
        <v>152.14319</v>
      </c>
      <c r="G1726" s="142">
        <v>7.077831014</v>
      </c>
      <c r="H1726" s="143"/>
      <c r="I1726" s="143"/>
      <c r="J1726" s="143"/>
      <c r="K1726" s="143"/>
      <c r="L1726" s="143"/>
      <c r="M1726" s="143"/>
      <c r="N1726" s="80" t="s">
        <v>4140</v>
      </c>
      <c r="O1726" s="80" t="s">
        <v>4337</v>
      </c>
      <c r="P1726" s="80" t="s">
        <v>4142</v>
      </c>
      <c r="Y1726" s="2" t="s">
        <v>23</v>
      </c>
    </row>
    <row r="1727" ht="15.75" customHeight="1">
      <c r="B1727" s="48">
        <v>3.582977E7</v>
      </c>
      <c r="C1727" s="80" t="s">
        <v>4177</v>
      </c>
      <c r="D1727" s="140" t="s">
        <v>636</v>
      </c>
      <c r="E1727" s="80" t="s">
        <v>3531</v>
      </c>
      <c r="F1727" s="80">
        <v>156.0766513</v>
      </c>
      <c r="G1727" s="142">
        <v>10.03189087</v>
      </c>
      <c r="H1727" s="143"/>
      <c r="I1727" s="143"/>
      <c r="J1727" s="143"/>
      <c r="K1727" s="143"/>
      <c r="L1727" s="143"/>
      <c r="M1727" s="143"/>
      <c r="N1727" s="80" t="s">
        <v>2182</v>
      </c>
      <c r="O1727" s="80" t="s">
        <v>4295</v>
      </c>
      <c r="P1727" s="80" t="s">
        <v>4234</v>
      </c>
      <c r="Y1727" s="2" t="s">
        <v>23</v>
      </c>
    </row>
    <row r="1728" ht="15.75" customHeight="1">
      <c r="B1728" s="48">
        <v>3.582977E7</v>
      </c>
      <c r="C1728" s="80" t="s">
        <v>4177</v>
      </c>
      <c r="D1728" s="140" t="s">
        <v>636</v>
      </c>
      <c r="E1728" s="80" t="s">
        <v>3531</v>
      </c>
      <c r="F1728" s="80">
        <v>156.0766634</v>
      </c>
      <c r="G1728" s="142">
        <v>11.47378082</v>
      </c>
      <c r="H1728" s="143"/>
      <c r="I1728" s="143"/>
      <c r="J1728" s="143"/>
      <c r="K1728" s="143"/>
      <c r="L1728" s="143"/>
      <c r="M1728" s="143"/>
      <c r="N1728" s="80" t="s">
        <v>2182</v>
      </c>
      <c r="O1728" s="80" t="s">
        <v>4295</v>
      </c>
      <c r="P1728" s="80" t="s">
        <v>4234</v>
      </c>
      <c r="Y1728" s="2" t="s">
        <v>23</v>
      </c>
    </row>
    <row r="1729" ht="15.75" customHeight="1">
      <c r="B1729" s="48">
        <v>3.582977E7</v>
      </c>
      <c r="C1729" s="80" t="s">
        <v>4177</v>
      </c>
      <c r="D1729" s="140" t="s">
        <v>636</v>
      </c>
      <c r="E1729" s="80" t="s">
        <v>3531</v>
      </c>
      <c r="F1729" s="80">
        <v>156.0766262</v>
      </c>
      <c r="G1729" s="142">
        <v>6.040583293</v>
      </c>
      <c r="H1729" s="143"/>
      <c r="I1729" s="143"/>
      <c r="J1729" s="143"/>
      <c r="K1729" s="143"/>
      <c r="L1729" s="143"/>
      <c r="M1729" s="143"/>
      <c r="N1729" s="80" t="s">
        <v>2182</v>
      </c>
      <c r="O1729" s="80" t="s">
        <v>4295</v>
      </c>
      <c r="P1729" s="80" t="s">
        <v>4234</v>
      </c>
      <c r="Y1729" s="2" t="s">
        <v>23</v>
      </c>
    </row>
    <row r="1730" ht="15.75" customHeight="1">
      <c r="B1730" s="48">
        <v>3.582977E7</v>
      </c>
      <c r="C1730" s="80" t="s">
        <v>4177</v>
      </c>
      <c r="D1730" s="140" t="s">
        <v>636</v>
      </c>
      <c r="E1730" s="80" t="s">
        <v>4459</v>
      </c>
      <c r="F1730" s="80">
        <v>166.0861176</v>
      </c>
      <c r="G1730" s="142">
        <v>4.796656291</v>
      </c>
      <c r="H1730" s="143"/>
      <c r="I1730" s="143"/>
      <c r="J1730" s="143"/>
      <c r="K1730" s="143"/>
      <c r="L1730" s="143"/>
      <c r="M1730" s="143"/>
      <c r="N1730" s="80" t="s">
        <v>2983</v>
      </c>
      <c r="O1730" s="80" t="s">
        <v>4460</v>
      </c>
      <c r="P1730" s="80" t="s">
        <v>4461</v>
      </c>
      <c r="Y1730" s="2" t="s">
        <v>23</v>
      </c>
    </row>
    <row r="1731" ht="15.75" customHeight="1">
      <c r="B1731" s="48">
        <v>3.582977E7</v>
      </c>
      <c r="C1731" s="80" t="s">
        <v>4177</v>
      </c>
      <c r="D1731" s="140" t="s">
        <v>636</v>
      </c>
      <c r="E1731" s="80" t="s">
        <v>4462</v>
      </c>
      <c r="F1731" s="80">
        <v>170.0922552</v>
      </c>
      <c r="G1731" s="142">
        <v>9.075358073</v>
      </c>
      <c r="H1731" s="143"/>
      <c r="I1731" s="143"/>
      <c r="J1731" s="143"/>
      <c r="K1731" s="143"/>
      <c r="L1731" s="143"/>
      <c r="M1731" s="143"/>
      <c r="N1731" s="80" t="s">
        <v>761</v>
      </c>
      <c r="O1731" s="80" t="s">
        <v>4463</v>
      </c>
      <c r="P1731" s="80" t="s">
        <v>4464</v>
      </c>
      <c r="Y1731" s="2" t="s">
        <v>23</v>
      </c>
    </row>
    <row r="1732" ht="15.75" customHeight="1">
      <c r="B1732" s="48">
        <v>3.582977E7</v>
      </c>
      <c r="C1732" s="80" t="s">
        <v>4177</v>
      </c>
      <c r="D1732" s="140" t="s">
        <v>636</v>
      </c>
      <c r="E1732" s="80" t="s">
        <v>4465</v>
      </c>
      <c r="F1732" s="80">
        <v>172.1330531</v>
      </c>
      <c r="G1732" s="142">
        <v>1.735318756</v>
      </c>
      <c r="H1732" s="143"/>
      <c r="I1732" s="143"/>
      <c r="J1732" s="143"/>
      <c r="K1732" s="143"/>
      <c r="L1732" s="143"/>
      <c r="M1732" s="143"/>
      <c r="N1732" s="80" t="s">
        <v>4466</v>
      </c>
      <c r="O1732" s="80" t="s">
        <v>4467</v>
      </c>
      <c r="P1732" s="80" t="s">
        <v>4468</v>
      </c>
      <c r="Y1732" s="2" t="s">
        <v>23</v>
      </c>
    </row>
    <row r="1733" ht="15.75" customHeight="1">
      <c r="B1733" s="48">
        <v>3.582977E7</v>
      </c>
      <c r="C1733" s="80" t="s">
        <v>4177</v>
      </c>
      <c r="D1733" s="140" t="s">
        <v>636</v>
      </c>
      <c r="E1733" s="80" t="s">
        <v>4341</v>
      </c>
      <c r="F1733" s="80">
        <v>175.118841</v>
      </c>
      <c r="G1733" s="142">
        <v>12.98966166</v>
      </c>
      <c r="H1733" s="143"/>
      <c r="I1733" s="143"/>
      <c r="J1733" s="143"/>
      <c r="K1733" s="143"/>
      <c r="L1733" s="143"/>
      <c r="M1733" s="143"/>
      <c r="N1733" s="80" t="s">
        <v>1526</v>
      </c>
      <c r="O1733" s="80" t="s">
        <v>4342</v>
      </c>
      <c r="P1733" s="80" t="s">
        <v>4343</v>
      </c>
      <c r="Y1733" s="2" t="s">
        <v>23</v>
      </c>
    </row>
    <row r="1734" ht="15.75" customHeight="1">
      <c r="B1734" s="48">
        <v>3.582977E7</v>
      </c>
      <c r="C1734" s="80" t="s">
        <v>4177</v>
      </c>
      <c r="D1734" s="140" t="s">
        <v>636</v>
      </c>
      <c r="E1734" s="80" t="s">
        <v>128</v>
      </c>
      <c r="F1734" s="80">
        <v>176.1028774</v>
      </c>
      <c r="G1734" s="142">
        <v>10.66843262</v>
      </c>
      <c r="H1734" s="143"/>
      <c r="I1734" s="143"/>
      <c r="J1734" s="143"/>
      <c r="K1734" s="143"/>
      <c r="L1734" s="143"/>
      <c r="M1734" s="143"/>
      <c r="N1734" s="80" t="s">
        <v>1709</v>
      </c>
      <c r="O1734" s="80" t="s">
        <v>4469</v>
      </c>
      <c r="P1734" s="80" t="s">
        <v>4246</v>
      </c>
      <c r="Y1734" s="2" t="s">
        <v>23</v>
      </c>
    </row>
    <row r="1735" ht="15.75" customHeight="1">
      <c r="B1735" s="48">
        <v>3.582977E7</v>
      </c>
      <c r="C1735" s="80" t="s">
        <v>4177</v>
      </c>
      <c r="D1735" s="140" t="s">
        <v>636</v>
      </c>
      <c r="E1735" s="80" t="s">
        <v>4470</v>
      </c>
      <c r="F1735" s="80">
        <v>180.0864551</v>
      </c>
      <c r="G1735" s="142">
        <v>9.150312297</v>
      </c>
      <c r="H1735" s="143"/>
      <c r="I1735" s="143"/>
      <c r="J1735" s="143"/>
      <c r="K1735" s="143"/>
      <c r="L1735" s="143"/>
      <c r="M1735" s="143"/>
      <c r="N1735" s="80" t="s">
        <v>4471</v>
      </c>
      <c r="O1735" s="80" t="s">
        <v>4472</v>
      </c>
      <c r="P1735" s="80" t="s">
        <v>4473</v>
      </c>
      <c r="Y1735" s="2" t="s">
        <v>23</v>
      </c>
    </row>
    <row r="1736" ht="15.75" customHeight="1">
      <c r="B1736" s="48">
        <v>3.582977E7</v>
      </c>
      <c r="C1736" s="80" t="s">
        <v>4177</v>
      </c>
      <c r="D1736" s="140" t="s">
        <v>636</v>
      </c>
      <c r="E1736" s="80" t="s">
        <v>4474</v>
      </c>
      <c r="F1736" s="80">
        <v>182.081128</v>
      </c>
      <c r="G1736" s="142">
        <v>8.485574849</v>
      </c>
      <c r="H1736" s="143"/>
      <c r="I1736" s="143"/>
      <c r="J1736" s="143"/>
      <c r="K1736" s="143"/>
      <c r="L1736" s="143"/>
      <c r="M1736" s="143"/>
      <c r="N1736" s="80" t="s">
        <v>2900</v>
      </c>
      <c r="O1736" s="80" t="s">
        <v>4475</v>
      </c>
      <c r="P1736" s="80" t="s">
        <v>4476</v>
      </c>
      <c r="Y1736" s="2" t="s">
        <v>23</v>
      </c>
    </row>
    <row r="1737" ht="15.75" customHeight="1">
      <c r="B1737" s="48">
        <v>3.582977E7</v>
      </c>
      <c r="C1737" s="80" t="s">
        <v>4177</v>
      </c>
      <c r="D1737" s="140" t="s">
        <v>636</v>
      </c>
      <c r="E1737" s="80" t="s">
        <v>4477</v>
      </c>
      <c r="F1737" s="80">
        <v>205.0970159</v>
      </c>
      <c r="G1737" s="142">
        <v>6.198456319</v>
      </c>
      <c r="H1737" s="143"/>
      <c r="I1737" s="143"/>
      <c r="J1737" s="143"/>
      <c r="K1737" s="143"/>
      <c r="L1737" s="143"/>
      <c r="M1737" s="143"/>
      <c r="N1737" s="80" t="s">
        <v>3394</v>
      </c>
      <c r="O1737" s="80" t="s">
        <v>4478</v>
      </c>
      <c r="P1737" s="80" t="s">
        <v>4479</v>
      </c>
      <c r="Y1737" s="2" t="s">
        <v>23</v>
      </c>
    </row>
    <row r="1738" ht="15.75" customHeight="1">
      <c r="B1738" s="48">
        <v>3.582977E7</v>
      </c>
      <c r="C1738" s="80" t="s">
        <v>4177</v>
      </c>
      <c r="D1738" s="140" t="s">
        <v>636</v>
      </c>
      <c r="E1738" s="80" t="s">
        <v>4354</v>
      </c>
      <c r="F1738" s="80">
        <v>241.0307594</v>
      </c>
      <c r="G1738" s="142">
        <v>12.13222656</v>
      </c>
      <c r="H1738" s="143"/>
      <c r="I1738" s="143"/>
      <c r="J1738" s="143"/>
      <c r="K1738" s="143"/>
      <c r="L1738" s="143"/>
      <c r="M1738" s="143"/>
      <c r="N1738" s="80" t="s">
        <v>1747</v>
      </c>
      <c r="O1738" s="80" t="s">
        <v>4355</v>
      </c>
      <c r="P1738" s="80" t="s">
        <v>4356</v>
      </c>
      <c r="Y1738" s="2" t="s">
        <v>23</v>
      </c>
    </row>
    <row r="1739" ht="15.75" customHeight="1">
      <c r="B1739" s="48">
        <v>3.582977E7</v>
      </c>
      <c r="C1739" s="80" t="s">
        <v>4177</v>
      </c>
      <c r="D1739" s="140" t="s">
        <v>636</v>
      </c>
      <c r="E1739" s="80" t="s">
        <v>4376</v>
      </c>
      <c r="F1739" s="80">
        <v>260.1639938</v>
      </c>
      <c r="G1739" s="142">
        <v>2.3741625</v>
      </c>
      <c r="H1739" s="143"/>
      <c r="I1739" s="143"/>
      <c r="J1739" s="143"/>
      <c r="K1739" s="143"/>
      <c r="L1739" s="143"/>
      <c r="M1739" s="143"/>
      <c r="N1739" s="80" t="s">
        <v>4358</v>
      </c>
      <c r="O1739" s="80" t="s">
        <v>4359</v>
      </c>
      <c r="P1739" s="80" t="s">
        <v>4360</v>
      </c>
      <c r="Y1739" s="2" t="s">
        <v>23</v>
      </c>
    </row>
    <row r="1740" ht="15.75" customHeight="1">
      <c r="B1740" s="48">
        <v>3.582977E7</v>
      </c>
      <c r="C1740" s="80" t="s">
        <v>4177</v>
      </c>
      <c r="D1740" s="140" t="s">
        <v>636</v>
      </c>
      <c r="E1740" s="80" t="s">
        <v>4279</v>
      </c>
      <c r="F1740" s="80">
        <v>286.1432271</v>
      </c>
      <c r="G1740" s="142">
        <v>1.685560354</v>
      </c>
      <c r="H1740" s="143"/>
      <c r="I1740" s="143"/>
      <c r="J1740" s="143"/>
      <c r="K1740" s="143"/>
      <c r="L1740" s="143"/>
      <c r="M1740" s="143"/>
      <c r="N1740" s="80" t="s">
        <v>4083</v>
      </c>
      <c r="O1740" s="80" t="s">
        <v>4362</v>
      </c>
      <c r="P1740" s="80" t="s">
        <v>4085</v>
      </c>
      <c r="Y1740" s="2" t="s">
        <v>23</v>
      </c>
    </row>
    <row r="1741" ht="15.75" customHeight="1">
      <c r="B1741" s="48">
        <v>3.582977E7</v>
      </c>
      <c r="C1741" s="80" t="s">
        <v>4177</v>
      </c>
      <c r="D1741" s="140" t="s">
        <v>636</v>
      </c>
      <c r="E1741" s="80" t="s">
        <v>4114</v>
      </c>
      <c r="F1741" s="80">
        <v>307.1107179</v>
      </c>
      <c r="G1741" s="142">
        <v>1.745274989</v>
      </c>
      <c r="H1741" s="143"/>
      <c r="I1741" s="143"/>
      <c r="J1741" s="143"/>
      <c r="K1741" s="143"/>
      <c r="L1741" s="143"/>
      <c r="M1741" s="143"/>
      <c r="N1741" s="80" t="s">
        <v>4115</v>
      </c>
      <c r="O1741" s="80" t="s">
        <v>4363</v>
      </c>
      <c r="P1741" s="80" t="s">
        <v>4117</v>
      </c>
      <c r="Y1741" s="2" t="s">
        <v>23</v>
      </c>
    </row>
    <row r="1742" ht="15.75" customHeight="1">
      <c r="B1742" s="48">
        <v>3.582977E7</v>
      </c>
      <c r="C1742" s="80" t="s">
        <v>4177</v>
      </c>
      <c r="D1742" s="140" t="s">
        <v>636</v>
      </c>
      <c r="E1742" s="80" t="s">
        <v>4129</v>
      </c>
      <c r="F1742" s="80">
        <v>76.07562707</v>
      </c>
      <c r="G1742" s="142">
        <v>4.214683278</v>
      </c>
      <c r="H1742" s="143"/>
      <c r="I1742" s="143"/>
      <c r="J1742" s="143"/>
      <c r="K1742" s="143"/>
      <c r="L1742" s="143"/>
      <c r="M1742" s="143"/>
      <c r="N1742" s="80" t="s">
        <v>3385</v>
      </c>
      <c r="O1742" s="80" t="s">
        <v>4314</v>
      </c>
      <c r="P1742" s="80" t="s">
        <v>4131</v>
      </c>
      <c r="Y1742" s="2" t="s">
        <v>23</v>
      </c>
    </row>
    <row r="1743" ht="15.75" customHeight="1">
      <c r="B1743" s="48">
        <v>3.582977E7</v>
      </c>
      <c r="C1743" s="80" t="s">
        <v>4177</v>
      </c>
      <c r="D1743" s="140" t="s">
        <v>636</v>
      </c>
      <c r="E1743" s="80" t="s">
        <v>3044</v>
      </c>
      <c r="F1743" s="80">
        <v>86.09634271</v>
      </c>
      <c r="G1743" s="142">
        <v>7.233322652</v>
      </c>
      <c r="H1743" s="143"/>
      <c r="I1743" s="143"/>
      <c r="J1743" s="143"/>
      <c r="K1743" s="143"/>
      <c r="L1743" s="143"/>
      <c r="M1743" s="143"/>
      <c r="N1743" s="80" t="s">
        <v>3045</v>
      </c>
      <c r="O1743" s="80" t="s">
        <v>3046</v>
      </c>
      <c r="P1743" s="80" t="s">
        <v>3996</v>
      </c>
      <c r="Y1743" s="2" t="s">
        <v>23</v>
      </c>
    </row>
    <row r="1744" ht="15.75" customHeight="1">
      <c r="B1744" s="48">
        <v>3.582977E7</v>
      </c>
      <c r="C1744" s="80" t="s">
        <v>4177</v>
      </c>
      <c r="D1744" s="140" t="s">
        <v>636</v>
      </c>
      <c r="E1744" s="80" t="s">
        <v>3044</v>
      </c>
      <c r="F1744" s="80">
        <v>86.09633569</v>
      </c>
      <c r="G1744" s="142">
        <v>4.895774078</v>
      </c>
      <c r="H1744" s="143"/>
      <c r="I1744" s="143"/>
      <c r="J1744" s="143"/>
      <c r="K1744" s="143"/>
      <c r="L1744" s="143"/>
      <c r="M1744" s="143"/>
      <c r="N1744" s="80" t="s">
        <v>3045</v>
      </c>
      <c r="O1744" s="80" t="s">
        <v>3046</v>
      </c>
      <c r="P1744" s="80" t="s">
        <v>3996</v>
      </c>
      <c r="Y1744" s="2" t="s">
        <v>23</v>
      </c>
    </row>
    <row r="1745" ht="15.75" customHeight="1">
      <c r="B1745" s="48">
        <v>3.582977E7</v>
      </c>
      <c r="C1745" s="80" t="s">
        <v>4177</v>
      </c>
      <c r="D1745" s="140" t="s">
        <v>636</v>
      </c>
      <c r="E1745" s="80" t="s">
        <v>4480</v>
      </c>
      <c r="F1745" s="80">
        <v>104.0704811</v>
      </c>
      <c r="G1745" s="142">
        <v>8.991985067</v>
      </c>
      <c r="H1745" s="143"/>
      <c r="I1745" s="143"/>
      <c r="J1745" s="143"/>
      <c r="K1745" s="143"/>
      <c r="L1745" s="143"/>
      <c r="M1745" s="143"/>
      <c r="N1745" s="80" t="s">
        <v>1078</v>
      </c>
      <c r="O1745" s="80" t="s">
        <v>4481</v>
      </c>
      <c r="P1745" s="80" t="s">
        <v>4482</v>
      </c>
      <c r="Y1745" s="2" t="s">
        <v>23</v>
      </c>
    </row>
    <row r="1746" ht="15.75" customHeight="1">
      <c r="B1746" s="48">
        <v>3.582977E7</v>
      </c>
      <c r="C1746" s="80" t="s">
        <v>4177</v>
      </c>
      <c r="D1746" s="140" t="s">
        <v>636</v>
      </c>
      <c r="E1746" s="80" t="s">
        <v>4480</v>
      </c>
      <c r="F1746" s="80">
        <v>104.0705116</v>
      </c>
      <c r="G1746" s="142">
        <v>8.499874878</v>
      </c>
      <c r="H1746" s="143"/>
      <c r="I1746" s="143"/>
      <c r="J1746" s="143"/>
      <c r="K1746" s="143"/>
      <c r="L1746" s="143"/>
      <c r="M1746" s="143"/>
      <c r="N1746" s="80" t="s">
        <v>1078</v>
      </c>
      <c r="O1746" s="80" t="s">
        <v>4481</v>
      </c>
      <c r="P1746" s="80" t="s">
        <v>4482</v>
      </c>
      <c r="Y1746" s="2" t="s">
        <v>23</v>
      </c>
    </row>
    <row r="1747" ht="15.75" customHeight="1">
      <c r="B1747" s="48">
        <v>3.582977E7</v>
      </c>
      <c r="C1747" s="80" t="s">
        <v>4177</v>
      </c>
      <c r="D1747" s="140" t="s">
        <v>636</v>
      </c>
      <c r="E1747" s="80" t="s">
        <v>3550</v>
      </c>
      <c r="F1747" s="80">
        <v>106.0497826</v>
      </c>
      <c r="G1747" s="142">
        <v>10.64855754</v>
      </c>
      <c r="H1747" s="143"/>
      <c r="I1747" s="143"/>
      <c r="J1747" s="143"/>
      <c r="K1747" s="143"/>
      <c r="L1747" s="143"/>
      <c r="M1747" s="143"/>
      <c r="N1747" s="80" t="s">
        <v>3190</v>
      </c>
      <c r="O1747" s="80" t="s">
        <v>4436</v>
      </c>
      <c r="P1747" s="80" t="s">
        <v>4437</v>
      </c>
      <c r="Y1747" s="2" t="s">
        <v>23</v>
      </c>
    </row>
    <row r="1748" ht="15.75" customHeight="1">
      <c r="B1748" s="48">
        <v>3.582977E7</v>
      </c>
      <c r="C1748" s="80" t="s">
        <v>4177</v>
      </c>
      <c r="D1748" s="140" t="s">
        <v>636</v>
      </c>
      <c r="E1748" s="80" t="s">
        <v>219</v>
      </c>
      <c r="F1748" s="80">
        <v>116.0704859</v>
      </c>
      <c r="G1748" s="142">
        <v>6.892362467</v>
      </c>
      <c r="H1748" s="143"/>
      <c r="I1748" s="143"/>
      <c r="J1748" s="143"/>
      <c r="K1748" s="143"/>
      <c r="L1748" s="143"/>
      <c r="M1748" s="143"/>
      <c r="N1748" s="80" t="s">
        <v>3058</v>
      </c>
      <c r="O1748" s="80" t="s">
        <v>4438</v>
      </c>
      <c r="P1748" s="80" t="s">
        <v>4439</v>
      </c>
      <c r="Y1748" s="2" t="s">
        <v>23</v>
      </c>
    </row>
    <row r="1749" ht="15.75" customHeight="1">
      <c r="B1749" s="48">
        <v>3.582977E7</v>
      </c>
      <c r="C1749" s="80" t="s">
        <v>4177</v>
      </c>
      <c r="D1749" s="140" t="s">
        <v>636</v>
      </c>
      <c r="E1749" s="80" t="s">
        <v>219</v>
      </c>
      <c r="F1749" s="80">
        <v>116.0704889</v>
      </c>
      <c r="G1749" s="142">
        <v>12.99381307</v>
      </c>
      <c r="H1749" s="143"/>
      <c r="I1749" s="143"/>
      <c r="J1749" s="143"/>
      <c r="K1749" s="143"/>
      <c r="L1749" s="143"/>
      <c r="M1749" s="143"/>
      <c r="N1749" s="80" t="s">
        <v>3058</v>
      </c>
      <c r="O1749" s="80" t="s">
        <v>4438</v>
      </c>
      <c r="P1749" s="80" t="s">
        <v>4439</v>
      </c>
      <c r="Y1749" s="2" t="s">
        <v>23</v>
      </c>
    </row>
    <row r="1750" ht="15.75" customHeight="1">
      <c r="B1750" s="48">
        <v>3.582977E7</v>
      </c>
      <c r="C1750" s="80" t="s">
        <v>4177</v>
      </c>
      <c r="D1750" s="140" t="s">
        <v>636</v>
      </c>
      <c r="E1750" s="80" t="s">
        <v>3561</v>
      </c>
      <c r="F1750" s="80">
        <v>118.0860451</v>
      </c>
      <c r="G1750" s="142">
        <v>6.869437154</v>
      </c>
      <c r="H1750" s="143"/>
      <c r="I1750" s="143"/>
      <c r="J1750" s="143"/>
      <c r="K1750" s="143"/>
      <c r="L1750" s="143"/>
      <c r="M1750" s="143"/>
      <c r="N1750" s="80" t="s">
        <v>1324</v>
      </c>
      <c r="O1750" s="80" t="s">
        <v>4440</v>
      </c>
      <c r="P1750" s="80" t="s">
        <v>4441</v>
      </c>
      <c r="Y1750" s="2" t="s">
        <v>23</v>
      </c>
    </row>
    <row r="1751" ht="15.75" customHeight="1">
      <c r="B1751" s="48">
        <v>3.582977E7</v>
      </c>
      <c r="C1751" s="80" t="s">
        <v>4177</v>
      </c>
      <c r="D1751" s="140" t="s">
        <v>636</v>
      </c>
      <c r="E1751" s="80" t="s">
        <v>4453</v>
      </c>
      <c r="F1751" s="80">
        <v>120.0654171</v>
      </c>
      <c r="G1751" s="142">
        <v>9.576372274</v>
      </c>
      <c r="H1751" s="143"/>
      <c r="I1751" s="143"/>
      <c r="J1751" s="143"/>
      <c r="K1751" s="143"/>
      <c r="L1751" s="143"/>
      <c r="M1751" s="143"/>
      <c r="N1751" s="80" t="s">
        <v>1017</v>
      </c>
      <c r="O1751" s="80" t="s">
        <v>4454</v>
      </c>
      <c r="P1751" s="80" t="s">
        <v>4455</v>
      </c>
      <c r="Y1751" s="2" t="s">
        <v>23</v>
      </c>
    </row>
    <row r="1752" ht="15.75" customHeight="1">
      <c r="B1752" s="48">
        <v>3.582977E7</v>
      </c>
      <c r="C1752" s="80" t="s">
        <v>4177</v>
      </c>
      <c r="D1752" s="140" t="s">
        <v>636</v>
      </c>
      <c r="E1752" s="80" t="s">
        <v>4195</v>
      </c>
      <c r="F1752" s="80">
        <v>123.055135</v>
      </c>
      <c r="G1752" s="142">
        <v>2.453264618</v>
      </c>
      <c r="H1752" s="143"/>
      <c r="I1752" s="143"/>
      <c r="J1752" s="143"/>
      <c r="K1752" s="143"/>
      <c r="L1752" s="143"/>
      <c r="M1752" s="143"/>
      <c r="N1752" s="80" t="s">
        <v>2732</v>
      </c>
      <c r="O1752" s="80" t="s">
        <v>4442</v>
      </c>
      <c r="P1752" s="80" t="s">
        <v>4197</v>
      </c>
      <c r="Y1752" s="2" t="s">
        <v>23</v>
      </c>
    </row>
    <row r="1753" ht="15.75" customHeight="1">
      <c r="B1753" s="48">
        <v>3.582977E7</v>
      </c>
      <c r="C1753" s="80" t="s">
        <v>4177</v>
      </c>
      <c r="D1753" s="140" t="s">
        <v>636</v>
      </c>
      <c r="E1753" s="80" t="s">
        <v>380</v>
      </c>
      <c r="F1753" s="80">
        <v>126.0218329</v>
      </c>
      <c r="G1753" s="142">
        <v>10.08154399</v>
      </c>
      <c r="H1753" s="143"/>
      <c r="I1753" s="143"/>
      <c r="J1753" s="143"/>
      <c r="K1753" s="143"/>
      <c r="L1753" s="143"/>
      <c r="M1753" s="143"/>
      <c r="N1753" s="80" t="s">
        <v>3300</v>
      </c>
      <c r="O1753" s="80" t="s">
        <v>4315</v>
      </c>
      <c r="P1753" s="80" t="s">
        <v>4199</v>
      </c>
      <c r="Y1753" s="2" t="s">
        <v>23</v>
      </c>
    </row>
    <row r="1754" ht="15.75" customHeight="1">
      <c r="B1754" s="48">
        <v>3.582977E7</v>
      </c>
      <c r="C1754" s="80" t="s">
        <v>4177</v>
      </c>
      <c r="D1754" s="140" t="s">
        <v>636</v>
      </c>
      <c r="E1754" s="80" t="s">
        <v>4316</v>
      </c>
      <c r="F1754" s="80">
        <v>130.0497647</v>
      </c>
      <c r="G1754" s="142">
        <v>10.091487</v>
      </c>
      <c r="H1754" s="143"/>
      <c r="I1754" s="143"/>
      <c r="J1754" s="143"/>
      <c r="K1754" s="143"/>
      <c r="L1754" s="143"/>
      <c r="M1754" s="143"/>
      <c r="N1754" s="80" t="s">
        <v>1358</v>
      </c>
      <c r="O1754" s="80" t="s">
        <v>4317</v>
      </c>
      <c r="P1754" s="80" t="s">
        <v>3914</v>
      </c>
      <c r="Y1754" s="2" t="s">
        <v>23</v>
      </c>
    </row>
    <row r="1755" ht="15.75" customHeight="1">
      <c r="B1755" s="48">
        <v>3.582977E7</v>
      </c>
      <c r="C1755" s="80" t="s">
        <v>4177</v>
      </c>
      <c r="D1755" s="140" t="s">
        <v>636</v>
      </c>
      <c r="E1755" s="80" t="s">
        <v>4316</v>
      </c>
      <c r="F1755" s="80">
        <v>130.049781</v>
      </c>
      <c r="G1755" s="142">
        <v>10.64855754</v>
      </c>
      <c r="H1755" s="143"/>
      <c r="I1755" s="143"/>
      <c r="J1755" s="143"/>
      <c r="K1755" s="143"/>
      <c r="L1755" s="143"/>
      <c r="M1755" s="143"/>
      <c r="N1755" s="80" t="s">
        <v>1358</v>
      </c>
      <c r="O1755" s="80" t="s">
        <v>4317</v>
      </c>
      <c r="P1755" s="80" t="s">
        <v>3914</v>
      </c>
      <c r="Y1755" s="2" t="s">
        <v>23</v>
      </c>
    </row>
    <row r="1756" ht="15.75" customHeight="1">
      <c r="B1756" s="48">
        <v>3.582977E7</v>
      </c>
      <c r="C1756" s="80" t="s">
        <v>4177</v>
      </c>
      <c r="D1756" s="140" t="s">
        <v>636</v>
      </c>
      <c r="E1756" s="80" t="s">
        <v>4316</v>
      </c>
      <c r="F1756" s="80">
        <v>130.0497759</v>
      </c>
      <c r="G1756" s="142">
        <v>11.52779846</v>
      </c>
      <c r="H1756" s="143"/>
      <c r="I1756" s="143"/>
      <c r="J1756" s="143"/>
      <c r="K1756" s="143"/>
      <c r="L1756" s="143"/>
      <c r="M1756" s="143"/>
      <c r="N1756" s="80" t="s">
        <v>1358</v>
      </c>
      <c r="O1756" s="80" t="s">
        <v>4317</v>
      </c>
      <c r="P1756" s="80" t="s">
        <v>3914</v>
      </c>
      <c r="Y1756" s="2" t="s">
        <v>23</v>
      </c>
    </row>
    <row r="1757" ht="15.75" customHeight="1">
      <c r="B1757" s="48">
        <v>3.582977E7</v>
      </c>
      <c r="C1757" s="80" t="s">
        <v>4177</v>
      </c>
      <c r="D1757" s="140" t="s">
        <v>636</v>
      </c>
      <c r="E1757" s="80" t="s">
        <v>4365</v>
      </c>
      <c r="F1757" s="80">
        <v>130.0862826</v>
      </c>
      <c r="G1757" s="142">
        <v>12.89682922</v>
      </c>
      <c r="H1757" s="143"/>
      <c r="I1757" s="143"/>
      <c r="J1757" s="143"/>
      <c r="K1757" s="143"/>
      <c r="L1757" s="143"/>
      <c r="M1757" s="143"/>
      <c r="N1757" s="80" t="s">
        <v>2777</v>
      </c>
      <c r="O1757" s="80" t="s">
        <v>4366</v>
      </c>
      <c r="P1757" s="80" t="s">
        <v>4367</v>
      </c>
      <c r="Y1757" s="2" t="s">
        <v>23</v>
      </c>
    </row>
    <row r="1758" ht="15.75" customHeight="1">
      <c r="B1758" s="48">
        <v>3.582977E7</v>
      </c>
      <c r="C1758" s="80" t="s">
        <v>4177</v>
      </c>
      <c r="D1758" s="140" t="s">
        <v>636</v>
      </c>
      <c r="E1758" s="80" t="s">
        <v>4365</v>
      </c>
      <c r="F1758" s="80">
        <v>130.0861548</v>
      </c>
      <c r="G1758" s="142">
        <v>4.547264608</v>
      </c>
      <c r="H1758" s="143"/>
      <c r="I1758" s="143"/>
      <c r="J1758" s="143"/>
      <c r="K1758" s="143"/>
      <c r="L1758" s="143"/>
      <c r="M1758" s="143"/>
      <c r="N1758" s="80" t="s">
        <v>2777</v>
      </c>
      <c r="O1758" s="80" t="s">
        <v>4366</v>
      </c>
      <c r="P1758" s="80" t="s">
        <v>4367</v>
      </c>
      <c r="Y1758" s="2" t="s">
        <v>23</v>
      </c>
    </row>
    <row r="1759" ht="15.75" customHeight="1">
      <c r="B1759" s="48">
        <v>3.582977E7</v>
      </c>
      <c r="C1759" s="80" t="s">
        <v>4177</v>
      </c>
      <c r="D1759" s="140" t="s">
        <v>636</v>
      </c>
      <c r="E1759" s="80" t="s">
        <v>4365</v>
      </c>
      <c r="F1759" s="80">
        <v>130.0861508</v>
      </c>
      <c r="G1759" s="142">
        <v>6.458618673</v>
      </c>
      <c r="H1759" s="143"/>
      <c r="I1759" s="143"/>
      <c r="J1759" s="143"/>
      <c r="K1759" s="143"/>
      <c r="L1759" s="143"/>
      <c r="M1759" s="143"/>
      <c r="N1759" s="80" t="s">
        <v>2777</v>
      </c>
      <c r="O1759" s="80" t="s">
        <v>4366</v>
      </c>
      <c r="P1759" s="80" t="s">
        <v>4367</v>
      </c>
      <c r="Y1759" s="2" t="s">
        <v>23</v>
      </c>
    </row>
    <row r="1760" ht="15.75" customHeight="1">
      <c r="B1760" s="48">
        <v>3.582977E7</v>
      </c>
      <c r="C1760" s="80" t="s">
        <v>4177</v>
      </c>
      <c r="D1760" s="140" t="s">
        <v>636</v>
      </c>
      <c r="E1760" s="80" t="s">
        <v>4483</v>
      </c>
      <c r="F1760" s="80">
        <v>132.1017713</v>
      </c>
      <c r="G1760" s="142">
        <v>4.893104045</v>
      </c>
      <c r="H1760" s="143"/>
      <c r="I1760" s="143"/>
      <c r="J1760" s="143"/>
      <c r="K1760" s="143"/>
      <c r="L1760" s="143"/>
      <c r="M1760" s="143"/>
      <c r="N1760" s="80" t="s">
        <v>2272</v>
      </c>
      <c r="O1760" s="80" t="s">
        <v>4484</v>
      </c>
      <c r="P1760" s="80" t="s">
        <v>4485</v>
      </c>
      <c r="Y1760" s="2" t="s">
        <v>23</v>
      </c>
    </row>
    <row r="1761" ht="15.75" customHeight="1">
      <c r="B1761" s="48">
        <v>3.582977E7</v>
      </c>
      <c r="C1761" s="80" t="s">
        <v>4177</v>
      </c>
      <c r="D1761" s="140" t="s">
        <v>636</v>
      </c>
      <c r="E1761" s="80" t="s">
        <v>4327</v>
      </c>
      <c r="F1761" s="80">
        <v>137.0456614</v>
      </c>
      <c r="G1761" s="142">
        <v>4.076954397</v>
      </c>
      <c r="H1761" s="143"/>
      <c r="I1761" s="143"/>
      <c r="J1761" s="143"/>
      <c r="K1761" s="143"/>
      <c r="L1761" s="143"/>
      <c r="M1761" s="143"/>
      <c r="N1761" s="80" t="s">
        <v>2220</v>
      </c>
      <c r="O1761" s="80" t="s">
        <v>4328</v>
      </c>
      <c r="P1761" s="80" t="s">
        <v>4329</v>
      </c>
      <c r="Y1761" s="2" t="s">
        <v>23</v>
      </c>
    </row>
    <row r="1762" ht="15.75" customHeight="1">
      <c r="B1762" s="48">
        <v>3.582977E7</v>
      </c>
      <c r="C1762" s="80" t="s">
        <v>4177</v>
      </c>
      <c r="D1762" s="140" t="s">
        <v>636</v>
      </c>
      <c r="E1762" s="80" t="s">
        <v>3529</v>
      </c>
      <c r="F1762" s="80">
        <v>147.0763018</v>
      </c>
      <c r="G1762" s="142">
        <v>10.64855754</v>
      </c>
      <c r="H1762" s="143"/>
      <c r="I1762" s="143"/>
      <c r="J1762" s="143"/>
      <c r="K1762" s="143"/>
      <c r="L1762" s="143"/>
      <c r="M1762" s="143"/>
      <c r="N1762" s="80" t="s">
        <v>1211</v>
      </c>
      <c r="O1762" s="80" t="s">
        <v>4291</v>
      </c>
      <c r="P1762" s="80" t="s">
        <v>3916</v>
      </c>
      <c r="Y1762" s="2" t="s">
        <v>23</v>
      </c>
    </row>
    <row r="1763" ht="15.75" customHeight="1">
      <c r="B1763" s="48">
        <v>3.582977E7</v>
      </c>
      <c r="C1763" s="80" t="s">
        <v>4177</v>
      </c>
      <c r="D1763" s="140" t="s">
        <v>636</v>
      </c>
      <c r="E1763" s="80" t="s">
        <v>3528</v>
      </c>
      <c r="F1763" s="80">
        <v>148.0602929</v>
      </c>
      <c r="G1763" s="142">
        <v>11.52445961</v>
      </c>
      <c r="H1763" s="143"/>
      <c r="I1763" s="143"/>
      <c r="J1763" s="143"/>
      <c r="K1763" s="143"/>
      <c r="L1763" s="143"/>
      <c r="M1763" s="143"/>
      <c r="N1763" s="80" t="s">
        <v>2032</v>
      </c>
      <c r="O1763" s="80" t="s">
        <v>4292</v>
      </c>
      <c r="P1763" s="80" t="s">
        <v>4232</v>
      </c>
      <c r="Y1763" s="2" t="s">
        <v>23</v>
      </c>
    </row>
    <row r="1764" ht="15.75" customHeight="1">
      <c r="B1764" s="48">
        <v>3.582977E7</v>
      </c>
      <c r="C1764" s="80" t="s">
        <v>4177</v>
      </c>
      <c r="D1764" s="140" t="s">
        <v>636</v>
      </c>
      <c r="E1764" s="80" t="s">
        <v>4334</v>
      </c>
      <c r="F1764" s="80">
        <v>150.0582308</v>
      </c>
      <c r="G1764" s="142">
        <v>6.286570721</v>
      </c>
      <c r="H1764" s="143"/>
      <c r="I1764" s="143"/>
      <c r="J1764" s="143"/>
      <c r="K1764" s="143"/>
      <c r="L1764" s="143"/>
      <c r="M1764" s="143"/>
      <c r="N1764" s="80" t="s">
        <v>2444</v>
      </c>
      <c r="O1764" s="80" t="s">
        <v>4335</v>
      </c>
      <c r="P1764" s="80" t="s">
        <v>4336</v>
      </c>
      <c r="Y1764" s="2" t="s">
        <v>23</v>
      </c>
    </row>
    <row r="1765" ht="15.75" customHeight="1">
      <c r="B1765" s="48">
        <v>3.582977E7</v>
      </c>
      <c r="C1765" s="80" t="s">
        <v>4177</v>
      </c>
      <c r="D1765" s="140" t="s">
        <v>636</v>
      </c>
      <c r="E1765" s="80" t="s">
        <v>4139</v>
      </c>
      <c r="F1765" s="80">
        <v>152.14319</v>
      </c>
      <c r="G1765" s="142">
        <v>7.077831014</v>
      </c>
      <c r="H1765" s="143"/>
      <c r="I1765" s="143"/>
      <c r="J1765" s="143"/>
      <c r="K1765" s="143"/>
      <c r="L1765" s="143"/>
      <c r="M1765" s="143"/>
      <c r="N1765" s="80" t="s">
        <v>4140</v>
      </c>
      <c r="O1765" s="80" t="s">
        <v>4337</v>
      </c>
      <c r="P1765" s="80" t="s">
        <v>4142</v>
      </c>
      <c r="Y1765" s="2" t="s">
        <v>23</v>
      </c>
    </row>
    <row r="1766" ht="15.75" customHeight="1">
      <c r="B1766" s="48">
        <v>3.582977E7</v>
      </c>
      <c r="C1766" s="80" t="s">
        <v>4177</v>
      </c>
      <c r="D1766" s="140" t="s">
        <v>636</v>
      </c>
      <c r="E1766" s="80" t="s">
        <v>3531</v>
      </c>
      <c r="F1766" s="80">
        <v>156.0766513</v>
      </c>
      <c r="G1766" s="142">
        <v>10.03189087</v>
      </c>
      <c r="H1766" s="143"/>
      <c r="I1766" s="143"/>
      <c r="J1766" s="143"/>
      <c r="K1766" s="143"/>
      <c r="L1766" s="143"/>
      <c r="M1766" s="143"/>
      <c r="N1766" s="80" t="s">
        <v>2182</v>
      </c>
      <c r="O1766" s="80" t="s">
        <v>4295</v>
      </c>
      <c r="P1766" s="80" t="s">
        <v>4234</v>
      </c>
      <c r="Y1766" s="2" t="s">
        <v>23</v>
      </c>
    </row>
    <row r="1767" ht="15.75" customHeight="1">
      <c r="B1767" s="48">
        <v>3.582977E7</v>
      </c>
      <c r="C1767" s="80" t="s">
        <v>4177</v>
      </c>
      <c r="D1767" s="140" t="s">
        <v>636</v>
      </c>
      <c r="E1767" s="80" t="s">
        <v>3531</v>
      </c>
      <c r="F1767" s="80">
        <v>156.0766634</v>
      </c>
      <c r="G1767" s="142">
        <v>11.47378082</v>
      </c>
      <c r="H1767" s="143"/>
      <c r="I1767" s="143"/>
      <c r="J1767" s="143"/>
      <c r="K1767" s="143"/>
      <c r="L1767" s="143"/>
      <c r="M1767" s="143"/>
      <c r="N1767" s="80" t="s">
        <v>2182</v>
      </c>
      <c r="O1767" s="80" t="s">
        <v>4295</v>
      </c>
      <c r="P1767" s="80" t="s">
        <v>4234</v>
      </c>
      <c r="Y1767" s="2" t="s">
        <v>23</v>
      </c>
    </row>
    <row r="1768" ht="15.75" customHeight="1">
      <c r="B1768" s="48">
        <v>3.582977E7</v>
      </c>
      <c r="C1768" s="80" t="s">
        <v>4177</v>
      </c>
      <c r="D1768" s="140" t="s">
        <v>636</v>
      </c>
      <c r="E1768" s="80" t="s">
        <v>3531</v>
      </c>
      <c r="F1768" s="80">
        <v>156.0766262</v>
      </c>
      <c r="G1768" s="142">
        <v>6.040583293</v>
      </c>
      <c r="H1768" s="143"/>
      <c r="I1768" s="143"/>
      <c r="J1768" s="143"/>
      <c r="K1768" s="143"/>
      <c r="L1768" s="143"/>
      <c r="M1768" s="143"/>
      <c r="N1768" s="80" t="s">
        <v>2182</v>
      </c>
      <c r="O1768" s="80" t="s">
        <v>4295</v>
      </c>
      <c r="P1768" s="80" t="s">
        <v>4234</v>
      </c>
      <c r="Y1768" s="2" t="s">
        <v>23</v>
      </c>
    </row>
    <row r="1769" ht="15.75" customHeight="1">
      <c r="B1769" s="48">
        <v>3.582977E7</v>
      </c>
      <c r="C1769" s="80" t="s">
        <v>4177</v>
      </c>
      <c r="D1769" s="140" t="s">
        <v>636</v>
      </c>
      <c r="E1769" s="80" t="s">
        <v>140</v>
      </c>
      <c r="F1769" s="80">
        <v>166.0861176</v>
      </c>
      <c r="G1769" s="142">
        <v>4.796656291</v>
      </c>
      <c r="H1769" s="143"/>
      <c r="I1769" s="143"/>
      <c r="J1769" s="143"/>
      <c r="K1769" s="143"/>
      <c r="L1769" s="143"/>
      <c r="M1769" s="143"/>
      <c r="N1769" s="80" t="s">
        <v>2983</v>
      </c>
      <c r="O1769" s="80" t="s">
        <v>4486</v>
      </c>
      <c r="P1769" s="80" t="s">
        <v>4487</v>
      </c>
      <c r="Y1769" s="2" t="s">
        <v>23</v>
      </c>
    </row>
    <row r="1770" ht="15.75" customHeight="1">
      <c r="B1770" s="48">
        <v>3.582977E7</v>
      </c>
      <c r="C1770" s="80" t="s">
        <v>4177</v>
      </c>
      <c r="D1770" s="140" t="s">
        <v>636</v>
      </c>
      <c r="E1770" s="80" t="s">
        <v>4465</v>
      </c>
      <c r="F1770" s="80">
        <v>172.1330531</v>
      </c>
      <c r="G1770" s="142">
        <v>1.735318756</v>
      </c>
      <c r="H1770" s="143"/>
      <c r="I1770" s="143"/>
      <c r="J1770" s="143"/>
      <c r="K1770" s="143"/>
      <c r="L1770" s="143"/>
      <c r="M1770" s="143"/>
      <c r="N1770" s="80" t="s">
        <v>4466</v>
      </c>
      <c r="O1770" s="80" t="s">
        <v>4467</v>
      </c>
      <c r="P1770" s="80" t="s">
        <v>4468</v>
      </c>
      <c r="Y1770" s="2" t="s">
        <v>23</v>
      </c>
    </row>
    <row r="1771" ht="15.75" customHeight="1">
      <c r="B1771" s="48">
        <v>3.582977E7</v>
      </c>
      <c r="C1771" s="80" t="s">
        <v>4177</v>
      </c>
      <c r="D1771" s="140" t="s">
        <v>636</v>
      </c>
      <c r="E1771" s="80" t="s">
        <v>4341</v>
      </c>
      <c r="F1771" s="80">
        <v>175.118841</v>
      </c>
      <c r="G1771" s="142">
        <v>12.98966166</v>
      </c>
      <c r="H1771" s="143"/>
      <c r="I1771" s="143"/>
      <c r="J1771" s="143"/>
      <c r="K1771" s="143"/>
      <c r="L1771" s="143"/>
      <c r="M1771" s="143"/>
      <c r="N1771" s="80" t="s">
        <v>1526</v>
      </c>
      <c r="O1771" s="80" t="s">
        <v>4342</v>
      </c>
      <c r="P1771" s="80" t="s">
        <v>4343</v>
      </c>
      <c r="Y1771" s="2" t="s">
        <v>23</v>
      </c>
    </row>
    <row r="1772" ht="15.75" customHeight="1">
      <c r="B1772" s="48">
        <v>3.582977E7</v>
      </c>
      <c r="C1772" s="80" t="s">
        <v>4177</v>
      </c>
      <c r="D1772" s="140" t="s">
        <v>636</v>
      </c>
      <c r="E1772" s="80" t="s">
        <v>128</v>
      </c>
      <c r="F1772" s="80">
        <v>176.1028774</v>
      </c>
      <c r="G1772" s="142">
        <v>10.66843262</v>
      </c>
      <c r="H1772" s="143"/>
      <c r="I1772" s="143"/>
      <c r="J1772" s="143"/>
      <c r="K1772" s="143"/>
      <c r="L1772" s="143"/>
      <c r="M1772" s="143"/>
      <c r="N1772" s="80" t="s">
        <v>1709</v>
      </c>
      <c r="O1772" s="80" t="s">
        <v>4469</v>
      </c>
      <c r="P1772" s="80" t="s">
        <v>4246</v>
      </c>
      <c r="Y1772" s="2" t="s">
        <v>23</v>
      </c>
    </row>
    <row r="1773" ht="15.75" customHeight="1">
      <c r="B1773" s="48">
        <v>3.582977E7</v>
      </c>
      <c r="C1773" s="80" t="s">
        <v>4177</v>
      </c>
      <c r="D1773" s="140" t="s">
        <v>636</v>
      </c>
      <c r="E1773" s="80" t="s">
        <v>4488</v>
      </c>
      <c r="F1773" s="80">
        <v>180.0864551</v>
      </c>
      <c r="G1773" s="142">
        <v>9.150312297</v>
      </c>
      <c r="H1773" s="143"/>
      <c r="I1773" s="143"/>
      <c r="J1773" s="143"/>
      <c r="K1773" s="143"/>
      <c r="L1773" s="143"/>
      <c r="M1773" s="143"/>
      <c r="N1773" s="80" t="s">
        <v>4471</v>
      </c>
      <c r="O1773" s="80" t="s">
        <v>4489</v>
      </c>
      <c r="P1773" s="80" t="s">
        <v>4490</v>
      </c>
      <c r="Y1773" s="2" t="s">
        <v>23</v>
      </c>
    </row>
    <row r="1774" ht="15.75" customHeight="1">
      <c r="B1774" s="48">
        <v>3.582977E7</v>
      </c>
      <c r="C1774" s="80" t="s">
        <v>4177</v>
      </c>
      <c r="D1774" s="140" t="s">
        <v>636</v>
      </c>
      <c r="E1774" s="80" t="s">
        <v>3558</v>
      </c>
      <c r="F1774" s="80">
        <v>182.081128</v>
      </c>
      <c r="G1774" s="142">
        <v>8.485574849</v>
      </c>
      <c r="H1774" s="143"/>
      <c r="I1774" s="143"/>
      <c r="J1774" s="143"/>
      <c r="K1774" s="143"/>
      <c r="L1774" s="143"/>
      <c r="M1774" s="143"/>
      <c r="N1774" s="80" t="s">
        <v>2900</v>
      </c>
      <c r="O1774" s="80" t="s">
        <v>4491</v>
      </c>
      <c r="P1774" s="80" t="s">
        <v>4492</v>
      </c>
      <c r="Y1774" s="2" t="s">
        <v>23</v>
      </c>
    </row>
    <row r="1775" ht="15.75" customHeight="1">
      <c r="B1775" s="48">
        <v>3.582977E7</v>
      </c>
      <c r="C1775" s="80" t="s">
        <v>4177</v>
      </c>
      <c r="D1775" s="140" t="s">
        <v>636</v>
      </c>
      <c r="E1775" s="80" t="s">
        <v>3557</v>
      </c>
      <c r="F1775" s="80">
        <v>205.0970159</v>
      </c>
      <c r="G1775" s="142">
        <v>6.198456319</v>
      </c>
      <c r="H1775" s="143"/>
      <c r="I1775" s="143"/>
      <c r="J1775" s="143"/>
      <c r="K1775" s="143"/>
      <c r="L1775" s="143"/>
      <c r="M1775" s="143"/>
      <c r="N1775" s="80" t="s">
        <v>3394</v>
      </c>
      <c r="O1775" s="80" t="s">
        <v>4493</v>
      </c>
      <c r="P1775" s="80" t="s">
        <v>4081</v>
      </c>
      <c r="Y1775" s="2" t="s">
        <v>23</v>
      </c>
    </row>
    <row r="1776" ht="15.75" customHeight="1">
      <c r="B1776" s="48">
        <v>3.582977E7</v>
      </c>
      <c r="C1776" s="80" t="s">
        <v>4177</v>
      </c>
      <c r="D1776" s="140" t="s">
        <v>636</v>
      </c>
      <c r="E1776" s="80" t="s">
        <v>4354</v>
      </c>
      <c r="F1776" s="80">
        <v>241.0307594</v>
      </c>
      <c r="G1776" s="142">
        <v>12.13222656</v>
      </c>
      <c r="H1776" s="143"/>
      <c r="I1776" s="143"/>
      <c r="J1776" s="143"/>
      <c r="K1776" s="143"/>
      <c r="L1776" s="143"/>
      <c r="M1776" s="143"/>
      <c r="N1776" s="80" t="s">
        <v>1747</v>
      </c>
      <c r="O1776" s="80" t="s">
        <v>4355</v>
      </c>
      <c r="P1776" s="80" t="s">
        <v>4356</v>
      </c>
      <c r="Y1776" s="2" t="s">
        <v>23</v>
      </c>
    </row>
    <row r="1777" ht="15.75" customHeight="1">
      <c r="B1777" s="48">
        <v>3.582977E7</v>
      </c>
      <c r="C1777" s="80" t="s">
        <v>4177</v>
      </c>
      <c r="D1777" s="140" t="s">
        <v>636</v>
      </c>
      <c r="E1777" s="80" t="s">
        <v>4370</v>
      </c>
      <c r="F1777" s="80">
        <v>260.1639938</v>
      </c>
      <c r="G1777" s="142">
        <v>2.3741625</v>
      </c>
      <c r="H1777" s="143"/>
      <c r="I1777" s="143"/>
      <c r="J1777" s="143"/>
      <c r="K1777" s="143"/>
      <c r="L1777" s="143"/>
      <c r="M1777" s="143"/>
      <c r="N1777" s="80" t="s">
        <v>4358</v>
      </c>
      <c r="O1777" s="80" t="s">
        <v>4371</v>
      </c>
      <c r="P1777" s="80" t="s">
        <v>4372</v>
      </c>
      <c r="Y1777" s="2" t="s">
        <v>23</v>
      </c>
    </row>
    <row r="1778" ht="15.75" customHeight="1">
      <c r="B1778" s="48">
        <v>3.582977E7</v>
      </c>
      <c r="C1778" s="80" t="s">
        <v>4177</v>
      </c>
      <c r="D1778" s="140" t="s">
        <v>636</v>
      </c>
      <c r="E1778" s="80" t="s">
        <v>4279</v>
      </c>
      <c r="F1778" s="80">
        <v>286.1432271</v>
      </c>
      <c r="G1778" s="142">
        <v>1.685560354</v>
      </c>
      <c r="H1778" s="143"/>
      <c r="I1778" s="143"/>
      <c r="J1778" s="143"/>
      <c r="K1778" s="143"/>
      <c r="L1778" s="143"/>
      <c r="M1778" s="143"/>
      <c r="N1778" s="80" t="s">
        <v>4083</v>
      </c>
      <c r="O1778" s="80" t="s">
        <v>4362</v>
      </c>
      <c r="P1778" s="80" t="s">
        <v>4085</v>
      </c>
      <c r="Y1778" s="2" t="s">
        <v>23</v>
      </c>
    </row>
    <row r="1779" ht="15.75" customHeight="1">
      <c r="B1779" s="48">
        <v>3.582977E7</v>
      </c>
      <c r="C1779" s="80" t="s">
        <v>4177</v>
      </c>
      <c r="D1779" s="140" t="s">
        <v>636</v>
      </c>
      <c r="E1779" s="80" t="s">
        <v>4114</v>
      </c>
      <c r="F1779" s="80">
        <v>307.1107179</v>
      </c>
      <c r="G1779" s="142">
        <v>1.745274989</v>
      </c>
      <c r="H1779" s="143"/>
      <c r="I1779" s="143"/>
      <c r="J1779" s="143"/>
      <c r="K1779" s="143"/>
      <c r="L1779" s="143"/>
      <c r="M1779" s="143"/>
      <c r="N1779" s="80" t="s">
        <v>4115</v>
      </c>
      <c r="O1779" s="80" t="s">
        <v>4363</v>
      </c>
      <c r="P1779" s="80" t="s">
        <v>4117</v>
      </c>
      <c r="Y1779" s="2" t="s">
        <v>23</v>
      </c>
    </row>
    <row r="1780" ht="15.75" customHeight="1">
      <c r="B1780" s="48">
        <v>3.582977E7</v>
      </c>
      <c r="C1780" s="80" t="s">
        <v>4177</v>
      </c>
      <c r="D1780" s="140" t="s">
        <v>636</v>
      </c>
      <c r="E1780" s="80" t="s">
        <v>4129</v>
      </c>
      <c r="F1780" s="80">
        <v>76.07562707</v>
      </c>
      <c r="G1780" s="142">
        <v>4.214683278</v>
      </c>
      <c r="H1780" s="143"/>
      <c r="I1780" s="143"/>
      <c r="J1780" s="143"/>
      <c r="K1780" s="143"/>
      <c r="L1780" s="143"/>
      <c r="M1780" s="143"/>
      <c r="N1780" s="80" t="s">
        <v>3385</v>
      </c>
      <c r="O1780" s="80" t="s">
        <v>4314</v>
      </c>
      <c r="P1780" s="80" t="s">
        <v>4131</v>
      </c>
      <c r="Y1780" s="2" t="s">
        <v>23</v>
      </c>
    </row>
    <row r="1781" ht="15.75" customHeight="1">
      <c r="B1781" s="48">
        <v>3.582977E7</v>
      </c>
      <c r="C1781" s="80" t="s">
        <v>4177</v>
      </c>
      <c r="D1781" s="140" t="s">
        <v>636</v>
      </c>
      <c r="E1781" s="80" t="s">
        <v>3044</v>
      </c>
      <c r="F1781" s="80">
        <v>86.09634271</v>
      </c>
      <c r="G1781" s="142">
        <v>7.233322652</v>
      </c>
      <c r="H1781" s="143"/>
      <c r="I1781" s="143"/>
      <c r="J1781" s="143"/>
      <c r="K1781" s="143"/>
      <c r="L1781" s="143"/>
      <c r="M1781" s="143"/>
      <c r="N1781" s="80" t="s">
        <v>3045</v>
      </c>
      <c r="O1781" s="80" t="s">
        <v>3046</v>
      </c>
      <c r="P1781" s="80" t="s">
        <v>3996</v>
      </c>
      <c r="Y1781" s="2" t="s">
        <v>23</v>
      </c>
    </row>
    <row r="1782" ht="15.75" customHeight="1">
      <c r="B1782" s="48">
        <v>3.582977E7</v>
      </c>
      <c r="C1782" s="80" t="s">
        <v>4177</v>
      </c>
      <c r="D1782" s="140" t="s">
        <v>636</v>
      </c>
      <c r="E1782" s="80" t="s">
        <v>3044</v>
      </c>
      <c r="F1782" s="80">
        <v>86.09633569</v>
      </c>
      <c r="G1782" s="142">
        <v>4.895774078</v>
      </c>
      <c r="H1782" s="143"/>
      <c r="I1782" s="143"/>
      <c r="J1782" s="143"/>
      <c r="K1782" s="143"/>
      <c r="L1782" s="143"/>
      <c r="M1782" s="143"/>
      <c r="N1782" s="80" t="s">
        <v>3045</v>
      </c>
      <c r="O1782" s="80" t="s">
        <v>3046</v>
      </c>
      <c r="P1782" s="80" t="s">
        <v>3996</v>
      </c>
      <c r="Y1782" s="2" t="s">
        <v>23</v>
      </c>
    </row>
    <row r="1783" ht="15.75" customHeight="1">
      <c r="B1783" s="48">
        <v>3.582977E7</v>
      </c>
      <c r="C1783" s="80" t="s">
        <v>4177</v>
      </c>
      <c r="D1783" s="140" t="s">
        <v>636</v>
      </c>
      <c r="E1783" s="80" t="s">
        <v>4480</v>
      </c>
      <c r="F1783" s="80">
        <v>104.0704811</v>
      </c>
      <c r="G1783" s="142">
        <v>8.991985067</v>
      </c>
      <c r="H1783" s="143"/>
      <c r="I1783" s="143"/>
      <c r="J1783" s="143"/>
      <c r="K1783" s="143"/>
      <c r="L1783" s="143"/>
      <c r="M1783" s="143"/>
      <c r="N1783" s="80" t="s">
        <v>1078</v>
      </c>
      <c r="O1783" s="80" t="s">
        <v>4481</v>
      </c>
      <c r="P1783" s="80" t="s">
        <v>4482</v>
      </c>
      <c r="Y1783" s="2" t="s">
        <v>23</v>
      </c>
    </row>
    <row r="1784" ht="15.75" customHeight="1">
      <c r="B1784" s="48">
        <v>3.582977E7</v>
      </c>
      <c r="C1784" s="80" t="s">
        <v>4177</v>
      </c>
      <c r="D1784" s="140" t="s">
        <v>636</v>
      </c>
      <c r="E1784" s="80" t="s">
        <v>4480</v>
      </c>
      <c r="F1784" s="80">
        <v>104.0705116</v>
      </c>
      <c r="G1784" s="142">
        <v>8.499874878</v>
      </c>
      <c r="H1784" s="143"/>
      <c r="I1784" s="143"/>
      <c r="J1784" s="143"/>
      <c r="K1784" s="143"/>
      <c r="L1784" s="143"/>
      <c r="M1784" s="143"/>
      <c r="N1784" s="80" t="s">
        <v>1078</v>
      </c>
      <c r="O1784" s="80" t="s">
        <v>4481</v>
      </c>
      <c r="P1784" s="80" t="s">
        <v>4482</v>
      </c>
      <c r="Y1784" s="2" t="s">
        <v>23</v>
      </c>
    </row>
    <row r="1785" ht="15.75" customHeight="1">
      <c r="B1785" s="48">
        <v>3.582977E7</v>
      </c>
      <c r="C1785" s="80" t="s">
        <v>4177</v>
      </c>
      <c r="D1785" s="140" t="s">
        <v>636</v>
      </c>
      <c r="E1785" s="80" t="s">
        <v>4450</v>
      </c>
      <c r="F1785" s="80">
        <v>106.0497826</v>
      </c>
      <c r="G1785" s="142">
        <v>10.64855754</v>
      </c>
      <c r="H1785" s="143"/>
      <c r="I1785" s="143"/>
      <c r="J1785" s="143"/>
      <c r="K1785" s="143"/>
      <c r="L1785" s="143"/>
      <c r="M1785" s="143"/>
      <c r="N1785" s="80" t="s">
        <v>3190</v>
      </c>
      <c r="O1785" s="80" t="s">
        <v>4451</v>
      </c>
      <c r="P1785" s="80" t="s">
        <v>4452</v>
      </c>
      <c r="Y1785" s="2" t="s">
        <v>23</v>
      </c>
    </row>
    <row r="1786" ht="15.75" customHeight="1">
      <c r="B1786" s="48">
        <v>3.582977E7</v>
      </c>
      <c r="C1786" s="80" t="s">
        <v>4177</v>
      </c>
      <c r="D1786" s="140" t="s">
        <v>636</v>
      </c>
      <c r="E1786" s="80" t="s">
        <v>3561</v>
      </c>
      <c r="F1786" s="80">
        <v>118.0860451</v>
      </c>
      <c r="G1786" s="142">
        <v>6.869437154</v>
      </c>
      <c r="H1786" s="143"/>
      <c r="I1786" s="143"/>
      <c r="J1786" s="143"/>
      <c r="K1786" s="143"/>
      <c r="L1786" s="143"/>
      <c r="M1786" s="143"/>
      <c r="N1786" s="80" t="s">
        <v>1324</v>
      </c>
      <c r="O1786" s="80" t="s">
        <v>4440</v>
      </c>
      <c r="P1786" s="80" t="s">
        <v>4441</v>
      </c>
      <c r="Y1786" s="2" t="s">
        <v>23</v>
      </c>
    </row>
    <row r="1787" ht="15.75" customHeight="1">
      <c r="B1787" s="48">
        <v>3.582977E7</v>
      </c>
      <c r="C1787" s="80" t="s">
        <v>4177</v>
      </c>
      <c r="D1787" s="140" t="s">
        <v>636</v>
      </c>
      <c r="E1787" s="80" t="s">
        <v>4453</v>
      </c>
      <c r="F1787" s="80">
        <v>120.0654171</v>
      </c>
      <c r="G1787" s="142">
        <v>9.576372274</v>
      </c>
      <c r="H1787" s="143"/>
      <c r="I1787" s="143"/>
      <c r="J1787" s="143"/>
      <c r="K1787" s="143"/>
      <c r="L1787" s="143"/>
      <c r="M1787" s="143"/>
      <c r="N1787" s="80" t="s">
        <v>1017</v>
      </c>
      <c r="O1787" s="80" t="s">
        <v>4454</v>
      </c>
      <c r="P1787" s="80" t="s">
        <v>4455</v>
      </c>
      <c r="Y1787" s="2" t="s">
        <v>23</v>
      </c>
    </row>
    <row r="1788" ht="15.75" customHeight="1">
      <c r="B1788" s="48">
        <v>3.582977E7</v>
      </c>
      <c r="C1788" s="80" t="s">
        <v>4177</v>
      </c>
      <c r="D1788" s="140" t="s">
        <v>636</v>
      </c>
      <c r="E1788" s="80" t="s">
        <v>4195</v>
      </c>
      <c r="F1788" s="80">
        <v>123.055135</v>
      </c>
      <c r="G1788" s="142">
        <v>2.453264618</v>
      </c>
      <c r="H1788" s="143"/>
      <c r="I1788" s="143"/>
      <c r="J1788" s="143"/>
      <c r="K1788" s="143"/>
      <c r="L1788" s="143"/>
      <c r="M1788" s="143"/>
      <c r="N1788" s="80" t="s">
        <v>2732</v>
      </c>
      <c r="O1788" s="80" t="s">
        <v>4442</v>
      </c>
      <c r="P1788" s="80" t="s">
        <v>4197</v>
      </c>
      <c r="Y1788" s="2" t="s">
        <v>23</v>
      </c>
    </row>
    <row r="1789" ht="15.75" customHeight="1">
      <c r="B1789" s="48">
        <v>3.582977E7</v>
      </c>
      <c r="C1789" s="80" t="s">
        <v>4177</v>
      </c>
      <c r="D1789" s="140" t="s">
        <v>636</v>
      </c>
      <c r="E1789" s="80" t="s">
        <v>380</v>
      </c>
      <c r="F1789" s="80">
        <v>126.0218329</v>
      </c>
      <c r="G1789" s="142">
        <v>10.08154399</v>
      </c>
      <c r="H1789" s="143"/>
      <c r="I1789" s="143"/>
      <c r="J1789" s="143"/>
      <c r="K1789" s="143"/>
      <c r="L1789" s="143"/>
      <c r="M1789" s="143"/>
      <c r="N1789" s="80" t="s">
        <v>3300</v>
      </c>
      <c r="O1789" s="80" t="s">
        <v>4315</v>
      </c>
      <c r="P1789" s="80" t="s">
        <v>4199</v>
      </c>
      <c r="Y1789" s="2" t="s">
        <v>23</v>
      </c>
    </row>
    <row r="1790" ht="15.75" customHeight="1">
      <c r="B1790" s="48">
        <v>3.582977E7</v>
      </c>
      <c r="C1790" s="80" t="s">
        <v>4177</v>
      </c>
      <c r="D1790" s="140" t="s">
        <v>636</v>
      </c>
      <c r="E1790" s="80" t="s">
        <v>4483</v>
      </c>
      <c r="F1790" s="80">
        <v>132.1017713</v>
      </c>
      <c r="G1790" s="142">
        <v>4.893104045</v>
      </c>
      <c r="H1790" s="143"/>
      <c r="I1790" s="143"/>
      <c r="J1790" s="143"/>
      <c r="K1790" s="143"/>
      <c r="L1790" s="143"/>
      <c r="M1790" s="143"/>
      <c r="N1790" s="80" t="s">
        <v>2272</v>
      </c>
      <c r="O1790" s="80" t="s">
        <v>4484</v>
      </c>
      <c r="P1790" s="80" t="s">
        <v>4485</v>
      </c>
      <c r="Y1790" s="2" t="s">
        <v>23</v>
      </c>
    </row>
    <row r="1791" ht="15.75" customHeight="1">
      <c r="B1791" s="48">
        <v>3.582977E7</v>
      </c>
      <c r="C1791" s="80" t="s">
        <v>4177</v>
      </c>
      <c r="D1791" s="140" t="s">
        <v>636</v>
      </c>
      <c r="E1791" s="80" t="s">
        <v>4327</v>
      </c>
      <c r="F1791" s="80">
        <v>137.0456614</v>
      </c>
      <c r="G1791" s="142">
        <v>4.076954397</v>
      </c>
      <c r="H1791" s="143"/>
      <c r="I1791" s="143"/>
      <c r="J1791" s="143"/>
      <c r="K1791" s="143"/>
      <c r="L1791" s="143"/>
      <c r="M1791" s="143"/>
      <c r="N1791" s="80" t="s">
        <v>2220</v>
      </c>
      <c r="O1791" s="80" t="s">
        <v>4328</v>
      </c>
      <c r="P1791" s="80" t="s">
        <v>4329</v>
      </c>
      <c r="Y1791" s="2" t="s">
        <v>23</v>
      </c>
    </row>
    <row r="1792" ht="15.75" customHeight="1">
      <c r="B1792" s="48">
        <v>3.582977E7</v>
      </c>
      <c r="C1792" s="80" t="s">
        <v>4177</v>
      </c>
      <c r="D1792" s="140" t="s">
        <v>636</v>
      </c>
      <c r="E1792" s="80" t="s">
        <v>3529</v>
      </c>
      <c r="F1792" s="80">
        <v>147.0763018</v>
      </c>
      <c r="G1792" s="142">
        <v>10.64855754</v>
      </c>
      <c r="H1792" s="143"/>
      <c r="I1792" s="143"/>
      <c r="J1792" s="143"/>
      <c r="K1792" s="143"/>
      <c r="L1792" s="143"/>
      <c r="M1792" s="143"/>
      <c r="N1792" s="80" t="s">
        <v>1211</v>
      </c>
      <c r="O1792" s="80" t="s">
        <v>4291</v>
      </c>
      <c r="P1792" s="80" t="s">
        <v>3916</v>
      </c>
      <c r="Y1792" s="2" t="s">
        <v>23</v>
      </c>
    </row>
    <row r="1793" ht="15.75" customHeight="1">
      <c r="B1793" s="48">
        <v>3.582977E7</v>
      </c>
      <c r="C1793" s="80" t="s">
        <v>4177</v>
      </c>
      <c r="D1793" s="140" t="s">
        <v>636</v>
      </c>
      <c r="E1793" s="80" t="s">
        <v>3528</v>
      </c>
      <c r="F1793" s="80">
        <v>148.0602929</v>
      </c>
      <c r="G1793" s="142">
        <v>11.52445961</v>
      </c>
      <c r="H1793" s="143"/>
      <c r="I1793" s="143"/>
      <c r="J1793" s="143"/>
      <c r="K1793" s="143"/>
      <c r="L1793" s="143"/>
      <c r="M1793" s="143"/>
      <c r="N1793" s="80" t="s">
        <v>2032</v>
      </c>
      <c r="O1793" s="80" t="s">
        <v>4292</v>
      </c>
      <c r="P1793" s="80" t="s">
        <v>4232</v>
      </c>
      <c r="Y1793" s="2" t="s">
        <v>23</v>
      </c>
    </row>
    <row r="1794" ht="15.75" customHeight="1">
      <c r="B1794" s="48">
        <v>3.582977E7</v>
      </c>
      <c r="C1794" s="80" t="s">
        <v>4177</v>
      </c>
      <c r="D1794" s="140" t="s">
        <v>636</v>
      </c>
      <c r="E1794" s="80" t="s">
        <v>4334</v>
      </c>
      <c r="F1794" s="80">
        <v>150.0582308</v>
      </c>
      <c r="G1794" s="142">
        <v>6.286570721</v>
      </c>
      <c r="H1794" s="143"/>
      <c r="I1794" s="143"/>
      <c r="J1794" s="143"/>
      <c r="K1794" s="143"/>
      <c r="L1794" s="143"/>
      <c r="M1794" s="143"/>
      <c r="N1794" s="80" t="s">
        <v>2444</v>
      </c>
      <c r="O1794" s="80" t="s">
        <v>4335</v>
      </c>
      <c r="P1794" s="80" t="s">
        <v>4336</v>
      </c>
      <c r="Y1794" s="2" t="s">
        <v>23</v>
      </c>
    </row>
    <row r="1795" ht="15.75" customHeight="1">
      <c r="B1795" s="48">
        <v>3.582977E7</v>
      </c>
      <c r="C1795" s="80" t="s">
        <v>4177</v>
      </c>
      <c r="D1795" s="140" t="s">
        <v>636</v>
      </c>
      <c r="E1795" s="80" t="s">
        <v>4139</v>
      </c>
      <c r="F1795" s="80">
        <v>152.14319</v>
      </c>
      <c r="G1795" s="142">
        <v>7.077831014</v>
      </c>
      <c r="H1795" s="143"/>
      <c r="I1795" s="143"/>
      <c r="J1795" s="143"/>
      <c r="K1795" s="143"/>
      <c r="L1795" s="143"/>
      <c r="M1795" s="143"/>
      <c r="N1795" s="80" t="s">
        <v>4140</v>
      </c>
      <c r="O1795" s="80" t="s">
        <v>4337</v>
      </c>
      <c r="P1795" s="80" t="s">
        <v>4142</v>
      </c>
      <c r="Y1795" s="2" t="s">
        <v>23</v>
      </c>
    </row>
    <row r="1796" ht="15.75" customHeight="1">
      <c r="B1796" s="48">
        <v>3.582977E7</v>
      </c>
      <c r="C1796" s="80" t="s">
        <v>4177</v>
      </c>
      <c r="D1796" s="140" t="s">
        <v>636</v>
      </c>
      <c r="E1796" s="80" t="s">
        <v>3531</v>
      </c>
      <c r="F1796" s="80">
        <v>156.0766513</v>
      </c>
      <c r="G1796" s="142">
        <v>10.03189087</v>
      </c>
      <c r="H1796" s="143"/>
      <c r="I1796" s="143"/>
      <c r="J1796" s="143"/>
      <c r="K1796" s="143"/>
      <c r="L1796" s="143"/>
      <c r="M1796" s="143"/>
      <c r="N1796" s="80" t="s">
        <v>2182</v>
      </c>
      <c r="O1796" s="80" t="s">
        <v>4295</v>
      </c>
      <c r="P1796" s="80" t="s">
        <v>4234</v>
      </c>
      <c r="Y1796" s="2" t="s">
        <v>23</v>
      </c>
    </row>
    <row r="1797" ht="15.75" customHeight="1">
      <c r="B1797" s="48">
        <v>3.582977E7</v>
      </c>
      <c r="C1797" s="80" t="s">
        <v>4177</v>
      </c>
      <c r="D1797" s="140" t="s">
        <v>636</v>
      </c>
      <c r="E1797" s="80" t="s">
        <v>3531</v>
      </c>
      <c r="F1797" s="80">
        <v>156.0766634</v>
      </c>
      <c r="G1797" s="142">
        <v>11.47378082</v>
      </c>
      <c r="H1797" s="143"/>
      <c r="I1797" s="143"/>
      <c r="J1797" s="143"/>
      <c r="K1797" s="143"/>
      <c r="L1797" s="143"/>
      <c r="M1797" s="143"/>
      <c r="N1797" s="80" t="s">
        <v>2182</v>
      </c>
      <c r="O1797" s="80" t="s">
        <v>4295</v>
      </c>
      <c r="P1797" s="80" t="s">
        <v>4234</v>
      </c>
      <c r="Y1797" s="2" t="s">
        <v>23</v>
      </c>
    </row>
    <row r="1798" ht="15.75" customHeight="1">
      <c r="B1798" s="48">
        <v>3.582977E7</v>
      </c>
      <c r="C1798" s="80" t="s">
        <v>4177</v>
      </c>
      <c r="D1798" s="140" t="s">
        <v>636</v>
      </c>
      <c r="E1798" s="80" t="s">
        <v>3531</v>
      </c>
      <c r="F1798" s="80">
        <v>156.0766262</v>
      </c>
      <c r="G1798" s="142">
        <v>6.040583293</v>
      </c>
      <c r="H1798" s="143"/>
      <c r="I1798" s="143"/>
      <c r="J1798" s="143"/>
      <c r="K1798" s="143"/>
      <c r="L1798" s="143"/>
      <c r="M1798" s="143"/>
      <c r="N1798" s="80" t="s">
        <v>2182</v>
      </c>
      <c r="O1798" s="80" t="s">
        <v>4295</v>
      </c>
      <c r="P1798" s="80" t="s">
        <v>4234</v>
      </c>
      <c r="Y1798" s="2" t="s">
        <v>23</v>
      </c>
    </row>
    <row r="1799" ht="15.75" customHeight="1">
      <c r="B1799" s="48">
        <v>3.582977E7</v>
      </c>
      <c r="C1799" s="80" t="s">
        <v>4177</v>
      </c>
      <c r="D1799" s="140" t="s">
        <v>636</v>
      </c>
      <c r="E1799" s="80" t="s">
        <v>4459</v>
      </c>
      <c r="F1799" s="80">
        <v>166.0861176</v>
      </c>
      <c r="G1799" s="142">
        <v>4.796656291</v>
      </c>
      <c r="H1799" s="143"/>
      <c r="I1799" s="143"/>
      <c r="J1799" s="143"/>
      <c r="K1799" s="143"/>
      <c r="L1799" s="143"/>
      <c r="M1799" s="143"/>
      <c r="N1799" s="80" t="s">
        <v>2983</v>
      </c>
      <c r="O1799" s="80" t="s">
        <v>4460</v>
      </c>
      <c r="P1799" s="80" t="s">
        <v>4461</v>
      </c>
      <c r="Y1799" s="2" t="s">
        <v>23</v>
      </c>
    </row>
    <row r="1800" ht="15.75" customHeight="1">
      <c r="B1800" s="48">
        <v>3.582977E7</v>
      </c>
      <c r="C1800" s="80" t="s">
        <v>4177</v>
      </c>
      <c r="D1800" s="140" t="s">
        <v>636</v>
      </c>
      <c r="E1800" s="80" t="s">
        <v>4462</v>
      </c>
      <c r="F1800" s="80">
        <v>170.0922552</v>
      </c>
      <c r="G1800" s="142">
        <v>9.075358073</v>
      </c>
      <c r="H1800" s="143"/>
      <c r="I1800" s="143"/>
      <c r="J1800" s="143"/>
      <c r="K1800" s="143"/>
      <c r="L1800" s="143"/>
      <c r="M1800" s="143"/>
      <c r="N1800" s="80" t="s">
        <v>761</v>
      </c>
      <c r="O1800" s="80" t="s">
        <v>4463</v>
      </c>
      <c r="P1800" s="80" t="s">
        <v>4464</v>
      </c>
      <c r="Y1800" s="2" t="s">
        <v>23</v>
      </c>
    </row>
    <row r="1801" ht="15.75" customHeight="1">
      <c r="B1801" s="48">
        <v>3.582977E7</v>
      </c>
      <c r="C1801" s="80" t="s">
        <v>4177</v>
      </c>
      <c r="D1801" s="140" t="s">
        <v>636</v>
      </c>
      <c r="E1801" s="80" t="s">
        <v>4465</v>
      </c>
      <c r="F1801" s="80">
        <v>172.1330531</v>
      </c>
      <c r="G1801" s="142">
        <v>1.735318756</v>
      </c>
      <c r="H1801" s="143"/>
      <c r="I1801" s="143"/>
      <c r="J1801" s="143"/>
      <c r="K1801" s="143"/>
      <c r="L1801" s="143"/>
      <c r="M1801" s="143"/>
      <c r="N1801" s="80" t="s">
        <v>4466</v>
      </c>
      <c r="O1801" s="80" t="s">
        <v>4467</v>
      </c>
      <c r="P1801" s="80" t="s">
        <v>4468</v>
      </c>
      <c r="Y1801" s="2" t="s">
        <v>23</v>
      </c>
    </row>
    <row r="1802" ht="15.75" customHeight="1">
      <c r="B1802" s="48">
        <v>3.582977E7</v>
      </c>
      <c r="C1802" s="80" t="s">
        <v>4177</v>
      </c>
      <c r="D1802" s="140" t="s">
        <v>636</v>
      </c>
      <c r="E1802" s="80" t="s">
        <v>4241</v>
      </c>
      <c r="F1802" s="80">
        <v>175.118841</v>
      </c>
      <c r="G1802" s="142">
        <v>12.98966166</v>
      </c>
      <c r="H1802" s="143"/>
      <c r="I1802" s="143"/>
      <c r="J1802" s="143"/>
      <c r="K1802" s="143"/>
      <c r="L1802" s="143"/>
      <c r="M1802" s="143"/>
      <c r="N1802" s="80" t="s">
        <v>1526</v>
      </c>
      <c r="O1802" s="80" t="s">
        <v>4296</v>
      </c>
      <c r="P1802" s="80" t="s">
        <v>3924</v>
      </c>
      <c r="Y1802" s="2" t="s">
        <v>23</v>
      </c>
    </row>
    <row r="1803" ht="15.75" customHeight="1">
      <c r="B1803" s="48">
        <v>3.582977E7</v>
      </c>
      <c r="C1803" s="80" t="s">
        <v>4177</v>
      </c>
      <c r="D1803" s="140" t="s">
        <v>636</v>
      </c>
      <c r="E1803" s="80" t="s">
        <v>4488</v>
      </c>
      <c r="F1803" s="80">
        <v>180.0864551</v>
      </c>
      <c r="G1803" s="142">
        <v>9.150312297</v>
      </c>
      <c r="H1803" s="143"/>
      <c r="I1803" s="143"/>
      <c r="J1803" s="143"/>
      <c r="K1803" s="143"/>
      <c r="L1803" s="143"/>
      <c r="M1803" s="143"/>
      <c r="N1803" s="80" t="s">
        <v>4471</v>
      </c>
      <c r="O1803" s="80" t="s">
        <v>4489</v>
      </c>
      <c r="P1803" s="80" t="s">
        <v>4490</v>
      </c>
      <c r="Y1803" s="2" t="s">
        <v>23</v>
      </c>
    </row>
    <row r="1804" ht="15.75" customHeight="1">
      <c r="B1804" s="48">
        <v>3.582977E7</v>
      </c>
      <c r="C1804" s="80" t="s">
        <v>4177</v>
      </c>
      <c r="D1804" s="140" t="s">
        <v>636</v>
      </c>
      <c r="E1804" s="80" t="s">
        <v>3558</v>
      </c>
      <c r="F1804" s="80">
        <v>182.081128</v>
      </c>
      <c r="G1804" s="142">
        <v>8.485574849</v>
      </c>
      <c r="H1804" s="143"/>
      <c r="I1804" s="143"/>
      <c r="J1804" s="143"/>
      <c r="K1804" s="143"/>
      <c r="L1804" s="143"/>
      <c r="M1804" s="143"/>
      <c r="N1804" s="80" t="s">
        <v>2900</v>
      </c>
      <c r="O1804" s="80" t="s">
        <v>4491</v>
      </c>
      <c r="P1804" s="80" t="s">
        <v>4492</v>
      </c>
      <c r="Y1804" s="2" t="s">
        <v>23</v>
      </c>
    </row>
    <row r="1805" ht="15.75" customHeight="1">
      <c r="B1805" s="48">
        <v>3.582977E7</v>
      </c>
      <c r="C1805" s="80" t="s">
        <v>4177</v>
      </c>
      <c r="D1805" s="140" t="s">
        <v>636</v>
      </c>
      <c r="E1805" s="80" t="s">
        <v>3557</v>
      </c>
      <c r="F1805" s="80">
        <v>205.0970159</v>
      </c>
      <c r="G1805" s="142">
        <v>6.198456319</v>
      </c>
      <c r="H1805" s="143"/>
      <c r="I1805" s="143"/>
      <c r="J1805" s="143"/>
      <c r="K1805" s="143"/>
      <c r="L1805" s="143"/>
      <c r="M1805" s="143"/>
      <c r="N1805" s="80" t="s">
        <v>3394</v>
      </c>
      <c r="O1805" s="80" t="s">
        <v>4493</v>
      </c>
      <c r="P1805" s="80" t="s">
        <v>4081</v>
      </c>
      <c r="Y1805" s="2" t="s">
        <v>23</v>
      </c>
    </row>
    <row r="1806" ht="15.75" customHeight="1">
      <c r="B1806" s="48">
        <v>3.582977E7</v>
      </c>
      <c r="C1806" s="80" t="s">
        <v>4177</v>
      </c>
      <c r="D1806" s="140" t="s">
        <v>636</v>
      </c>
      <c r="E1806" s="80" t="s">
        <v>4354</v>
      </c>
      <c r="F1806" s="80">
        <v>241.0307594</v>
      </c>
      <c r="G1806" s="142">
        <v>12.13222656</v>
      </c>
      <c r="H1806" s="143"/>
      <c r="I1806" s="143"/>
      <c r="J1806" s="143"/>
      <c r="K1806" s="143"/>
      <c r="L1806" s="143"/>
      <c r="M1806" s="143"/>
      <c r="N1806" s="80" t="s">
        <v>1747</v>
      </c>
      <c r="O1806" s="80" t="s">
        <v>4355</v>
      </c>
      <c r="P1806" s="80" t="s">
        <v>4356</v>
      </c>
      <c r="Y1806" s="2" t="s">
        <v>23</v>
      </c>
    </row>
    <row r="1807" ht="15.75" customHeight="1">
      <c r="B1807" s="48">
        <v>3.582977E7</v>
      </c>
      <c r="C1807" s="80" t="s">
        <v>4177</v>
      </c>
      <c r="D1807" s="140" t="s">
        <v>636</v>
      </c>
      <c r="E1807" s="80" t="s">
        <v>4376</v>
      </c>
      <c r="F1807" s="80">
        <v>260.1639938</v>
      </c>
      <c r="G1807" s="142">
        <v>2.3741625</v>
      </c>
      <c r="H1807" s="143"/>
      <c r="I1807" s="143"/>
      <c r="J1807" s="143"/>
      <c r="K1807" s="143"/>
      <c r="L1807" s="143"/>
      <c r="M1807" s="143"/>
      <c r="N1807" s="80" t="s">
        <v>4358</v>
      </c>
      <c r="O1807" s="80" t="s">
        <v>4359</v>
      </c>
      <c r="P1807" s="80" t="s">
        <v>4360</v>
      </c>
      <c r="Y1807" s="2" t="s">
        <v>23</v>
      </c>
    </row>
    <row r="1808" ht="15.75" customHeight="1">
      <c r="B1808" s="48">
        <v>3.582977E7</v>
      </c>
      <c r="C1808" s="80" t="s">
        <v>4177</v>
      </c>
      <c r="D1808" s="140" t="s">
        <v>636</v>
      </c>
      <c r="E1808" s="80" t="s">
        <v>4364</v>
      </c>
      <c r="F1808" s="80">
        <v>76.07562707</v>
      </c>
      <c r="G1808" s="142">
        <v>4.214683278</v>
      </c>
      <c r="H1808" s="143"/>
      <c r="I1808" s="143"/>
      <c r="J1808" s="143"/>
      <c r="K1808" s="143"/>
      <c r="L1808" s="143"/>
      <c r="M1808" s="143"/>
      <c r="N1808" s="80" t="s">
        <v>3385</v>
      </c>
      <c r="O1808" s="80" t="s">
        <v>4314</v>
      </c>
      <c r="P1808" s="80" t="s">
        <v>4131</v>
      </c>
      <c r="Y1808" s="2" t="s">
        <v>23</v>
      </c>
    </row>
    <row r="1809" ht="15.75" customHeight="1">
      <c r="B1809" s="48">
        <v>3.582977E7</v>
      </c>
      <c r="C1809" s="80" t="s">
        <v>4177</v>
      </c>
      <c r="D1809" s="140" t="s">
        <v>636</v>
      </c>
      <c r="E1809" s="80" t="s">
        <v>3995</v>
      </c>
      <c r="F1809" s="80">
        <v>86.09634271</v>
      </c>
      <c r="G1809" s="142">
        <v>7.233322652</v>
      </c>
      <c r="H1809" s="143"/>
      <c r="I1809" s="143"/>
      <c r="J1809" s="143"/>
      <c r="K1809" s="143"/>
      <c r="L1809" s="143"/>
      <c r="M1809" s="143"/>
      <c r="N1809" s="80" t="s">
        <v>3045</v>
      </c>
      <c r="O1809" s="80" t="s">
        <v>3046</v>
      </c>
      <c r="P1809" s="80" t="s">
        <v>3996</v>
      </c>
      <c r="Y1809" s="2" t="s">
        <v>23</v>
      </c>
    </row>
    <row r="1810" ht="15.75" customHeight="1">
      <c r="B1810" s="48">
        <v>3.582977E7</v>
      </c>
      <c r="C1810" s="80" t="s">
        <v>4177</v>
      </c>
      <c r="D1810" s="140" t="s">
        <v>636</v>
      </c>
      <c r="E1810" s="80" t="s">
        <v>3995</v>
      </c>
      <c r="F1810" s="80">
        <v>86.09633569</v>
      </c>
      <c r="G1810" s="142">
        <v>4.895774078</v>
      </c>
      <c r="H1810" s="143"/>
      <c r="I1810" s="143"/>
      <c r="J1810" s="143"/>
      <c r="K1810" s="143"/>
      <c r="L1810" s="143"/>
      <c r="M1810" s="143"/>
      <c r="N1810" s="80" t="s">
        <v>3045</v>
      </c>
      <c r="O1810" s="80" t="s">
        <v>3046</v>
      </c>
      <c r="P1810" s="80" t="s">
        <v>3996</v>
      </c>
      <c r="Y1810" s="2" t="s">
        <v>23</v>
      </c>
    </row>
    <row r="1811" ht="15.75" customHeight="1">
      <c r="B1811" s="48">
        <v>3.582977E7</v>
      </c>
      <c r="C1811" s="80" t="s">
        <v>4177</v>
      </c>
      <c r="D1811" s="140" t="s">
        <v>636</v>
      </c>
      <c r="E1811" s="80" t="s">
        <v>4494</v>
      </c>
      <c r="F1811" s="80">
        <v>102.0548685</v>
      </c>
      <c r="G1811" s="142">
        <v>9.568754069</v>
      </c>
      <c r="H1811" s="143"/>
      <c r="I1811" s="143"/>
      <c r="J1811" s="143"/>
      <c r="K1811" s="143"/>
      <c r="L1811" s="143"/>
      <c r="M1811" s="143"/>
      <c r="N1811" s="80" t="s">
        <v>4444</v>
      </c>
      <c r="O1811" s="80" t="s">
        <v>4445</v>
      </c>
      <c r="P1811" s="80" t="s">
        <v>4446</v>
      </c>
      <c r="Y1811" s="2" t="s">
        <v>23</v>
      </c>
    </row>
    <row r="1812" ht="15.75" customHeight="1">
      <c r="B1812" s="48">
        <v>3.582977E7</v>
      </c>
      <c r="C1812" s="80" t="s">
        <v>4177</v>
      </c>
      <c r="D1812" s="140" t="s">
        <v>636</v>
      </c>
      <c r="E1812" s="80" t="s">
        <v>4494</v>
      </c>
      <c r="F1812" s="80">
        <v>102.0547173</v>
      </c>
      <c r="G1812" s="142">
        <v>11.75814819</v>
      </c>
      <c r="H1812" s="143"/>
      <c r="I1812" s="143"/>
      <c r="J1812" s="143"/>
      <c r="K1812" s="143"/>
      <c r="L1812" s="143"/>
      <c r="M1812" s="143"/>
      <c r="N1812" s="80" t="s">
        <v>4444</v>
      </c>
      <c r="O1812" s="80" t="s">
        <v>4445</v>
      </c>
      <c r="P1812" s="80" t="s">
        <v>4446</v>
      </c>
      <c r="Y1812" s="2" t="s">
        <v>23</v>
      </c>
    </row>
    <row r="1813" ht="15.75" customHeight="1">
      <c r="B1813" s="48">
        <v>3.582977E7</v>
      </c>
      <c r="C1813" s="80" t="s">
        <v>4177</v>
      </c>
      <c r="D1813" s="140" t="s">
        <v>636</v>
      </c>
      <c r="E1813" s="80" t="s">
        <v>4495</v>
      </c>
      <c r="F1813" s="80">
        <v>104.0705024</v>
      </c>
      <c r="G1813" s="142">
        <v>6.142877197</v>
      </c>
      <c r="H1813" s="143"/>
      <c r="I1813" s="143"/>
      <c r="J1813" s="143"/>
      <c r="K1813" s="143"/>
      <c r="L1813" s="143"/>
      <c r="M1813" s="143"/>
      <c r="N1813" s="80" t="s">
        <v>1078</v>
      </c>
      <c r="O1813" s="80" t="s">
        <v>4448</v>
      </c>
      <c r="P1813" s="80" t="s">
        <v>4449</v>
      </c>
      <c r="Y1813" s="2" t="s">
        <v>23</v>
      </c>
    </row>
    <row r="1814" ht="15.75" customHeight="1">
      <c r="B1814" s="48">
        <v>3.582977E7</v>
      </c>
      <c r="C1814" s="80" t="s">
        <v>4177</v>
      </c>
      <c r="D1814" s="140" t="s">
        <v>636</v>
      </c>
      <c r="E1814" s="80" t="s">
        <v>4495</v>
      </c>
      <c r="F1814" s="80">
        <v>104.0704811</v>
      </c>
      <c r="G1814" s="142">
        <v>8.991985067</v>
      </c>
      <c r="H1814" s="143"/>
      <c r="I1814" s="143"/>
      <c r="J1814" s="143"/>
      <c r="K1814" s="143"/>
      <c r="L1814" s="143"/>
      <c r="M1814" s="143"/>
      <c r="N1814" s="80" t="s">
        <v>1078</v>
      </c>
      <c r="O1814" s="80" t="s">
        <v>4448</v>
      </c>
      <c r="P1814" s="80" t="s">
        <v>4449</v>
      </c>
      <c r="Y1814" s="2" t="s">
        <v>23</v>
      </c>
    </row>
    <row r="1815" ht="15.75" customHeight="1">
      <c r="B1815" s="48">
        <v>3.582977E7</v>
      </c>
      <c r="C1815" s="80" t="s">
        <v>4177</v>
      </c>
      <c r="D1815" s="140" t="s">
        <v>636</v>
      </c>
      <c r="E1815" s="80" t="s">
        <v>4495</v>
      </c>
      <c r="F1815" s="80">
        <v>104.0705116</v>
      </c>
      <c r="G1815" s="142">
        <v>8.499874878</v>
      </c>
      <c r="H1815" s="143"/>
      <c r="I1815" s="143"/>
      <c r="J1815" s="143"/>
      <c r="K1815" s="143"/>
      <c r="L1815" s="143"/>
      <c r="M1815" s="143"/>
      <c r="N1815" s="80" t="s">
        <v>1078</v>
      </c>
      <c r="O1815" s="80" t="s">
        <v>4448</v>
      </c>
      <c r="P1815" s="80" t="s">
        <v>4449</v>
      </c>
      <c r="Y1815" s="2" t="s">
        <v>23</v>
      </c>
    </row>
    <row r="1816" ht="15.75" customHeight="1">
      <c r="B1816" s="48">
        <v>3.582977E7</v>
      </c>
      <c r="C1816" s="80" t="s">
        <v>4177</v>
      </c>
      <c r="D1816" s="140" t="s">
        <v>636</v>
      </c>
      <c r="E1816" s="80" t="s">
        <v>4496</v>
      </c>
      <c r="F1816" s="80">
        <v>106.0497826</v>
      </c>
      <c r="G1816" s="142">
        <v>10.64855754</v>
      </c>
      <c r="H1816" s="143"/>
      <c r="I1816" s="143"/>
      <c r="J1816" s="143"/>
      <c r="K1816" s="143"/>
      <c r="L1816" s="143"/>
      <c r="M1816" s="143"/>
      <c r="N1816" s="80" t="s">
        <v>3190</v>
      </c>
      <c r="O1816" s="80" t="s">
        <v>4451</v>
      </c>
      <c r="P1816" s="80" t="s">
        <v>4452</v>
      </c>
      <c r="Y1816" s="2" t="s">
        <v>23</v>
      </c>
    </row>
    <row r="1817" ht="15.75" customHeight="1">
      <c r="B1817" s="48">
        <v>3.582977E7</v>
      </c>
      <c r="C1817" s="80" t="s">
        <v>4177</v>
      </c>
      <c r="D1817" s="140" t="s">
        <v>636</v>
      </c>
      <c r="E1817" s="80" t="s">
        <v>219</v>
      </c>
      <c r="F1817" s="80">
        <v>116.0704859</v>
      </c>
      <c r="G1817" s="142">
        <v>6.892362467</v>
      </c>
      <c r="H1817" s="143"/>
      <c r="I1817" s="143"/>
      <c r="J1817" s="143"/>
      <c r="K1817" s="143"/>
      <c r="L1817" s="143"/>
      <c r="M1817" s="143"/>
      <c r="N1817" s="80" t="s">
        <v>3058</v>
      </c>
      <c r="O1817" s="80" t="s">
        <v>4438</v>
      </c>
      <c r="P1817" s="80" t="s">
        <v>4439</v>
      </c>
      <c r="Y1817" s="2" t="s">
        <v>23</v>
      </c>
    </row>
    <row r="1818" ht="15.75" customHeight="1">
      <c r="B1818" s="48">
        <v>3.582977E7</v>
      </c>
      <c r="C1818" s="80" t="s">
        <v>4177</v>
      </c>
      <c r="D1818" s="140" t="s">
        <v>636</v>
      </c>
      <c r="E1818" s="80" t="s">
        <v>219</v>
      </c>
      <c r="F1818" s="80">
        <v>116.0704889</v>
      </c>
      <c r="G1818" s="142">
        <v>12.99381307</v>
      </c>
      <c r="H1818" s="143"/>
      <c r="I1818" s="143"/>
      <c r="J1818" s="143"/>
      <c r="K1818" s="143"/>
      <c r="L1818" s="143"/>
      <c r="M1818" s="143"/>
      <c r="N1818" s="80" t="s">
        <v>3058</v>
      </c>
      <c r="O1818" s="80" t="s">
        <v>4438</v>
      </c>
      <c r="P1818" s="80" t="s">
        <v>4439</v>
      </c>
      <c r="Y1818" s="2" t="s">
        <v>23</v>
      </c>
    </row>
    <row r="1819" ht="15.75" customHeight="1">
      <c r="B1819" s="48">
        <v>3.582977E7</v>
      </c>
      <c r="C1819" s="80" t="s">
        <v>4177</v>
      </c>
      <c r="D1819" s="140" t="s">
        <v>636</v>
      </c>
      <c r="E1819" s="80" t="s">
        <v>4497</v>
      </c>
      <c r="F1819" s="80">
        <v>118.0860451</v>
      </c>
      <c r="G1819" s="142">
        <v>6.869437154</v>
      </c>
      <c r="H1819" s="143"/>
      <c r="I1819" s="143"/>
      <c r="J1819" s="143"/>
      <c r="K1819" s="143"/>
      <c r="L1819" s="143"/>
      <c r="M1819" s="143"/>
      <c r="N1819" s="80" t="s">
        <v>1324</v>
      </c>
      <c r="O1819" s="80" t="s">
        <v>4498</v>
      </c>
      <c r="P1819" s="80" t="s">
        <v>4499</v>
      </c>
      <c r="Y1819" s="2" t="s">
        <v>23</v>
      </c>
    </row>
    <row r="1820" ht="15.75" customHeight="1">
      <c r="B1820" s="48">
        <v>3.582977E7</v>
      </c>
      <c r="C1820" s="80" t="s">
        <v>4177</v>
      </c>
      <c r="D1820" s="140" t="s">
        <v>636</v>
      </c>
      <c r="E1820" s="80" t="s">
        <v>4453</v>
      </c>
      <c r="F1820" s="80">
        <v>120.0654171</v>
      </c>
      <c r="G1820" s="142">
        <v>9.576372274</v>
      </c>
      <c r="H1820" s="143"/>
      <c r="I1820" s="143"/>
      <c r="J1820" s="143"/>
      <c r="K1820" s="143"/>
      <c r="L1820" s="143"/>
      <c r="M1820" s="143"/>
      <c r="N1820" s="80" t="s">
        <v>1017</v>
      </c>
      <c r="O1820" s="80" t="s">
        <v>4454</v>
      </c>
      <c r="P1820" s="80" t="s">
        <v>4455</v>
      </c>
      <c r="Y1820" s="2" t="s">
        <v>23</v>
      </c>
    </row>
    <row r="1821" ht="15.75" customHeight="1">
      <c r="B1821" s="48">
        <v>3.582977E7</v>
      </c>
      <c r="C1821" s="80" t="s">
        <v>4177</v>
      </c>
      <c r="D1821" s="140" t="s">
        <v>636</v>
      </c>
      <c r="E1821" s="80" t="s">
        <v>4195</v>
      </c>
      <c r="F1821" s="80">
        <v>123.055135</v>
      </c>
      <c r="G1821" s="142">
        <v>2.453264618</v>
      </c>
      <c r="H1821" s="143"/>
      <c r="I1821" s="143"/>
      <c r="J1821" s="143"/>
      <c r="K1821" s="143"/>
      <c r="L1821" s="143"/>
      <c r="M1821" s="143"/>
      <c r="N1821" s="80" t="s">
        <v>2732</v>
      </c>
      <c r="O1821" s="80" t="s">
        <v>4442</v>
      </c>
      <c r="P1821" s="80" t="s">
        <v>4197</v>
      </c>
      <c r="Y1821" s="2" t="s">
        <v>23</v>
      </c>
    </row>
    <row r="1822" ht="15.75" customHeight="1">
      <c r="B1822" s="48">
        <v>3.582977E7</v>
      </c>
      <c r="C1822" s="80" t="s">
        <v>4177</v>
      </c>
      <c r="D1822" s="140" t="s">
        <v>636</v>
      </c>
      <c r="E1822" s="80" t="s">
        <v>380</v>
      </c>
      <c r="F1822" s="80">
        <v>126.0218329</v>
      </c>
      <c r="G1822" s="142">
        <v>10.08154399</v>
      </c>
      <c r="H1822" s="143"/>
      <c r="I1822" s="143"/>
      <c r="J1822" s="143"/>
      <c r="K1822" s="143"/>
      <c r="L1822" s="143"/>
      <c r="M1822" s="143"/>
      <c r="N1822" s="80" t="s">
        <v>3300</v>
      </c>
      <c r="O1822" s="80" t="s">
        <v>4315</v>
      </c>
      <c r="P1822" s="80" t="s">
        <v>4199</v>
      </c>
      <c r="Y1822" s="2" t="s">
        <v>23</v>
      </c>
    </row>
    <row r="1823" ht="15.75" customHeight="1">
      <c r="B1823" s="48">
        <v>3.582977E7</v>
      </c>
      <c r="C1823" s="80" t="s">
        <v>4177</v>
      </c>
      <c r="D1823" s="140" t="s">
        <v>636</v>
      </c>
      <c r="E1823" s="80" t="s">
        <v>4500</v>
      </c>
      <c r="F1823" s="80">
        <v>129.1020964</v>
      </c>
      <c r="G1823" s="142">
        <v>12.89682922</v>
      </c>
      <c r="H1823" s="143"/>
      <c r="I1823" s="143"/>
      <c r="J1823" s="143"/>
      <c r="K1823" s="143"/>
      <c r="L1823" s="143"/>
      <c r="M1823" s="143"/>
      <c r="N1823" s="80" t="s">
        <v>4501</v>
      </c>
      <c r="O1823" s="80" t="s">
        <v>4502</v>
      </c>
      <c r="P1823" s="80" t="s">
        <v>4503</v>
      </c>
      <c r="Y1823" s="2" t="s">
        <v>23</v>
      </c>
    </row>
    <row r="1824" ht="15.75" customHeight="1">
      <c r="B1824" s="48">
        <v>3.582977E7</v>
      </c>
      <c r="C1824" s="80" t="s">
        <v>4177</v>
      </c>
      <c r="D1824" s="140" t="s">
        <v>636</v>
      </c>
      <c r="E1824" s="80" t="s">
        <v>4316</v>
      </c>
      <c r="F1824" s="80">
        <v>130.0497647</v>
      </c>
      <c r="G1824" s="142">
        <v>10.091487</v>
      </c>
      <c r="H1824" s="143"/>
      <c r="I1824" s="143"/>
      <c r="J1824" s="143"/>
      <c r="K1824" s="143"/>
      <c r="L1824" s="143"/>
      <c r="M1824" s="143"/>
      <c r="N1824" s="80" t="s">
        <v>1358</v>
      </c>
      <c r="O1824" s="80" t="s">
        <v>4317</v>
      </c>
      <c r="P1824" s="80" t="s">
        <v>3914</v>
      </c>
      <c r="Y1824" s="2" t="s">
        <v>23</v>
      </c>
    </row>
    <row r="1825" ht="15.75" customHeight="1">
      <c r="B1825" s="48">
        <v>3.582977E7</v>
      </c>
      <c r="C1825" s="80" t="s">
        <v>4177</v>
      </c>
      <c r="D1825" s="140" t="s">
        <v>636</v>
      </c>
      <c r="E1825" s="80" t="s">
        <v>4316</v>
      </c>
      <c r="F1825" s="80">
        <v>130.049781</v>
      </c>
      <c r="G1825" s="142">
        <v>10.64855754</v>
      </c>
      <c r="H1825" s="143"/>
      <c r="I1825" s="143"/>
      <c r="J1825" s="143"/>
      <c r="K1825" s="143"/>
      <c r="L1825" s="143"/>
      <c r="M1825" s="143"/>
      <c r="N1825" s="80" t="s">
        <v>1358</v>
      </c>
      <c r="O1825" s="80" t="s">
        <v>4317</v>
      </c>
      <c r="P1825" s="80" t="s">
        <v>3914</v>
      </c>
      <c r="Y1825" s="2" t="s">
        <v>23</v>
      </c>
    </row>
    <row r="1826" ht="15.75" customHeight="1">
      <c r="B1826" s="48">
        <v>3.582977E7</v>
      </c>
      <c r="C1826" s="80" t="s">
        <v>4177</v>
      </c>
      <c r="D1826" s="140" t="s">
        <v>636</v>
      </c>
      <c r="E1826" s="80" t="s">
        <v>4316</v>
      </c>
      <c r="F1826" s="80">
        <v>130.0497759</v>
      </c>
      <c r="G1826" s="142">
        <v>11.52779846</v>
      </c>
      <c r="H1826" s="143"/>
      <c r="I1826" s="143"/>
      <c r="J1826" s="143"/>
      <c r="K1826" s="143"/>
      <c r="L1826" s="143"/>
      <c r="M1826" s="143"/>
      <c r="N1826" s="80" t="s">
        <v>1358</v>
      </c>
      <c r="O1826" s="80" t="s">
        <v>4317</v>
      </c>
      <c r="P1826" s="80" t="s">
        <v>3914</v>
      </c>
      <c r="Y1826" s="2" t="s">
        <v>23</v>
      </c>
    </row>
    <row r="1827" ht="15.75" customHeight="1">
      <c r="B1827" s="48">
        <v>3.582977E7</v>
      </c>
      <c r="C1827" s="80" t="s">
        <v>4177</v>
      </c>
      <c r="D1827" s="140" t="s">
        <v>636</v>
      </c>
      <c r="E1827" s="80" t="s">
        <v>4365</v>
      </c>
      <c r="F1827" s="80">
        <v>130.0862826</v>
      </c>
      <c r="G1827" s="142">
        <v>12.89682922</v>
      </c>
      <c r="H1827" s="143"/>
      <c r="I1827" s="143"/>
      <c r="J1827" s="143"/>
      <c r="K1827" s="143"/>
      <c r="L1827" s="143"/>
      <c r="M1827" s="143"/>
      <c r="N1827" s="80" t="s">
        <v>2777</v>
      </c>
      <c r="O1827" s="80" t="s">
        <v>4366</v>
      </c>
      <c r="P1827" s="80" t="s">
        <v>4367</v>
      </c>
      <c r="Y1827" s="2" t="s">
        <v>23</v>
      </c>
    </row>
    <row r="1828" ht="15.75" customHeight="1">
      <c r="B1828" s="48">
        <v>3.582977E7</v>
      </c>
      <c r="C1828" s="80" t="s">
        <v>4177</v>
      </c>
      <c r="D1828" s="140" t="s">
        <v>636</v>
      </c>
      <c r="E1828" s="80" t="s">
        <v>4365</v>
      </c>
      <c r="F1828" s="80">
        <v>130.0861548</v>
      </c>
      <c r="G1828" s="142">
        <v>4.547264608</v>
      </c>
      <c r="H1828" s="143"/>
      <c r="I1828" s="143"/>
      <c r="J1828" s="143"/>
      <c r="K1828" s="143"/>
      <c r="L1828" s="143"/>
      <c r="M1828" s="143"/>
      <c r="N1828" s="80" t="s">
        <v>2777</v>
      </c>
      <c r="O1828" s="80" t="s">
        <v>4366</v>
      </c>
      <c r="P1828" s="80" t="s">
        <v>4367</v>
      </c>
      <c r="Y1828" s="2" t="s">
        <v>23</v>
      </c>
    </row>
    <row r="1829" ht="15.75" customHeight="1">
      <c r="B1829" s="48">
        <v>3.582977E7</v>
      </c>
      <c r="C1829" s="80" t="s">
        <v>4177</v>
      </c>
      <c r="D1829" s="140" t="s">
        <v>636</v>
      </c>
      <c r="E1829" s="80" t="s">
        <v>4365</v>
      </c>
      <c r="F1829" s="80">
        <v>130.0861508</v>
      </c>
      <c r="G1829" s="142">
        <v>6.458618673</v>
      </c>
      <c r="H1829" s="143"/>
      <c r="I1829" s="143"/>
      <c r="J1829" s="143"/>
      <c r="K1829" s="143"/>
      <c r="L1829" s="143"/>
      <c r="M1829" s="143"/>
      <c r="N1829" s="80" t="s">
        <v>2777</v>
      </c>
      <c r="O1829" s="80" t="s">
        <v>4366</v>
      </c>
      <c r="P1829" s="80" t="s">
        <v>4367</v>
      </c>
      <c r="Y1829" s="2" t="s">
        <v>23</v>
      </c>
    </row>
    <row r="1830" ht="15.75" customHeight="1">
      <c r="B1830" s="48">
        <v>3.582977E7</v>
      </c>
      <c r="C1830" s="80" t="s">
        <v>4177</v>
      </c>
      <c r="D1830" s="140" t="s">
        <v>636</v>
      </c>
      <c r="E1830" s="80" t="s">
        <v>4504</v>
      </c>
      <c r="F1830" s="80">
        <v>131.1177294</v>
      </c>
      <c r="G1830" s="142">
        <v>7.311040243</v>
      </c>
      <c r="H1830" s="143"/>
      <c r="I1830" s="143"/>
      <c r="J1830" s="143"/>
      <c r="K1830" s="143"/>
      <c r="L1830" s="143"/>
      <c r="M1830" s="143"/>
      <c r="N1830" s="80" t="s">
        <v>2657</v>
      </c>
      <c r="O1830" s="80" t="s">
        <v>2658</v>
      </c>
      <c r="P1830" s="80" t="s">
        <v>4505</v>
      </c>
      <c r="Y1830" s="2" t="s">
        <v>23</v>
      </c>
    </row>
    <row r="1831" ht="15.75" customHeight="1">
      <c r="B1831" s="48">
        <v>3.582977E7</v>
      </c>
      <c r="C1831" s="80" t="s">
        <v>4177</v>
      </c>
      <c r="D1831" s="140" t="s">
        <v>636</v>
      </c>
      <c r="E1831" s="80" t="s">
        <v>4506</v>
      </c>
      <c r="F1831" s="80">
        <v>132.1017713</v>
      </c>
      <c r="G1831" s="142">
        <v>4.893104045</v>
      </c>
      <c r="H1831" s="143"/>
      <c r="I1831" s="143"/>
      <c r="J1831" s="143"/>
      <c r="K1831" s="143"/>
      <c r="L1831" s="143"/>
      <c r="M1831" s="143"/>
      <c r="N1831" s="80" t="s">
        <v>2272</v>
      </c>
      <c r="O1831" s="80" t="s">
        <v>4507</v>
      </c>
      <c r="P1831" s="80" t="s">
        <v>4508</v>
      </c>
      <c r="Y1831" s="2" t="s">
        <v>23</v>
      </c>
    </row>
    <row r="1832" ht="15.75" customHeight="1">
      <c r="B1832" s="48">
        <v>3.582977E7</v>
      </c>
      <c r="C1832" s="80" t="s">
        <v>4177</v>
      </c>
      <c r="D1832" s="140" t="s">
        <v>636</v>
      </c>
      <c r="E1832" s="80" t="s">
        <v>4327</v>
      </c>
      <c r="F1832" s="80">
        <v>137.0456614</v>
      </c>
      <c r="G1832" s="142">
        <v>4.076954397</v>
      </c>
      <c r="H1832" s="143"/>
      <c r="I1832" s="143"/>
      <c r="J1832" s="143"/>
      <c r="K1832" s="143"/>
      <c r="L1832" s="143"/>
      <c r="M1832" s="143"/>
      <c r="N1832" s="80" t="s">
        <v>2220</v>
      </c>
      <c r="O1832" s="80" t="s">
        <v>4328</v>
      </c>
      <c r="P1832" s="80" t="s">
        <v>4329</v>
      </c>
      <c r="Y1832" s="2" t="s">
        <v>23</v>
      </c>
    </row>
    <row r="1833" ht="15.75" customHeight="1">
      <c r="B1833" s="48">
        <v>3.582977E7</v>
      </c>
      <c r="C1833" s="80" t="s">
        <v>4177</v>
      </c>
      <c r="D1833" s="140" t="s">
        <v>636</v>
      </c>
      <c r="E1833" s="80" t="s">
        <v>4377</v>
      </c>
      <c r="F1833" s="80">
        <v>138.0548445</v>
      </c>
      <c r="G1833" s="142">
        <v>5.379351807</v>
      </c>
      <c r="H1833" s="143"/>
      <c r="I1833" s="143"/>
      <c r="J1833" s="143"/>
      <c r="K1833" s="143"/>
      <c r="L1833" s="143"/>
      <c r="M1833" s="143"/>
      <c r="N1833" s="80" t="s">
        <v>1498</v>
      </c>
      <c r="O1833" s="80" t="s">
        <v>4378</v>
      </c>
      <c r="P1833" s="80" t="s">
        <v>4379</v>
      </c>
      <c r="Y1833" s="2" t="s">
        <v>23</v>
      </c>
    </row>
    <row r="1834" ht="15.75" customHeight="1">
      <c r="B1834" s="48">
        <v>3.582977E7</v>
      </c>
      <c r="C1834" s="80" t="s">
        <v>4177</v>
      </c>
      <c r="D1834" s="140" t="s">
        <v>636</v>
      </c>
      <c r="E1834" s="80" t="s">
        <v>4088</v>
      </c>
      <c r="F1834" s="80">
        <v>146.0599136</v>
      </c>
      <c r="G1834" s="142">
        <v>6.185279338</v>
      </c>
      <c r="H1834" s="143"/>
      <c r="I1834" s="143"/>
      <c r="J1834" s="143"/>
      <c r="K1834" s="143"/>
      <c r="L1834" s="143"/>
      <c r="M1834" s="143"/>
      <c r="N1834" s="80" t="s">
        <v>716</v>
      </c>
      <c r="O1834" s="80" t="s">
        <v>4509</v>
      </c>
      <c r="P1834" s="80" t="s">
        <v>4090</v>
      </c>
      <c r="Y1834" s="2" t="s">
        <v>23</v>
      </c>
    </row>
    <row r="1835" ht="15.75" customHeight="1">
      <c r="B1835" s="48">
        <v>3.582977E7</v>
      </c>
      <c r="C1835" s="80" t="s">
        <v>4177</v>
      </c>
      <c r="D1835" s="140" t="s">
        <v>636</v>
      </c>
      <c r="E1835" s="80" t="s">
        <v>4380</v>
      </c>
      <c r="F1835" s="80">
        <v>147.0763018</v>
      </c>
      <c r="G1835" s="142">
        <v>10.64855754</v>
      </c>
      <c r="H1835" s="143"/>
      <c r="I1835" s="143"/>
      <c r="J1835" s="143"/>
      <c r="K1835" s="143"/>
      <c r="L1835" s="143"/>
      <c r="M1835" s="143"/>
      <c r="N1835" s="80" t="s">
        <v>1211</v>
      </c>
      <c r="O1835" s="80" t="s">
        <v>4381</v>
      </c>
      <c r="P1835" s="80" t="s">
        <v>4382</v>
      </c>
      <c r="Y1835" s="2" t="s">
        <v>23</v>
      </c>
    </row>
    <row r="1836" ht="15.75" customHeight="1">
      <c r="B1836" s="48">
        <v>3.582977E7</v>
      </c>
      <c r="C1836" s="80" t="s">
        <v>4177</v>
      </c>
      <c r="D1836" s="140" t="s">
        <v>636</v>
      </c>
      <c r="E1836" s="80" t="s">
        <v>3528</v>
      </c>
      <c r="F1836" s="80">
        <v>148.0602929</v>
      </c>
      <c r="G1836" s="142">
        <v>11.52445961</v>
      </c>
      <c r="H1836" s="143"/>
      <c r="I1836" s="143"/>
      <c r="J1836" s="143"/>
      <c r="K1836" s="143"/>
      <c r="L1836" s="143"/>
      <c r="M1836" s="143"/>
      <c r="N1836" s="80" t="s">
        <v>2032</v>
      </c>
      <c r="O1836" s="80" t="s">
        <v>4292</v>
      </c>
      <c r="P1836" s="80" t="s">
        <v>4232</v>
      </c>
      <c r="Y1836" s="2" t="s">
        <v>23</v>
      </c>
    </row>
    <row r="1837" ht="15.75" customHeight="1">
      <c r="B1837" s="48">
        <v>3.582977E7</v>
      </c>
      <c r="C1837" s="80" t="s">
        <v>4177</v>
      </c>
      <c r="D1837" s="140" t="s">
        <v>636</v>
      </c>
      <c r="E1837" s="80" t="s">
        <v>4334</v>
      </c>
      <c r="F1837" s="80">
        <v>150.0582308</v>
      </c>
      <c r="G1837" s="142">
        <v>6.286570721</v>
      </c>
      <c r="H1837" s="143"/>
      <c r="I1837" s="143"/>
      <c r="J1837" s="143"/>
      <c r="K1837" s="143"/>
      <c r="L1837" s="143"/>
      <c r="M1837" s="143"/>
      <c r="N1837" s="80" t="s">
        <v>2444</v>
      </c>
      <c r="O1837" s="80" t="s">
        <v>4335</v>
      </c>
      <c r="P1837" s="80" t="s">
        <v>4336</v>
      </c>
      <c r="Y1837" s="2" t="s">
        <v>23</v>
      </c>
    </row>
    <row r="1838" ht="15.75" customHeight="1">
      <c r="B1838" s="48">
        <v>3.582977E7</v>
      </c>
      <c r="C1838" s="80" t="s">
        <v>4177</v>
      </c>
      <c r="D1838" s="140" t="s">
        <v>636</v>
      </c>
      <c r="E1838" s="80" t="s">
        <v>4027</v>
      </c>
      <c r="F1838" s="80">
        <v>150.1122962</v>
      </c>
      <c r="G1838" s="142">
        <v>3.430812327</v>
      </c>
      <c r="H1838" s="143"/>
      <c r="I1838" s="143"/>
      <c r="J1838" s="143"/>
      <c r="K1838" s="143"/>
      <c r="L1838" s="143"/>
      <c r="M1838" s="143"/>
      <c r="N1838" s="80" t="s">
        <v>4028</v>
      </c>
      <c r="O1838" s="80" t="s">
        <v>4510</v>
      </c>
      <c r="P1838" s="80" t="s">
        <v>4030</v>
      </c>
      <c r="Y1838" s="2" t="s">
        <v>23</v>
      </c>
    </row>
    <row r="1839" ht="15.75" customHeight="1">
      <c r="B1839" s="48">
        <v>3.582977E7</v>
      </c>
      <c r="C1839" s="80" t="s">
        <v>4177</v>
      </c>
      <c r="D1839" s="140" t="s">
        <v>636</v>
      </c>
      <c r="E1839" s="80" t="s">
        <v>4139</v>
      </c>
      <c r="F1839" s="80">
        <v>152.14319</v>
      </c>
      <c r="G1839" s="142">
        <v>7.077831014</v>
      </c>
      <c r="H1839" s="143"/>
      <c r="I1839" s="143"/>
      <c r="J1839" s="143"/>
      <c r="K1839" s="143"/>
      <c r="L1839" s="143"/>
      <c r="M1839" s="143"/>
      <c r="N1839" s="80" t="s">
        <v>4140</v>
      </c>
      <c r="O1839" s="80" t="s">
        <v>4337</v>
      </c>
      <c r="P1839" s="80" t="s">
        <v>4142</v>
      </c>
      <c r="Y1839" s="2" t="s">
        <v>23</v>
      </c>
    </row>
    <row r="1840" ht="15.75" customHeight="1">
      <c r="B1840" s="48">
        <v>3.582977E7</v>
      </c>
      <c r="C1840" s="80" t="s">
        <v>4177</v>
      </c>
      <c r="D1840" s="140" t="s">
        <v>636</v>
      </c>
      <c r="E1840" s="80" t="s">
        <v>4387</v>
      </c>
      <c r="F1840" s="80">
        <v>156.0766513</v>
      </c>
      <c r="G1840" s="142">
        <v>10.03189087</v>
      </c>
      <c r="H1840" s="143"/>
      <c r="I1840" s="143"/>
      <c r="J1840" s="143"/>
      <c r="K1840" s="143"/>
      <c r="L1840" s="143"/>
      <c r="M1840" s="143"/>
      <c r="N1840" s="80" t="s">
        <v>2182</v>
      </c>
      <c r="O1840" s="80" t="s">
        <v>4388</v>
      </c>
      <c r="P1840" s="80" t="s">
        <v>4389</v>
      </c>
      <c r="Y1840" s="2" t="s">
        <v>23</v>
      </c>
    </row>
    <row r="1841" ht="15.75" customHeight="1">
      <c r="B1841" s="48">
        <v>3.582977E7</v>
      </c>
      <c r="C1841" s="80" t="s">
        <v>4177</v>
      </c>
      <c r="D1841" s="140" t="s">
        <v>636</v>
      </c>
      <c r="E1841" s="80" t="s">
        <v>4387</v>
      </c>
      <c r="F1841" s="80">
        <v>156.0766634</v>
      </c>
      <c r="G1841" s="142">
        <v>11.47378082</v>
      </c>
      <c r="H1841" s="143"/>
      <c r="I1841" s="143"/>
      <c r="J1841" s="143"/>
      <c r="K1841" s="143"/>
      <c r="L1841" s="143"/>
      <c r="M1841" s="143"/>
      <c r="N1841" s="80" t="s">
        <v>2182</v>
      </c>
      <c r="O1841" s="80" t="s">
        <v>4388</v>
      </c>
      <c r="P1841" s="80" t="s">
        <v>4389</v>
      </c>
      <c r="Y1841" s="2" t="s">
        <v>23</v>
      </c>
    </row>
    <row r="1842" ht="15.75" customHeight="1">
      <c r="B1842" s="48">
        <v>3.582977E7</v>
      </c>
      <c r="C1842" s="80" t="s">
        <v>4177</v>
      </c>
      <c r="D1842" s="140" t="s">
        <v>636</v>
      </c>
      <c r="E1842" s="80" t="s">
        <v>4387</v>
      </c>
      <c r="F1842" s="80">
        <v>156.0766262</v>
      </c>
      <c r="G1842" s="142">
        <v>6.040583293</v>
      </c>
      <c r="H1842" s="143"/>
      <c r="I1842" s="143"/>
      <c r="J1842" s="143"/>
      <c r="K1842" s="143"/>
      <c r="L1842" s="143"/>
      <c r="M1842" s="143"/>
      <c r="N1842" s="80" t="s">
        <v>2182</v>
      </c>
      <c r="O1842" s="80" t="s">
        <v>4388</v>
      </c>
      <c r="P1842" s="80" t="s">
        <v>4389</v>
      </c>
      <c r="Y1842" s="2" t="s">
        <v>23</v>
      </c>
    </row>
    <row r="1843" ht="15.75" customHeight="1">
      <c r="B1843" s="48">
        <v>3.582977E7</v>
      </c>
      <c r="C1843" s="80" t="s">
        <v>4177</v>
      </c>
      <c r="D1843" s="140" t="s">
        <v>636</v>
      </c>
      <c r="E1843" s="80" t="s">
        <v>4390</v>
      </c>
      <c r="F1843" s="80">
        <v>165.0545509</v>
      </c>
      <c r="G1843" s="142">
        <v>8.485574849</v>
      </c>
      <c r="H1843" s="143"/>
      <c r="I1843" s="143"/>
      <c r="J1843" s="143"/>
      <c r="K1843" s="143"/>
      <c r="L1843" s="143"/>
      <c r="M1843" s="143"/>
      <c r="N1843" s="80" t="s">
        <v>1108</v>
      </c>
      <c r="O1843" s="80" t="s">
        <v>4391</v>
      </c>
      <c r="P1843" s="80" t="s">
        <v>4392</v>
      </c>
      <c r="Y1843" s="2" t="s">
        <v>23</v>
      </c>
    </row>
    <row r="1844" ht="15.75" customHeight="1">
      <c r="B1844" s="48">
        <v>3.582977E7</v>
      </c>
      <c r="C1844" s="80" t="s">
        <v>4177</v>
      </c>
      <c r="D1844" s="140" t="s">
        <v>636</v>
      </c>
      <c r="E1844" s="80" t="s">
        <v>4511</v>
      </c>
      <c r="F1844" s="80">
        <v>166.0861176</v>
      </c>
      <c r="G1844" s="142">
        <v>4.796656291</v>
      </c>
      <c r="H1844" s="143"/>
      <c r="I1844" s="143"/>
      <c r="J1844" s="143"/>
      <c r="K1844" s="143"/>
      <c r="L1844" s="143"/>
      <c r="M1844" s="143"/>
      <c r="N1844" s="80" t="s">
        <v>2983</v>
      </c>
      <c r="O1844" s="80" t="s">
        <v>4460</v>
      </c>
      <c r="P1844" s="80" t="s">
        <v>4461</v>
      </c>
      <c r="Y1844" s="2" t="s">
        <v>23</v>
      </c>
    </row>
    <row r="1845" ht="15.75" customHeight="1">
      <c r="B1845" s="48">
        <v>3.582977E7</v>
      </c>
      <c r="C1845" s="80" t="s">
        <v>4177</v>
      </c>
      <c r="D1845" s="140" t="s">
        <v>636</v>
      </c>
      <c r="E1845" s="80" t="s">
        <v>4238</v>
      </c>
      <c r="F1845" s="80">
        <v>170.0922552</v>
      </c>
      <c r="G1845" s="142">
        <v>9.075358073</v>
      </c>
      <c r="H1845" s="143"/>
      <c r="I1845" s="143"/>
      <c r="J1845" s="143"/>
      <c r="K1845" s="143"/>
      <c r="L1845" s="143"/>
      <c r="M1845" s="143"/>
      <c r="N1845" s="80" t="s">
        <v>761</v>
      </c>
      <c r="O1845" s="80" t="s">
        <v>4463</v>
      </c>
      <c r="P1845" s="80" t="s">
        <v>4464</v>
      </c>
      <c r="Y1845" s="2" t="s">
        <v>23</v>
      </c>
    </row>
    <row r="1846" ht="15.75" customHeight="1">
      <c r="B1846" s="48">
        <v>3.582977E7</v>
      </c>
      <c r="C1846" s="80" t="s">
        <v>4177</v>
      </c>
      <c r="D1846" s="140" t="s">
        <v>636</v>
      </c>
      <c r="E1846" s="80" t="s">
        <v>4465</v>
      </c>
      <c r="F1846" s="80">
        <v>170.0922552</v>
      </c>
      <c r="G1846" s="142">
        <v>1.735318756</v>
      </c>
      <c r="H1846" s="143"/>
      <c r="I1846" s="143"/>
      <c r="J1846" s="143"/>
      <c r="K1846" s="143"/>
      <c r="L1846" s="143"/>
      <c r="M1846" s="143"/>
      <c r="N1846" s="80" t="s">
        <v>4466</v>
      </c>
      <c r="O1846" s="80" t="s">
        <v>4467</v>
      </c>
      <c r="P1846" s="80" t="s">
        <v>4468</v>
      </c>
      <c r="Y1846" s="2" t="s">
        <v>23</v>
      </c>
    </row>
    <row r="1847" ht="15.75" customHeight="1">
      <c r="B1847" s="48">
        <v>3.582977E7</v>
      </c>
      <c r="C1847" s="80" t="s">
        <v>4177</v>
      </c>
      <c r="D1847" s="140" t="s">
        <v>636</v>
      </c>
      <c r="E1847" s="80" t="s">
        <v>4341</v>
      </c>
      <c r="F1847" s="80">
        <v>175.118841</v>
      </c>
      <c r="G1847" s="142">
        <v>12.98966166</v>
      </c>
      <c r="H1847" s="143"/>
      <c r="I1847" s="143"/>
      <c r="J1847" s="143"/>
      <c r="K1847" s="143"/>
      <c r="L1847" s="143"/>
      <c r="M1847" s="143"/>
      <c r="N1847" s="80" t="s">
        <v>1526</v>
      </c>
      <c r="O1847" s="80" t="s">
        <v>4342</v>
      </c>
      <c r="P1847" s="80" t="s">
        <v>4343</v>
      </c>
      <c r="Y1847" s="2" t="s">
        <v>23</v>
      </c>
    </row>
    <row r="1848" ht="15.75" customHeight="1">
      <c r="B1848" s="48">
        <v>3.582977E7</v>
      </c>
      <c r="C1848" s="80" t="s">
        <v>4177</v>
      </c>
      <c r="D1848" s="140" t="s">
        <v>636</v>
      </c>
      <c r="E1848" s="80" t="s">
        <v>128</v>
      </c>
      <c r="F1848" s="80">
        <v>176.1028774</v>
      </c>
      <c r="G1848" s="142">
        <v>10.66843262</v>
      </c>
      <c r="H1848" s="143"/>
      <c r="I1848" s="143"/>
      <c r="J1848" s="143"/>
      <c r="K1848" s="143"/>
      <c r="L1848" s="143"/>
      <c r="M1848" s="143"/>
      <c r="N1848" s="80" t="s">
        <v>1709</v>
      </c>
      <c r="O1848" s="80" t="s">
        <v>4469</v>
      </c>
      <c r="P1848" s="80" t="s">
        <v>4246</v>
      </c>
      <c r="Y1848" s="2" t="s">
        <v>23</v>
      </c>
    </row>
    <row r="1849" ht="15.75" customHeight="1">
      <c r="B1849" s="48">
        <v>3.582977E7</v>
      </c>
      <c r="C1849" s="80" t="s">
        <v>4177</v>
      </c>
      <c r="D1849" s="140" t="s">
        <v>636</v>
      </c>
      <c r="E1849" s="80" t="s">
        <v>4512</v>
      </c>
      <c r="F1849" s="80">
        <v>180.0864551</v>
      </c>
      <c r="G1849" s="142">
        <v>9.150312297</v>
      </c>
      <c r="H1849" s="143"/>
      <c r="I1849" s="143"/>
      <c r="J1849" s="143"/>
      <c r="K1849" s="143"/>
      <c r="L1849" s="143"/>
      <c r="M1849" s="143"/>
      <c r="N1849" s="80" t="s">
        <v>4471</v>
      </c>
      <c r="O1849" s="80" t="s">
        <v>4513</v>
      </c>
      <c r="P1849" s="80" t="s">
        <v>4514</v>
      </c>
      <c r="Y1849" s="2" t="s">
        <v>23</v>
      </c>
    </row>
    <row r="1850" ht="15.75" customHeight="1">
      <c r="B1850" s="48">
        <v>3.582977E7</v>
      </c>
      <c r="C1850" s="80" t="s">
        <v>4177</v>
      </c>
      <c r="D1850" s="140" t="s">
        <v>636</v>
      </c>
      <c r="E1850" s="80" t="s">
        <v>4515</v>
      </c>
      <c r="F1850" s="80">
        <v>182.081128</v>
      </c>
      <c r="G1850" s="142">
        <v>8.485574849</v>
      </c>
      <c r="H1850" s="143"/>
      <c r="I1850" s="143"/>
      <c r="J1850" s="143"/>
      <c r="K1850" s="143"/>
      <c r="L1850" s="143"/>
      <c r="M1850" s="143"/>
      <c r="N1850" s="80" t="s">
        <v>2900</v>
      </c>
      <c r="O1850" s="80" t="s">
        <v>4475</v>
      </c>
      <c r="P1850" s="80" t="s">
        <v>4476</v>
      </c>
      <c r="Y1850" s="2" t="s">
        <v>23</v>
      </c>
    </row>
    <row r="1851" ht="15.75" customHeight="1">
      <c r="B1851" s="48">
        <v>3.582977E7</v>
      </c>
      <c r="C1851" s="80" t="s">
        <v>4177</v>
      </c>
      <c r="D1851" s="140" t="s">
        <v>636</v>
      </c>
      <c r="E1851" s="80" t="s">
        <v>4118</v>
      </c>
      <c r="F1851" s="80">
        <v>204.1129787</v>
      </c>
      <c r="G1851" s="142">
        <v>1.8265584</v>
      </c>
      <c r="H1851" s="143"/>
      <c r="I1851" s="143"/>
      <c r="J1851" s="143"/>
      <c r="K1851" s="143"/>
      <c r="L1851" s="143"/>
      <c r="M1851" s="143"/>
      <c r="N1851" s="80" t="s">
        <v>4119</v>
      </c>
      <c r="O1851" s="80" t="s">
        <v>4393</v>
      </c>
      <c r="P1851" s="80" t="s">
        <v>4121</v>
      </c>
      <c r="Y1851" s="2" t="s">
        <v>23</v>
      </c>
    </row>
    <row r="1852" ht="15.75" customHeight="1">
      <c r="B1852" s="48">
        <v>3.582977E7</v>
      </c>
      <c r="C1852" s="80" t="s">
        <v>4177</v>
      </c>
      <c r="D1852" s="140" t="s">
        <v>636</v>
      </c>
      <c r="E1852" s="80" t="s">
        <v>4477</v>
      </c>
      <c r="F1852" s="80">
        <v>205.0970159</v>
      </c>
      <c r="G1852" s="142">
        <v>6.198456319</v>
      </c>
      <c r="H1852" s="143"/>
      <c r="I1852" s="143"/>
      <c r="J1852" s="143"/>
      <c r="K1852" s="143"/>
      <c r="L1852" s="143"/>
      <c r="M1852" s="143"/>
      <c r="N1852" s="80" t="s">
        <v>3394</v>
      </c>
      <c r="O1852" s="80" t="s">
        <v>4478</v>
      </c>
      <c r="P1852" s="80" t="s">
        <v>4479</v>
      </c>
      <c r="Y1852" s="2" t="s">
        <v>23</v>
      </c>
    </row>
    <row r="1853" ht="15.75" customHeight="1">
      <c r="B1853" s="48">
        <v>3.582977E7</v>
      </c>
      <c r="C1853" s="80" t="s">
        <v>4177</v>
      </c>
      <c r="D1853" s="140" t="s">
        <v>636</v>
      </c>
      <c r="E1853" s="80" t="s">
        <v>4354</v>
      </c>
      <c r="F1853" s="80">
        <v>241.0307594</v>
      </c>
      <c r="G1853" s="142">
        <v>12.13222656</v>
      </c>
      <c r="H1853" s="143"/>
      <c r="I1853" s="143"/>
      <c r="J1853" s="143"/>
      <c r="K1853" s="143"/>
      <c r="L1853" s="143"/>
      <c r="M1853" s="143"/>
      <c r="N1853" s="80" t="s">
        <v>1747</v>
      </c>
      <c r="O1853" s="80" t="s">
        <v>4355</v>
      </c>
      <c r="P1853" s="80" t="s">
        <v>4356</v>
      </c>
      <c r="Y1853" s="2" t="s">
        <v>23</v>
      </c>
    </row>
    <row r="1854" ht="15.75" customHeight="1">
      <c r="B1854" s="48">
        <v>3.582977E7</v>
      </c>
      <c r="C1854" s="80" t="s">
        <v>4177</v>
      </c>
      <c r="D1854" s="140" t="s">
        <v>636</v>
      </c>
      <c r="E1854" s="80" t="s">
        <v>4370</v>
      </c>
      <c r="F1854" s="80">
        <v>260.1639938</v>
      </c>
      <c r="G1854" s="142">
        <v>2.3741625</v>
      </c>
      <c r="H1854" s="143"/>
      <c r="I1854" s="143"/>
      <c r="J1854" s="143"/>
      <c r="K1854" s="143"/>
      <c r="L1854" s="143"/>
      <c r="M1854" s="143"/>
      <c r="N1854" s="80" t="s">
        <v>4358</v>
      </c>
      <c r="O1854" s="80" t="s">
        <v>4371</v>
      </c>
      <c r="P1854" s="80" t="s">
        <v>4372</v>
      </c>
      <c r="Y1854" s="2" t="s">
        <v>23</v>
      </c>
    </row>
    <row r="1855" ht="15.75" customHeight="1">
      <c r="B1855" s="48">
        <v>3.582977E7</v>
      </c>
      <c r="C1855" s="80" t="s">
        <v>4177</v>
      </c>
      <c r="D1855" s="140" t="s">
        <v>636</v>
      </c>
      <c r="E1855" s="80" t="s">
        <v>4279</v>
      </c>
      <c r="F1855" s="80">
        <v>286.1432271</v>
      </c>
      <c r="G1855" s="142">
        <v>1.685560354</v>
      </c>
      <c r="H1855" s="143"/>
      <c r="I1855" s="143"/>
      <c r="J1855" s="143"/>
      <c r="K1855" s="143"/>
      <c r="L1855" s="143"/>
      <c r="M1855" s="143"/>
      <c r="N1855" s="80" t="s">
        <v>4083</v>
      </c>
      <c r="O1855" s="80" t="s">
        <v>4362</v>
      </c>
      <c r="P1855" s="80" t="s">
        <v>4085</v>
      </c>
      <c r="Y1855" s="2" t="s">
        <v>23</v>
      </c>
    </row>
    <row r="1856" ht="15.75" customHeight="1">
      <c r="B1856" s="48">
        <v>3.582977E7</v>
      </c>
      <c r="C1856" s="80" t="s">
        <v>4177</v>
      </c>
      <c r="D1856" s="140" t="s">
        <v>636</v>
      </c>
      <c r="E1856" s="80" t="s">
        <v>4114</v>
      </c>
      <c r="F1856" s="80">
        <v>307.1107179</v>
      </c>
      <c r="G1856" s="142">
        <v>1.745274989</v>
      </c>
      <c r="H1856" s="143"/>
      <c r="I1856" s="143"/>
      <c r="J1856" s="143"/>
      <c r="K1856" s="143"/>
      <c r="L1856" s="143"/>
      <c r="M1856" s="143"/>
      <c r="N1856" s="80" t="s">
        <v>4115</v>
      </c>
      <c r="O1856" s="80" t="s">
        <v>4363</v>
      </c>
      <c r="P1856" s="80" t="s">
        <v>4117</v>
      </c>
      <c r="Y1856" s="2" t="s">
        <v>23</v>
      </c>
    </row>
    <row r="1857" ht="15.75" customHeight="1">
      <c r="B1857" s="48">
        <v>3.582977E7</v>
      </c>
      <c r="C1857" s="80" t="s">
        <v>4177</v>
      </c>
      <c r="D1857" s="140" t="s">
        <v>636</v>
      </c>
      <c r="E1857" s="80" t="s">
        <v>4129</v>
      </c>
      <c r="F1857" s="80">
        <v>76.07562707</v>
      </c>
      <c r="G1857" s="142">
        <v>4.214683278</v>
      </c>
      <c r="H1857" s="143"/>
      <c r="I1857" s="143"/>
      <c r="J1857" s="143"/>
      <c r="K1857" s="143"/>
      <c r="L1857" s="143"/>
      <c r="M1857" s="143"/>
      <c r="N1857" s="80" t="s">
        <v>3385</v>
      </c>
      <c r="O1857" s="80" t="s">
        <v>4314</v>
      </c>
      <c r="P1857" s="80" t="s">
        <v>4131</v>
      </c>
      <c r="Y1857" s="2" t="s">
        <v>23</v>
      </c>
    </row>
    <row r="1858" ht="15.75" customHeight="1">
      <c r="B1858" s="48">
        <v>3.582977E7</v>
      </c>
      <c r="C1858" s="80" t="s">
        <v>4177</v>
      </c>
      <c r="D1858" s="140" t="s">
        <v>636</v>
      </c>
      <c r="E1858" s="80" t="s">
        <v>3044</v>
      </c>
      <c r="F1858" s="80">
        <v>86.09634271</v>
      </c>
      <c r="G1858" s="142">
        <v>7.233322652</v>
      </c>
      <c r="H1858" s="143"/>
      <c r="I1858" s="143"/>
      <c r="J1858" s="143"/>
      <c r="K1858" s="143"/>
      <c r="L1858" s="143"/>
      <c r="M1858" s="143"/>
      <c r="N1858" s="80" t="s">
        <v>3045</v>
      </c>
      <c r="O1858" s="80" t="s">
        <v>3046</v>
      </c>
      <c r="P1858" s="80" t="s">
        <v>3996</v>
      </c>
      <c r="Y1858" s="2" t="s">
        <v>23</v>
      </c>
    </row>
    <row r="1859" ht="15.75" customHeight="1">
      <c r="B1859" s="48">
        <v>3.582977E7</v>
      </c>
      <c r="C1859" s="80" t="s">
        <v>4177</v>
      </c>
      <c r="D1859" s="140" t="s">
        <v>636</v>
      </c>
      <c r="E1859" s="80" t="s">
        <v>3044</v>
      </c>
      <c r="F1859" s="80">
        <v>86.09633569</v>
      </c>
      <c r="G1859" s="142">
        <v>4.895774078</v>
      </c>
      <c r="H1859" s="143"/>
      <c r="I1859" s="143"/>
      <c r="J1859" s="143"/>
      <c r="K1859" s="143"/>
      <c r="L1859" s="143"/>
      <c r="M1859" s="143"/>
      <c r="N1859" s="80" t="s">
        <v>3045</v>
      </c>
      <c r="O1859" s="80" t="s">
        <v>3046</v>
      </c>
      <c r="P1859" s="80" t="s">
        <v>3996</v>
      </c>
      <c r="Y1859" s="2" t="s">
        <v>23</v>
      </c>
    </row>
    <row r="1860" ht="15.75" customHeight="1">
      <c r="B1860" s="48">
        <v>3.582977E7</v>
      </c>
      <c r="C1860" s="80" t="s">
        <v>4177</v>
      </c>
      <c r="D1860" s="140" t="s">
        <v>636</v>
      </c>
      <c r="E1860" s="80" t="s">
        <v>4443</v>
      </c>
      <c r="F1860" s="80">
        <v>102.0548685</v>
      </c>
      <c r="G1860" s="142">
        <v>9.568754069</v>
      </c>
      <c r="H1860" s="143"/>
      <c r="I1860" s="143"/>
      <c r="J1860" s="143"/>
      <c r="K1860" s="143"/>
      <c r="L1860" s="143"/>
      <c r="M1860" s="143"/>
      <c r="N1860" s="80" t="s">
        <v>4444</v>
      </c>
      <c r="O1860" s="80" t="s">
        <v>4445</v>
      </c>
      <c r="P1860" s="80" t="s">
        <v>4446</v>
      </c>
      <c r="Y1860" s="2" t="s">
        <v>23</v>
      </c>
    </row>
    <row r="1861" ht="15.75" customHeight="1">
      <c r="B1861" s="48">
        <v>3.582977E7</v>
      </c>
      <c r="C1861" s="80" t="s">
        <v>4177</v>
      </c>
      <c r="D1861" s="140" t="s">
        <v>636</v>
      </c>
      <c r="E1861" s="80" t="s">
        <v>4443</v>
      </c>
      <c r="F1861" s="80">
        <v>102.0547173</v>
      </c>
      <c r="G1861" s="142">
        <v>11.75814819</v>
      </c>
      <c r="H1861" s="143"/>
      <c r="I1861" s="143"/>
      <c r="J1861" s="143"/>
      <c r="K1861" s="143"/>
      <c r="L1861" s="143"/>
      <c r="M1861" s="143"/>
      <c r="N1861" s="80" t="s">
        <v>4444</v>
      </c>
      <c r="O1861" s="80" t="s">
        <v>4445</v>
      </c>
      <c r="P1861" s="80" t="s">
        <v>4446</v>
      </c>
      <c r="Y1861" s="2" t="s">
        <v>23</v>
      </c>
    </row>
    <row r="1862" ht="15.75" customHeight="1">
      <c r="B1862" s="48">
        <v>3.582977E7</v>
      </c>
      <c r="C1862" s="80" t="s">
        <v>4177</v>
      </c>
      <c r="D1862" s="140" t="s">
        <v>636</v>
      </c>
      <c r="E1862" s="80" t="s">
        <v>4447</v>
      </c>
      <c r="F1862" s="80">
        <v>104.0705024</v>
      </c>
      <c r="G1862" s="142">
        <v>6.142877197</v>
      </c>
      <c r="H1862" s="143"/>
      <c r="I1862" s="143"/>
      <c r="J1862" s="143"/>
      <c r="K1862" s="143"/>
      <c r="L1862" s="143"/>
      <c r="M1862" s="143"/>
      <c r="N1862" s="80" t="s">
        <v>1078</v>
      </c>
      <c r="O1862" s="80" t="s">
        <v>4448</v>
      </c>
      <c r="P1862" s="80" t="s">
        <v>4449</v>
      </c>
      <c r="Y1862" s="2" t="s">
        <v>23</v>
      </c>
    </row>
    <row r="1863" ht="15.75" customHeight="1">
      <c r="B1863" s="48">
        <v>3.582977E7</v>
      </c>
      <c r="C1863" s="80" t="s">
        <v>4177</v>
      </c>
      <c r="D1863" s="140" t="s">
        <v>636</v>
      </c>
      <c r="E1863" s="80" t="s">
        <v>4447</v>
      </c>
      <c r="F1863" s="80">
        <v>104.0704811</v>
      </c>
      <c r="G1863" s="142">
        <v>8.991985067</v>
      </c>
      <c r="H1863" s="143"/>
      <c r="I1863" s="143"/>
      <c r="J1863" s="143"/>
      <c r="K1863" s="143"/>
      <c r="L1863" s="143"/>
      <c r="M1863" s="143"/>
      <c r="N1863" s="80" t="s">
        <v>1078</v>
      </c>
      <c r="O1863" s="80" t="s">
        <v>4448</v>
      </c>
      <c r="P1863" s="80" t="s">
        <v>4449</v>
      </c>
      <c r="Y1863" s="2" t="s">
        <v>23</v>
      </c>
    </row>
    <row r="1864" ht="15.75" customHeight="1">
      <c r="B1864" s="48">
        <v>3.582977E7</v>
      </c>
      <c r="C1864" s="80" t="s">
        <v>4177</v>
      </c>
      <c r="D1864" s="140" t="s">
        <v>636</v>
      </c>
      <c r="E1864" s="80" t="s">
        <v>4447</v>
      </c>
      <c r="F1864" s="80">
        <v>104.0705116</v>
      </c>
      <c r="G1864" s="142">
        <v>8.499874878</v>
      </c>
      <c r="H1864" s="143"/>
      <c r="I1864" s="143"/>
      <c r="J1864" s="143"/>
      <c r="K1864" s="143"/>
      <c r="L1864" s="143"/>
      <c r="M1864" s="143"/>
      <c r="N1864" s="80" t="s">
        <v>1078</v>
      </c>
      <c r="O1864" s="80" t="s">
        <v>4448</v>
      </c>
      <c r="P1864" s="80" t="s">
        <v>4449</v>
      </c>
      <c r="Y1864" s="2" t="s">
        <v>23</v>
      </c>
    </row>
    <row r="1865" ht="15.75" customHeight="1">
      <c r="B1865" s="48">
        <v>3.582977E7</v>
      </c>
      <c r="C1865" s="80" t="s">
        <v>4177</v>
      </c>
      <c r="D1865" s="140" t="s">
        <v>636</v>
      </c>
      <c r="E1865" s="80" t="s">
        <v>3550</v>
      </c>
      <c r="F1865" s="80">
        <v>106.0497826</v>
      </c>
      <c r="G1865" s="142">
        <v>10.64855754</v>
      </c>
      <c r="H1865" s="143"/>
      <c r="I1865" s="143"/>
      <c r="J1865" s="143"/>
      <c r="K1865" s="143"/>
      <c r="L1865" s="143"/>
      <c r="M1865" s="143"/>
      <c r="N1865" s="80" t="s">
        <v>3190</v>
      </c>
      <c r="O1865" s="80" t="s">
        <v>4436</v>
      </c>
      <c r="P1865" s="80" t="s">
        <v>4437</v>
      </c>
      <c r="Y1865" s="2" t="s">
        <v>23</v>
      </c>
    </row>
    <row r="1866" ht="15.75" customHeight="1">
      <c r="B1866" s="48">
        <v>3.582977E7</v>
      </c>
      <c r="C1866" s="80" t="s">
        <v>4177</v>
      </c>
      <c r="D1866" s="140" t="s">
        <v>636</v>
      </c>
      <c r="E1866" s="80" t="s">
        <v>219</v>
      </c>
      <c r="F1866" s="80">
        <v>116.0704859</v>
      </c>
      <c r="G1866" s="142">
        <v>6.892362467</v>
      </c>
      <c r="H1866" s="143"/>
      <c r="I1866" s="143"/>
      <c r="J1866" s="143"/>
      <c r="K1866" s="143"/>
      <c r="L1866" s="143"/>
      <c r="M1866" s="143"/>
      <c r="N1866" s="80" t="s">
        <v>3058</v>
      </c>
      <c r="O1866" s="80" t="s">
        <v>4438</v>
      </c>
      <c r="P1866" s="80" t="s">
        <v>4439</v>
      </c>
      <c r="Y1866" s="2" t="s">
        <v>23</v>
      </c>
    </row>
    <row r="1867" ht="15.75" customHeight="1">
      <c r="B1867" s="48">
        <v>3.582977E7</v>
      </c>
      <c r="C1867" s="80" t="s">
        <v>4177</v>
      </c>
      <c r="D1867" s="140" t="s">
        <v>636</v>
      </c>
      <c r="E1867" s="80" t="s">
        <v>219</v>
      </c>
      <c r="F1867" s="80">
        <v>116.0704889</v>
      </c>
      <c r="G1867" s="142">
        <v>12.99381307</v>
      </c>
      <c r="H1867" s="143"/>
      <c r="I1867" s="143"/>
      <c r="J1867" s="143"/>
      <c r="K1867" s="143"/>
      <c r="L1867" s="143"/>
      <c r="M1867" s="143"/>
      <c r="N1867" s="80" t="s">
        <v>3058</v>
      </c>
      <c r="O1867" s="80" t="s">
        <v>4438</v>
      </c>
      <c r="P1867" s="80" t="s">
        <v>4439</v>
      </c>
      <c r="Y1867" s="2" t="s">
        <v>23</v>
      </c>
    </row>
    <row r="1868" ht="15.75" customHeight="1">
      <c r="B1868" s="48">
        <v>3.582977E7</v>
      </c>
      <c r="C1868" s="80" t="s">
        <v>4177</v>
      </c>
      <c r="D1868" s="140" t="s">
        <v>636</v>
      </c>
      <c r="E1868" s="80" t="s">
        <v>3561</v>
      </c>
      <c r="F1868" s="80">
        <v>118.0860451</v>
      </c>
      <c r="G1868" s="142">
        <v>6.869437154</v>
      </c>
      <c r="H1868" s="143"/>
      <c r="I1868" s="143"/>
      <c r="J1868" s="143"/>
      <c r="K1868" s="143"/>
      <c r="L1868" s="143"/>
      <c r="M1868" s="143"/>
      <c r="N1868" s="80" t="s">
        <v>1324</v>
      </c>
      <c r="O1868" s="80" t="s">
        <v>4440</v>
      </c>
      <c r="P1868" s="80" t="s">
        <v>4441</v>
      </c>
      <c r="Y1868" s="2" t="s">
        <v>23</v>
      </c>
    </row>
    <row r="1869" ht="15.75" customHeight="1">
      <c r="B1869" s="48">
        <v>3.582977E7</v>
      </c>
      <c r="C1869" s="80" t="s">
        <v>4177</v>
      </c>
      <c r="D1869" s="140" t="s">
        <v>636</v>
      </c>
      <c r="E1869" s="80" t="s">
        <v>4516</v>
      </c>
      <c r="F1869" s="80">
        <v>120.0654171</v>
      </c>
      <c r="G1869" s="142">
        <v>9.576372274</v>
      </c>
      <c r="H1869" s="143"/>
      <c r="I1869" s="143"/>
      <c r="J1869" s="143"/>
      <c r="K1869" s="143"/>
      <c r="L1869" s="143"/>
      <c r="M1869" s="143"/>
      <c r="N1869" s="80" t="s">
        <v>1017</v>
      </c>
      <c r="O1869" s="80" t="s">
        <v>4517</v>
      </c>
      <c r="P1869" s="80" t="s">
        <v>4518</v>
      </c>
      <c r="Y1869" s="2" t="s">
        <v>23</v>
      </c>
    </row>
    <row r="1870" ht="15.75" customHeight="1">
      <c r="B1870" s="48">
        <v>3.582977E7</v>
      </c>
      <c r="C1870" s="80" t="s">
        <v>4177</v>
      </c>
      <c r="D1870" s="140" t="s">
        <v>636</v>
      </c>
      <c r="E1870" s="80" t="s">
        <v>4195</v>
      </c>
      <c r="F1870" s="80">
        <v>123.055135</v>
      </c>
      <c r="G1870" s="142">
        <v>2.453264618</v>
      </c>
      <c r="H1870" s="143"/>
      <c r="I1870" s="143"/>
      <c r="J1870" s="143"/>
      <c r="K1870" s="143"/>
      <c r="L1870" s="143"/>
      <c r="M1870" s="143"/>
      <c r="N1870" s="80" t="s">
        <v>2732</v>
      </c>
      <c r="O1870" s="80" t="s">
        <v>4442</v>
      </c>
      <c r="P1870" s="80" t="s">
        <v>4197</v>
      </c>
      <c r="Y1870" s="2" t="s">
        <v>23</v>
      </c>
    </row>
    <row r="1871" ht="15.75" customHeight="1">
      <c r="B1871" s="48">
        <v>3.582977E7</v>
      </c>
      <c r="C1871" s="80" t="s">
        <v>4177</v>
      </c>
      <c r="D1871" s="140" t="s">
        <v>636</v>
      </c>
      <c r="E1871" s="80" t="s">
        <v>380</v>
      </c>
      <c r="F1871" s="80">
        <v>126.0218329</v>
      </c>
      <c r="G1871" s="142">
        <v>10.08154399</v>
      </c>
      <c r="H1871" s="143"/>
      <c r="I1871" s="143"/>
      <c r="J1871" s="143"/>
      <c r="K1871" s="143"/>
      <c r="L1871" s="143"/>
      <c r="M1871" s="143"/>
      <c r="N1871" s="80" t="s">
        <v>3300</v>
      </c>
      <c r="O1871" s="80" t="s">
        <v>4315</v>
      </c>
      <c r="P1871" s="80" t="s">
        <v>4199</v>
      </c>
      <c r="Y1871" s="2" t="s">
        <v>23</v>
      </c>
    </row>
    <row r="1872" ht="15.75" customHeight="1">
      <c r="B1872" s="48">
        <v>3.582977E7</v>
      </c>
      <c r="C1872" s="80" t="s">
        <v>4177</v>
      </c>
      <c r="D1872" s="140" t="s">
        <v>636</v>
      </c>
      <c r="E1872" s="80" t="s">
        <v>4500</v>
      </c>
      <c r="F1872" s="80">
        <v>129.1020964</v>
      </c>
      <c r="G1872" s="142">
        <v>12.89682922</v>
      </c>
      <c r="H1872" s="143"/>
      <c r="I1872" s="143"/>
      <c r="J1872" s="143"/>
      <c r="K1872" s="143"/>
      <c r="L1872" s="143"/>
      <c r="M1872" s="143"/>
      <c r="N1872" s="80" t="s">
        <v>4501</v>
      </c>
      <c r="O1872" s="80" t="s">
        <v>4502</v>
      </c>
      <c r="P1872" s="80" t="s">
        <v>4503</v>
      </c>
      <c r="Y1872" s="2" t="s">
        <v>23</v>
      </c>
    </row>
    <row r="1873" ht="15.75" customHeight="1">
      <c r="B1873" s="48">
        <v>3.582977E7</v>
      </c>
      <c r="C1873" s="80" t="s">
        <v>4177</v>
      </c>
      <c r="D1873" s="140" t="s">
        <v>636</v>
      </c>
      <c r="E1873" s="80" t="s">
        <v>4316</v>
      </c>
      <c r="F1873" s="80">
        <v>130.0497647</v>
      </c>
      <c r="G1873" s="142">
        <v>10.091487</v>
      </c>
      <c r="H1873" s="143"/>
      <c r="I1873" s="143"/>
      <c r="J1873" s="143"/>
      <c r="K1873" s="143"/>
      <c r="L1873" s="143"/>
      <c r="M1873" s="143"/>
      <c r="N1873" s="80" t="s">
        <v>1358</v>
      </c>
      <c r="O1873" s="80" t="s">
        <v>4317</v>
      </c>
      <c r="P1873" s="80" t="s">
        <v>3914</v>
      </c>
      <c r="Y1873" s="2" t="s">
        <v>23</v>
      </c>
    </row>
    <row r="1874" ht="15.75" customHeight="1">
      <c r="B1874" s="48">
        <v>3.582977E7</v>
      </c>
      <c r="C1874" s="80" t="s">
        <v>4177</v>
      </c>
      <c r="D1874" s="140" t="s">
        <v>636</v>
      </c>
      <c r="E1874" s="80" t="s">
        <v>4316</v>
      </c>
      <c r="F1874" s="80">
        <v>130.049781</v>
      </c>
      <c r="G1874" s="142">
        <v>10.64855754</v>
      </c>
      <c r="H1874" s="143"/>
      <c r="I1874" s="143"/>
      <c r="J1874" s="143"/>
      <c r="K1874" s="143"/>
      <c r="L1874" s="143"/>
      <c r="M1874" s="143"/>
      <c r="N1874" s="80" t="s">
        <v>1358</v>
      </c>
      <c r="O1874" s="80" t="s">
        <v>4317</v>
      </c>
      <c r="P1874" s="80" t="s">
        <v>3914</v>
      </c>
      <c r="Y1874" s="2" t="s">
        <v>23</v>
      </c>
    </row>
    <row r="1875" ht="15.75" customHeight="1">
      <c r="B1875" s="48">
        <v>3.582977E7</v>
      </c>
      <c r="C1875" s="80" t="s">
        <v>4177</v>
      </c>
      <c r="D1875" s="140" t="s">
        <v>636</v>
      </c>
      <c r="E1875" s="80" t="s">
        <v>4316</v>
      </c>
      <c r="F1875" s="80">
        <v>130.0497759</v>
      </c>
      <c r="G1875" s="142">
        <v>11.52779846</v>
      </c>
      <c r="H1875" s="143"/>
      <c r="I1875" s="143"/>
      <c r="J1875" s="143"/>
      <c r="K1875" s="143"/>
      <c r="L1875" s="143"/>
      <c r="M1875" s="143"/>
      <c r="N1875" s="80" t="s">
        <v>1358</v>
      </c>
      <c r="O1875" s="80" t="s">
        <v>4317</v>
      </c>
      <c r="P1875" s="80" t="s">
        <v>3914</v>
      </c>
      <c r="Y1875" s="2" t="s">
        <v>23</v>
      </c>
    </row>
    <row r="1876" ht="15.75" customHeight="1">
      <c r="B1876" s="48">
        <v>3.582977E7</v>
      </c>
      <c r="C1876" s="80" t="s">
        <v>4177</v>
      </c>
      <c r="D1876" s="140" t="s">
        <v>636</v>
      </c>
      <c r="E1876" s="80" t="s">
        <v>4365</v>
      </c>
      <c r="F1876" s="80">
        <v>130.0862826</v>
      </c>
      <c r="G1876" s="142">
        <v>12.89682922</v>
      </c>
      <c r="H1876" s="143"/>
      <c r="I1876" s="143"/>
      <c r="J1876" s="143"/>
      <c r="K1876" s="143"/>
      <c r="L1876" s="143"/>
      <c r="M1876" s="143"/>
      <c r="N1876" s="80" t="s">
        <v>2777</v>
      </c>
      <c r="O1876" s="80" t="s">
        <v>4366</v>
      </c>
      <c r="P1876" s="80" t="s">
        <v>4367</v>
      </c>
      <c r="Y1876" s="2" t="s">
        <v>23</v>
      </c>
    </row>
    <row r="1877" ht="15.75" customHeight="1">
      <c r="B1877" s="48">
        <v>3.582977E7</v>
      </c>
      <c r="C1877" s="80" t="s">
        <v>4177</v>
      </c>
      <c r="D1877" s="140" t="s">
        <v>636</v>
      </c>
      <c r="E1877" s="80" t="s">
        <v>4365</v>
      </c>
      <c r="F1877" s="80">
        <v>130.0861548</v>
      </c>
      <c r="G1877" s="142">
        <v>4.547264608</v>
      </c>
      <c r="H1877" s="143"/>
      <c r="I1877" s="143"/>
      <c r="J1877" s="143"/>
      <c r="K1877" s="143"/>
      <c r="L1877" s="143"/>
      <c r="M1877" s="143"/>
      <c r="N1877" s="80" t="s">
        <v>2777</v>
      </c>
      <c r="O1877" s="80" t="s">
        <v>4366</v>
      </c>
      <c r="P1877" s="80" t="s">
        <v>4367</v>
      </c>
      <c r="Y1877" s="2" t="s">
        <v>23</v>
      </c>
    </row>
    <row r="1878" ht="15.75" customHeight="1">
      <c r="B1878" s="48">
        <v>3.582977E7</v>
      </c>
      <c r="C1878" s="80" t="s">
        <v>4177</v>
      </c>
      <c r="D1878" s="140" t="s">
        <v>636</v>
      </c>
      <c r="E1878" s="80" t="s">
        <v>4365</v>
      </c>
      <c r="F1878" s="80">
        <v>130.0861508</v>
      </c>
      <c r="G1878" s="142">
        <v>6.458618673</v>
      </c>
      <c r="H1878" s="143"/>
      <c r="I1878" s="143"/>
      <c r="J1878" s="143"/>
      <c r="K1878" s="143"/>
      <c r="L1878" s="143"/>
      <c r="M1878" s="143"/>
      <c r="N1878" s="80" t="s">
        <v>2777</v>
      </c>
      <c r="O1878" s="80" t="s">
        <v>4366</v>
      </c>
      <c r="P1878" s="80" t="s">
        <v>4367</v>
      </c>
      <c r="Y1878" s="2" t="s">
        <v>23</v>
      </c>
    </row>
    <row r="1879" ht="15.75" customHeight="1">
      <c r="B1879" s="48">
        <v>3.582977E7</v>
      </c>
      <c r="C1879" s="80" t="s">
        <v>4177</v>
      </c>
      <c r="D1879" s="140" t="s">
        <v>636</v>
      </c>
      <c r="E1879" s="80" t="s">
        <v>2656</v>
      </c>
      <c r="F1879" s="80">
        <v>131.1177294</v>
      </c>
      <c r="G1879" s="142">
        <v>7.311040243</v>
      </c>
      <c r="H1879" s="143"/>
      <c r="I1879" s="143"/>
      <c r="J1879" s="143"/>
      <c r="K1879" s="143"/>
      <c r="L1879" s="143"/>
      <c r="M1879" s="143"/>
      <c r="N1879" s="80" t="s">
        <v>2657</v>
      </c>
      <c r="O1879" s="80" t="s">
        <v>2658</v>
      </c>
      <c r="P1879" s="80" t="s">
        <v>4505</v>
      </c>
      <c r="Y1879" s="2" t="s">
        <v>23</v>
      </c>
    </row>
    <row r="1880" ht="15.75" customHeight="1">
      <c r="B1880" s="48">
        <v>3.582977E7</v>
      </c>
      <c r="C1880" s="80" t="s">
        <v>4177</v>
      </c>
      <c r="D1880" s="140" t="s">
        <v>636</v>
      </c>
      <c r="E1880" s="80" t="s">
        <v>4111</v>
      </c>
      <c r="F1880" s="80">
        <v>132.080647</v>
      </c>
      <c r="G1880" s="142">
        <v>6.216016642</v>
      </c>
      <c r="H1880" s="143"/>
      <c r="I1880" s="143"/>
      <c r="J1880" s="143"/>
      <c r="K1880" s="143"/>
      <c r="L1880" s="143"/>
      <c r="M1880" s="143"/>
      <c r="N1880" s="80" t="s">
        <v>3829</v>
      </c>
      <c r="O1880" s="80" t="s">
        <v>4112</v>
      </c>
      <c r="P1880" s="80" t="s">
        <v>4113</v>
      </c>
      <c r="Y1880" s="2" t="s">
        <v>23</v>
      </c>
    </row>
    <row r="1881" ht="15.75" customHeight="1">
      <c r="B1881" s="48">
        <v>3.582977E7</v>
      </c>
      <c r="C1881" s="80" t="s">
        <v>4177</v>
      </c>
      <c r="D1881" s="140" t="s">
        <v>636</v>
      </c>
      <c r="E1881" s="80" t="s">
        <v>4483</v>
      </c>
      <c r="F1881" s="80">
        <v>132.1017713</v>
      </c>
      <c r="G1881" s="142">
        <v>4.893104045</v>
      </c>
      <c r="H1881" s="143"/>
      <c r="I1881" s="143"/>
      <c r="J1881" s="143"/>
      <c r="K1881" s="143"/>
      <c r="L1881" s="143"/>
      <c r="M1881" s="143"/>
      <c r="N1881" s="80" t="s">
        <v>2272</v>
      </c>
      <c r="O1881" s="80" t="s">
        <v>4484</v>
      </c>
      <c r="P1881" s="80" t="s">
        <v>4485</v>
      </c>
      <c r="Y1881" s="2" t="s">
        <v>23</v>
      </c>
    </row>
    <row r="1882" ht="15.75" customHeight="1">
      <c r="B1882" s="48">
        <v>3.582977E7</v>
      </c>
      <c r="C1882" s="80" t="s">
        <v>4177</v>
      </c>
      <c r="D1882" s="140" t="s">
        <v>636</v>
      </c>
      <c r="E1882" s="80" t="s">
        <v>4327</v>
      </c>
      <c r="F1882" s="80">
        <v>137.0456614</v>
      </c>
      <c r="G1882" s="142">
        <v>4.076954397</v>
      </c>
      <c r="H1882" s="143"/>
      <c r="I1882" s="143"/>
      <c r="J1882" s="143"/>
      <c r="K1882" s="143"/>
      <c r="L1882" s="143"/>
      <c r="M1882" s="143"/>
      <c r="N1882" s="80" t="s">
        <v>2220</v>
      </c>
      <c r="O1882" s="80" t="s">
        <v>4328</v>
      </c>
      <c r="P1882" s="80" t="s">
        <v>4329</v>
      </c>
      <c r="Y1882" s="2" t="s">
        <v>23</v>
      </c>
    </row>
    <row r="1883" ht="15.75" customHeight="1">
      <c r="B1883" s="48">
        <v>3.582977E7</v>
      </c>
      <c r="C1883" s="80" t="s">
        <v>4177</v>
      </c>
      <c r="D1883" s="140" t="s">
        <v>636</v>
      </c>
      <c r="E1883" s="80" t="s">
        <v>4377</v>
      </c>
      <c r="F1883" s="80">
        <v>138.0548445</v>
      </c>
      <c r="G1883" s="142">
        <v>5.379351807</v>
      </c>
      <c r="H1883" s="143"/>
      <c r="I1883" s="143"/>
      <c r="J1883" s="143"/>
      <c r="K1883" s="143"/>
      <c r="L1883" s="143"/>
      <c r="M1883" s="143"/>
      <c r="N1883" s="80" t="s">
        <v>1498</v>
      </c>
      <c r="O1883" s="80" t="s">
        <v>4378</v>
      </c>
      <c r="P1883" s="80" t="s">
        <v>4379</v>
      </c>
      <c r="Y1883" s="2" t="s">
        <v>23</v>
      </c>
    </row>
    <row r="1884" ht="15.75" customHeight="1">
      <c r="B1884" s="48">
        <v>3.582977E7</v>
      </c>
      <c r="C1884" s="80" t="s">
        <v>4177</v>
      </c>
      <c r="D1884" s="140" t="s">
        <v>636</v>
      </c>
      <c r="E1884" s="80" t="s">
        <v>4088</v>
      </c>
      <c r="F1884" s="80">
        <v>146.0599136</v>
      </c>
      <c r="G1884" s="142">
        <v>6.185279338</v>
      </c>
      <c r="H1884" s="143"/>
      <c r="I1884" s="143"/>
      <c r="J1884" s="143"/>
      <c r="K1884" s="143"/>
      <c r="L1884" s="143"/>
      <c r="M1884" s="143"/>
      <c r="N1884" s="80" t="s">
        <v>716</v>
      </c>
      <c r="O1884" s="80" t="s">
        <v>4509</v>
      </c>
      <c r="P1884" s="80" t="s">
        <v>4090</v>
      </c>
      <c r="Y1884" s="2" t="s">
        <v>23</v>
      </c>
    </row>
    <row r="1885" ht="15.75" customHeight="1">
      <c r="B1885" s="48">
        <v>3.582977E7</v>
      </c>
      <c r="C1885" s="80" t="s">
        <v>4177</v>
      </c>
      <c r="D1885" s="140" t="s">
        <v>636</v>
      </c>
      <c r="E1885" s="80" t="s">
        <v>3529</v>
      </c>
      <c r="F1885" s="80">
        <v>147.0763018</v>
      </c>
      <c r="G1885" s="142">
        <v>10.64855754</v>
      </c>
      <c r="H1885" s="143"/>
      <c r="I1885" s="143"/>
      <c r="J1885" s="143"/>
      <c r="K1885" s="143"/>
      <c r="L1885" s="143"/>
      <c r="M1885" s="143"/>
      <c r="N1885" s="80" t="s">
        <v>1211</v>
      </c>
      <c r="O1885" s="80" t="s">
        <v>4291</v>
      </c>
      <c r="P1885" s="80" t="s">
        <v>3916</v>
      </c>
      <c r="Y1885" s="2" t="s">
        <v>23</v>
      </c>
    </row>
    <row r="1886" ht="15.75" customHeight="1">
      <c r="B1886" s="48">
        <v>3.582977E7</v>
      </c>
      <c r="C1886" s="80" t="s">
        <v>4177</v>
      </c>
      <c r="D1886" s="140" t="s">
        <v>636</v>
      </c>
      <c r="E1886" s="80" t="s">
        <v>3528</v>
      </c>
      <c r="F1886" s="80">
        <v>148.0602929</v>
      </c>
      <c r="G1886" s="142">
        <v>11.52445961</v>
      </c>
      <c r="H1886" s="143"/>
      <c r="I1886" s="143"/>
      <c r="J1886" s="143"/>
      <c r="K1886" s="143"/>
      <c r="L1886" s="143"/>
      <c r="M1886" s="143"/>
      <c r="N1886" s="80" t="s">
        <v>2032</v>
      </c>
      <c r="O1886" s="80" t="s">
        <v>4292</v>
      </c>
      <c r="P1886" s="80" t="s">
        <v>4232</v>
      </c>
      <c r="Y1886" s="2" t="s">
        <v>23</v>
      </c>
    </row>
    <row r="1887" ht="15.75" customHeight="1">
      <c r="B1887" s="48">
        <v>3.582977E7</v>
      </c>
      <c r="C1887" s="80" t="s">
        <v>4177</v>
      </c>
      <c r="D1887" s="140" t="s">
        <v>636</v>
      </c>
      <c r="E1887" s="80" t="s">
        <v>3541</v>
      </c>
      <c r="F1887" s="80">
        <v>150.0582308</v>
      </c>
      <c r="G1887" s="142">
        <v>6.286570721</v>
      </c>
      <c r="H1887" s="143"/>
      <c r="I1887" s="143"/>
      <c r="J1887" s="143"/>
      <c r="K1887" s="143"/>
      <c r="L1887" s="143"/>
      <c r="M1887" s="143"/>
      <c r="N1887" s="80" t="s">
        <v>2444</v>
      </c>
      <c r="O1887" s="80" t="s">
        <v>4293</v>
      </c>
      <c r="P1887" s="80" t="s">
        <v>4294</v>
      </c>
      <c r="Y1887" s="2" t="s">
        <v>23</v>
      </c>
    </row>
    <row r="1888" ht="15.75" customHeight="1">
      <c r="B1888" s="48">
        <v>3.582977E7</v>
      </c>
      <c r="C1888" s="80" t="s">
        <v>4177</v>
      </c>
      <c r="D1888" s="140" t="s">
        <v>636</v>
      </c>
      <c r="E1888" s="80" t="s">
        <v>4027</v>
      </c>
      <c r="F1888" s="80">
        <v>150.1122962</v>
      </c>
      <c r="G1888" s="142">
        <v>3.430812327</v>
      </c>
      <c r="H1888" s="143"/>
      <c r="I1888" s="143"/>
      <c r="J1888" s="143"/>
      <c r="K1888" s="143"/>
      <c r="L1888" s="143"/>
      <c r="M1888" s="143"/>
      <c r="N1888" s="80" t="s">
        <v>4028</v>
      </c>
      <c r="O1888" s="80" t="s">
        <v>4510</v>
      </c>
      <c r="P1888" s="80" t="s">
        <v>4030</v>
      </c>
      <c r="Y1888" s="2" t="s">
        <v>23</v>
      </c>
    </row>
    <row r="1889" ht="15.75" customHeight="1">
      <c r="B1889" s="48">
        <v>3.582977E7</v>
      </c>
      <c r="C1889" s="80" t="s">
        <v>4177</v>
      </c>
      <c r="D1889" s="140" t="s">
        <v>636</v>
      </c>
      <c r="E1889" s="80" t="s">
        <v>4139</v>
      </c>
      <c r="F1889" s="80">
        <v>152.14319</v>
      </c>
      <c r="G1889" s="142">
        <v>7.077831014</v>
      </c>
      <c r="H1889" s="143"/>
      <c r="I1889" s="143"/>
      <c r="J1889" s="143"/>
      <c r="K1889" s="143"/>
      <c r="L1889" s="143"/>
      <c r="M1889" s="143"/>
      <c r="N1889" s="80" t="s">
        <v>4140</v>
      </c>
      <c r="O1889" s="80" t="s">
        <v>4337</v>
      </c>
      <c r="P1889" s="80" t="s">
        <v>4142</v>
      </c>
      <c r="Y1889" s="2" t="s">
        <v>23</v>
      </c>
    </row>
    <row r="1890" ht="15.75" customHeight="1">
      <c r="B1890" s="48">
        <v>3.582977E7</v>
      </c>
      <c r="C1890" s="80" t="s">
        <v>4177</v>
      </c>
      <c r="D1890" s="140" t="s">
        <v>636</v>
      </c>
      <c r="E1890" s="80" t="s">
        <v>3531</v>
      </c>
      <c r="F1890" s="80">
        <v>156.0766513</v>
      </c>
      <c r="G1890" s="142">
        <v>10.03189087</v>
      </c>
      <c r="H1890" s="143"/>
      <c r="I1890" s="143"/>
      <c r="J1890" s="143"/>
      <c r="K1890" s="143"/>
      <c r="L1890" s="143"/>
      <c r="M1890" s="143"/>
      <c r="N1890" s="80" t="s">
        <v>2182</v>
      </c>
      <c r="O1890" s="80" t="s">
        <v>4295</v>
      </c>
      <c r="P1890" s="80" t="s">
        <v>4234</v>
      </c>
      <c r="Y1890" s="2" t="s">
        <v>23</v>
      </c>
    </row>
    <row r="1891" ht="15.75" customHeight="1">
      <c r="B1891" s="48">
        <v>3.582977E7</v>
      </c>
      <c r="C1891" s="80" t="s">
        <v>4177</v>
      </c>
      <c r="D1891" s="140" t="s">
        <v>636</v>
      </c>
      <c r="E1891" s="80" t="s">
        <v>3531</v>
      </c>
      <c r="F1891" s="80">
        <v>156.0766634</v>
      </c>
      <c r="G1891" s="142">
        <v>11.47378082</v>
      </c>
      <c r="H1891" s="143"/>
      <c r="I1891" s="143"/>
      <c r="J1891" s="143"/>
      <c r="K1891" s="143"/>
      <c r="L1891" s="143"/>
      <c r="M1891" s="143"/>
      <c r="N1891" s="80" t="s">
        <v>2182</v>
      </c>
      <c r="O1891" s="80" t="s">
        <v>4295</v>
      </c>
      <c r="P1891" s="80" t="s">
        <v>4234</v>
      </c>
      <c r="Y1891" s="2" t="s">
        <v>23</v>
      </c>
    </row>
    <row r="1892" ht="15.75" customHeight="1">
      <c r="B1892" s="48">
        <v>3.582977E7</v>
      </c>
      <c r="C1892" s="80" t="s">
        <v>4177</v>
      </c>
      <c r="D1892" s="140" t="s">
        <v>636</v>
      </c>
      <c r="E1892" s="80" t="s">
        <v>3531</v>
      </c>
      <c r="F1892" s="80">
        <v>156.0766262</v>
      </c>
      <c r="G1892" s="142">
        <v>6.040583293</v>
      </c>
      <c r="H1892" s="143"/>
      <c r="I1892" s="143"/>
      <c r="J1892" s="143"/>
      <c r="K1892" s="143"/>
      <c r="L1892" s="143"/>
      <c r="M1892" s="143"/>
      <c r="N1892" s="80" t="s">
        <v>2182</v>
      </c>
      <c r="O1892" s="80" t="s">
        <v>4295</v>
      </c>
      <c r="P1892" s="80" t="s">
        <v>4234</v>
      </c>
      <c r="Y1892" s="2" t="s">
        <v>23</v>
      </c>
    </row>
    <row r="1893" ht="15.75" customHeight="1">
      <c r="B1893" s="48">
        <v>3.582977E7</v>
      </c>
      <c r="C1893" s="80" t="s">
        <v>4177</v>
      </c>
      <c r="D1893" s="140" t="s">
        <v>636</v>
      </c>
      <c r="E1893" s="80" t="s">
        <v>4519</v>
      </c>
      <c r="F1893" s="80">
        <v>161.1283103</v>
      </c>
      <c r="G1893" s="142">
        <v>11.91892293</v>
      </c>
      <c r="H1893" s="143"/>
      <c r="I1893" s="143"/>
      <c r="J1893" s="143"/>
      <c r="K1893" s="143"/>
      <c r="L1893" s="143"/>
      <c r="M1893" s="143"/>
      <c r="N1893" s="80" t="s">
        <v>4520</v>
      </c>
      <c r="O1893" s="80" t="s">
        <v>4521</v>
      </c>
      <c r="P1893" s="80" t="s">
        <v>4522</v>
      </c>
      <c r="Y1893" s="2" t="s">
        <v>23</v>
      </c>
    </row>
    <row r="1894" ht="15.75" customHeight="1">
      <c r="B1894" s="48">
        <v>3.582977E7</v>
      </c>
      <c r="C1894" s="80" t="s">
        <v>4177</v>
      </c>
      <c r="D1894" s="140" t="s">
        <v>636</v>
      </c>
      <c r="E1894" s="80" t="s">
        <v>4390</v>
      </c>
      <c r="F1894" s="80">
        <v>165.0545509</v>
      </c>
      <c r="G1894" s="142">
        <v>8.485574849</v>
      </c>
      <c r="H1894" s="143"/>
      <c r="I1894" s="143"/>
      <c r="J1894" s="143"/>
      <c r="K1894" s="143"/>
      <c r="L1894" s="143"/>
      <c r="M1894" s="143"/>
      <c r="N1894" s="80" t="s">
        <v>1108</v>
      </c>
      <c r="O1894" s="80" t="s">
        <v>4391</v>
      </c>
      <c r="P1894" s="80" t="s">
        <v>4392</v>
      </c>
      <c r="Y1894" s="2" t="s">
        <v>23</v>
      </c>
    </row>
    <row r="1895" ht="15.75" customHeight="1">
      <c r="B1895" s="48">
        <v>3.582977E7</v>
      </c>
      <c r="C1895" s="80" t="s">
        <v>4177</v>
      </c>
      <c r="D1895" s="140" t="s">
        <v>636</v>
      </c>
      <c r="E1895" s="80" t="s">
        <v>140</v>
      </c>
      <c r="F1895" s="80">
        <v>166.0861176</v>
      </c>
      <c r="G1895" s="142">
        <v>4.796656291</v>
      </c>
      <c r="H1895" s="143"/>
      <c r="I1895" s="143"/>
      <c r="J1895" s="143"/>
      <c r="K1895" s="143"/>
      <c r="L1895" s="143"/>
      <c r="M1895" s="143"/>
      <c r="N1895" s="80" t="s">
        <v>2983</v>
      </c>
      <c r="O1895" s="80" t="s">
        <v>4486</v>
      </c>
      <c r="P1895" s="80" t="s">
        <v>4487</v>
      </c>
      <c r="Y1895" s="2" t="s">
        <v>23</v>
      </c>
    </row>
    <row r="1896" ht="15.75" customHeight="1">
      <c r="B1896" s="48">
        <v>3.582977E7</v>
      </c>
      <c r="C1896" s="80" t="s">
        <v>4177</v>
      </c>
      <c r="D1896" s="140" t="s">
        <v>636</v>
      </c>
      <c r="E1896" s="80" t="s">
        <v>4523</v>
      </c>
      <c r="F1896" s="80">
        <v>170.0922346</v>
      </c>
      <c r="G1896" s="142">
        <v>7.431656392</v>
      </c>
      <c r="H1896" s="143"/>
      <c r="I1896" s="143"/>
      <c r="J1896" s="143"/>
      <c r="K1896" s="143"/>
      <c r="L1896" s="143"/>
      <c r="M1896" s="143"/>
      <c r="N1896" s="80" t="s">
        <v>761</v>
      </c>
      <c r="O1896" s="80" t="s">
        <v>4405</v>
      </c>
      <c r="P1896" s="80" t="s">
        <v>4406</v>
      </c>
      <c r="Y1896" s="2" t="s">
        <v>23</v>
      </c>
    </row>
    <row r="1897" ht="15.75" customHeight="1">
      <c r="B1897" s="48">
        <v>3.582977E7</v>
      </c>
      <c r="C1897" s="80" t="s">
        <v>4177</v>
      </c>
      <c r="D1897" s="140" t="s">
        <v>636</v>
      </c>
      <c r="E1897" s="80" t="s">
        <v>4462</v>
      </c>
      <c r="F1897" s="80">
        <v>170.0922552</v>
      </c>
      <c r="G1897" s="142">
        <v>9.075358073</v>
      </c>
      <c r="H1897" s="143"/>
      <c r="I1897" s="143"/>
      <c r="J1897" s="143"/>
      <c r="K1897" s="143"/>
      <c r="L1897" s="143"/>
      <c r="M1897" s="143"/>
      <c r="N1897" s="80" t="s">
        <v>761</v>
      </c>
      <c r="O1897" s="80" t="s">
        <v>4463</v>
      </c>
      <c r="P1897" s="80" t="s">
        <v>4464</v>
      </c>
      <c r="Y1897" s="2" t="s">
        <v>23</v>
      </c>
    </row>
    <row r="1898" ht="15.75" customHeight="1">
      <c r="B1898" s="48">
        <v>3.582977E7</v>
      </c>
      <c r="C1898" s="80" t="s">
        <v>4177</v>
      </c>
      <c r="D1898" s="140" t="s">
        <v>636</v>
      </c>
      <c r="E1898" s="80" t="s">
        <v>4465</v>
      </c>
      <c r="F1898" s="80">
        <v>172.1330531</v>
      </c>
      <c r="G1898" s="142">
        <v>1.735318756</v>
      </c>
      <c r="H1898" s="143"/>
      <c r="I1898" s="143"/>
      <c r="J1898" s="143"/>
      <c r="K1898" s="143"/>
      <c r="L1898" s="143"/>
      <c r="M1898" s="143"/>
      <c r="N1898" s="80" t="s">
        <v>4466</v>
      </c>
      <c r="O1898" s="80" t="s">
        <v>4467</v>
      </c>
      <c r="P1898" s="80" t="s">
        <v>4468</v>
      </c>
      <c r="Y1898" s="2" t="s">
        <v>23</v>
      </c>
    </row>
    <row r="1899" ht="15.75" customHeight="1">
      <c r="B1899" s="48">
        <v>3.582977E7</v>
      </c>
      <c r="C1899" s="80" t="s">
        <v>4177</v>
      </c>
      <c r="D1899" s="140" t="s">
        <v>636</v>
      </c>
      <c r="E1899" s="80" t="s">
        <v>4241</v>
      </c>
      <c r="F1899" s="80">
        <v>175.118841</v>
      </c>
      <c r="G1899" s="142">
        <v>12.98966166</v>
      </c>
      <c r="H1899" s="143"/>
      <c r="I1899" s="143"/>
      <c r="J1899" s="143"/>
      <c r="K1899" s="143"/>
      <c r="L1899" s="143"/>
      <c r="M1899" s="143"/>
      <c r="N1899" s="80" t="s">
        <v>1526</v>
      </c>
      <c r="O1899" s="80" t="s">
        <v>4296</v>
      </c>
      <c r="P1899" s="80" t="s">
        <v>3924</v>
      </c>
      <c r="Y1899" s="2" t="s">
        <v>23</v>
      </c>
    </row>
    <row r="1900" ht="15.75" customHeight="1">
      <c r="B1900" s="48">
        <v>3.582977E7</v>
      </c>
      <c r="C1900" s="80" t="s">
        <v>4177</v>
      </c>
      <c r="D1900" s="140" t="s">
        <v>636</v>
      </c>
      <c r="E1900" s="80" t="s">
        <v>128</v>
      </c>
      <c r="F1900" s="80">
        <v>176.1028774</v>
      </c>
      <c r="G1900" s="142">
        <v>10.66843262</v>
      </c>
      <c r="H1900" s="143"/>
      <c r="I1900" s="143"/>
      <c r="J1900" s="143"/>
      <c r="K1900" s="143"/>
      <c r="L1900" s="143"/>
      <c r="M1900" s="143"/>
      <c r="N1900" s="80" t="s">
        <v>1709</v>
      </c>
      <c r="O1900" s="80" t="s">
        <v>4469</v>
      </c>
      <c r="P1900" s="80" t="s">
        <v>4246</v>
      </c>
      <c r="Y1900" s="2" t="s">
        <v>23</v>
      </c>
    </row>
    <row r="1901" ht="15.75" customHeight="1">
      <c r="B1901" s="48">
        <v>3.582977E7</v>
      </c>
      <c r="C1901" s="80" t="s">
        <v>4177</v>
      </c>
      <c r="D1901" s="140" t="s">
        <v>636</v>
      </c>
      <c r="E1901" s="80" t="s">
        <v>4470</v>
      </c>
      <c r="F1901" s="80">
        <v>180.0864551</v>
      </c>
      <c r="G1901" s="142">
        <v>9.150312297</v>
      </c>
      <c r="H1901" s="143"/>
      <c r="I1901" s="143"/>
      <c r="J1901" s="143"/>
      <c r="K1901" s="143"/>
      <c r="L1901" s="143"/>
      <c r="M1901" s="143"/>
      <c r="N1901" s="80" t="s">
        <v>4471</v>
      </c>
      <c r="O1901" s="80" t="s">
        <v>4472</v>
      </c>
      <c r="P1901" s="80" t="s">
        <v>4473</v>
      </c>
      <c r="Y1901" s="2" t="s">
        <v>23</v>
      </c>
    </row>
    <row r="1902" ht="15.75" customHeight="1">
      <c r="B1902" s="48">
        <v>3.582977E7</v>
      </c>
      <c r="C1902" s="80" t="s">
        <v>4177</v>
      </c>
      <c r="D1902" s="140" t="s">
        <v>636</v>
      </c>
      <c r="E1902" s="80" t="s">
        <v>3558</v>
      </c>
      <c r="F1902" s="80">
        <v>182.081128</v>
      </c>
      <c r="G1902" s="142">
        <v>8.485574849</v>
      </c>
      <c r="H1902" s="143"/>
      <c r="I1902" s="143"/>
      <c r="J1902" s="143"/>
      <c r="K1902" s="143"/>
      <c r="L1902" s="143"/>
      <c r="M1902" s="143"/>
      <c r="N1902" s="80" t="s">
        <v>2900</v>
      </c>
      <c r="O1902" s="80" t="s">
        <v>4491</v>
      </c>
      <c r="P1902" s="80" t="s">
        <v>4492</v>
      </c>
      <c r="Y1902" s="2" t="s">
        <v>23</v>
      </c>
    </row>
    <row r="1903" ht="15.75" customHeight="1">
      <c r="B1903" s="48">
        <v>3.582977E7</v>
      </c>
      <c r="C1903" s="80" t="s">
        <v>4177</v>
      </c>
      <c r="D1903" s="140" t="s">
        <v>636</v>
      </c>
      <c r="E1903" s="80" t="s">
        <v>4118</v>
      </c>
      <c r="F1903" s="80">
        <v>204.1129787</v>
      </c>
      <c r="G1903" s="142">
        <v>1.8265584</v>
      </c>
      <c r="H1903" s="143"/>
      <c r="I1903" s="143"/>
      <c r="J1903" s="143"/>
      <c r="K1903" s="143"/>
      <c r="L1903" s="143"/>
      <c r="M1903" s="143"/>
      <c r="N1903" s="80" t="s">
        <v>4119</v>
      </c>
      <c r="O1903" s="80" t="s">
        <v>4393</v>
      </c>
      <c r="P1903" s="80" t="s">
        <v>4121</v>
      </c>
      <c r="Y1903" s="2" t="s">
        <v>23</v>
      </c>
    </row>
    <row r="1904" ht="15.75" customHeight="1">
      <c r="B1904" s="48">
        <v>3.582977E7</v>
      </c>
      <c r="C1904" s="80" t="s">
        <v>4177</v>
      </c>
      <c r="D1904" s="140" t="s">
        <v>636</v>
      </c>
      <c r="E1904" s="80" t="s">
        <v>3557</v>
      </c>
      <c r="F1904" s="80">
        <v>205.0970159</v>
      </c>
      <c r="G1904" s="142">
        <v>6.198456319</v>
      </c>
      <c r="H1904" s="143"/>
      <c r="I1904" s="143"/>
      <c r="J1904" s="143"/>
      <c r="K1904" s="143"/>
      <c r="L1904" s="143"/>
      <c r="M1904" s="143"/>
      <c r="N1904" s="80" t="s">
        <v>3394</v>
      </c>
      <c r="O1904" s="80" t="s">
        <v>4493</v>
      </c>
      <c r="P1904" s="80" t="s">
        <v>4081</v>
      </c>
      <c r="Y1904" s="2" t="s">
        <v>23</v>
      </c>
    </row>
    <row r="1905" ht="15.75" customHeight="1">
      <c r="B1905" s="48">
        <v>3.582977E7</v>
      </c>
      <c r="C1905" s="80" t="s">
        <v>4177</v>
      </c>
      <c r="D1905" s="140" t="s">
        <v>636</v>
      </c>
      <c r="E1905" s="80" t="s">
        <v>4257</v>
      </c>
      <c r="F1905" s="80">
        <v>232.1077324</v>
      </c>
      <c r="G1905" s="142">
        <v>1.866327159</v>
      </c>
      <c r="H1905" s="143"/>
      <c r="I1905" s="143"/>
      <c r="J1905" s="143"/>
      <c r="K1905" s="143"/>
      <c r="L1905" s="143"/>
      <c r="M1905" s="143"/>
      <c r="N1905" s="80" t="s">
        <v>4258</v>
      </c>
      <c r="O1905" s="80" t="s">
        <v>4418</v>
      </c>
      <c r="P1905" s="80" t="s">
        <v>4260</v>
      </c>
      <c r="Y1905" s="2" t="s">
        <v>23</v>
      </c>
    </row>
    <row r="1906" ht="15.75" customHeight="1">
      <c r="B1906" s="48">
        <v>3.582977E7</v>
      </c>
      <c r="C1906" s="80" t="s">
        <v>4177</v>
      </c>
      <c r="D1906" s="140" t="s">
        <v>636</v>
      </c>
      <c r="E1906" s="80" t="s">
        <v>4419</v>
      </c>
      <c r="F1906" s="80">
        <v>241.0307594</v>
      </c>
      <c r="G1906" s="142">
        <v>12.13222656</v>
      </c>
      <c r="H1906" s="143"/>
      <c r="I1906" s="143"/>
      <c r="J1906" s="143"/>
      <c r="K1906" s="143"/>
      <c r="L1906" s="143"/>
      <c r="M1906" s="143"/>
      <c r="N1906" s="80" t="s">
        <v>1747</v>
      </c>
      <c r="O1906" s="80" t="s">
        <v>4420</v>
      </c>
      <c r="P1906" s="80" t="s">
        <v>4421</v>
      </c>
      <c r="Y1906" s="2" t="s">
        <v>23</v>
      </c>
    </row>
    <row r="1907" ht="15.75" customHeight="1">
      <c r="B1907" s="48">
        <v>3.582977E7</v>
      </c>
      <c r="C1907" s="80" t="s">
        <v>4177</v>
      </c>
      <c r="D1907" s="140" t="s">
        <v>636</v>
      </c>
      <c r="E1907" s="80" t="s">
        <v>4370</v>
      </c>
      <c r="F1907" s="80">
        <v>260.1639938</v>
      </c>
      <c r="G1907" s="142">
        <v>2.3741625</v>
      </c>
      <c r="H1907" s="143"/>
      <c r="I1907" s="143"/>
      <c r="J1907" s="143"/>
      <c r="K1907" s="143"/>
      <c r="L1907" s="143"/>
      <c r="M1907" s="143"/>
      <c r="N1907" s="80" t="s">
        <v>4358</v>
      </c>
      <c r="O1907" s="80" t="s">
        <v>4371</v>
      </c>
      <c r="P1907" s="80" t="s">
        <v>4372</v>
      </c>
      <c r="Y1907" s="2" t="s">
        <v>23</v>
      </c>
    </row>
    <row r="1908" ht="15.75" customHeight="1">
      <c r="B1908" s="48">
        <v>3.582977E7</v>
      </c>
      <c r="C1908" s="80" t="s">
        <v>4177</v>
      </c>
      <c r="D1908" s="140" t="s">
        <v>636</v>
      </c>
      <c r="E1908" s="80" t="s">
        <v>4427</v>
      </c>
      <c r="F1908" s="80">
        <v>268.153789</v>
      </c>
      <c r="G1908" s="142">
        <v>5.355339559</v>
      </c>
      <c r="H1908" s="143"/>
      <c r="I1908" s="143"/>
      <c r="J1908" s="143"/>
      <c r="K1908" s="143"/>
      <c r="L1908" s="143"/>
      <c r="M1908" s="143"/>
      <c r="N1908" s="80" t="s">
        <v>4428</v>
      </c>
      <c r="O1908" s="80" t="s">
        <v>4429</v>
      </c>
      <c r="P1908" s="80" t="s">
        <v>4430</v>
      </c>
      <c r="Y1908" s="2" t="s">
        <v>23</v>
      </c>
    </row>
    <row r="1909" ht="15.75" customHeight="1">
      <c r="B1909" s="48">
        <v>3.582977E7</v>
      </c>
      <c r="C1909" s="80" t="s">
        <v>4177</v>
      </c>
      <c r="D1909" s="140" t="s">
        <v>636</v>
      </c>
      <c r="E1909" s="80" t="s">
        <v>4427</v>
      </c>
      <c r="F1909" s="80">
        <v>268.1537918</v>
      </c>
      <c r="G1909" s="142">
        <v>6.171280924</v>
      </c>
      <c r="H1909" s="143"/>
      <c r="I1909" s="143"/>
      <c r="J1909" s="143"/>
      <c r="K1909" s="143"/>
      <c r="L1909" s="143"/>
      <c r="M1909" s="143"/>
      <c r="N1909" s="80" t="s">
        <v>4428</v>
      </c>
      <c r="O1909" s="80" t="s">
        <v>4429</v>
      </c>
      <c r="P1909" s="80" t="s">
        <v>4430</v>
      </c>
      <c r="Y1909" s="2" t="s">
        <v>23</v>
      </c>
    </row>
    <row r="1910" ht="15.75" customHeight="1">
      <c r="B1910" s="48">
        <v>3.582977E7</v>
      </c>
      <c r="C1910" s="80" t="s">
        <v>4177</v>
      </c>
      <c r="D1910" s="140" t="s">
        <v>636</v>
      </c>
      <c r="E1910" s="80" t="s">
        <v>4279</v>
      </c>
      <c r="F1910" s="80">
        <v>286.1432271</v>
      </c>
      <c r="G1910" s="142">
        <v>1.685560354</v>
      </c>
      <c r="H1910" s="143"/>
      <c r="I1910" s="143"/>
      <c r="J1910" s="143"/>
      <c r="K1910" s="143"/>
      <c r="L1910" s="143"/>
      <c r="M1910" s="143"/>
      <c r="N1910" s="80" t="s">
        <v>4083</v>
      </c>
      <c r="O1910" s="80" t="s">
        <v>4362</v>
      </c>
      <c r="P1910" s="80" t="s">
        <v>4085</v>
      </c>
      <c r="Y1910" s="2" t="s">
        <v>23</v>
      </c>
    </row>
    <row r="1911" ht="15.75" customHeight="1">
      <c r="B1911" s="48">
        <v>3.582977E7</v>
      </c>
      <c r="C1911" s="80" t="s">
        <v>4177</v>
      </c>
      <c r="D1911" s="140" t="s">
        <v>636</v>
      </c>
      <c r="E1911" s="80" t="s">
        <v>4114</v>
      </c>
      <c r="F1911" s="80">
        <v>307.1107179</v>
      </c>
      <c r="G1911" s="142">
        <v>1.745274989</v>
      </c>
      <c r="H1911" s="143"/>
      <c r="I1911" s="143"/>
      <c r="J1911" s="143"/>
      <c r="K1911" s="143"/>
      <c r="L1911" s="143"/>
      <c r="M1911" s="143"/>
      <c r="N1911" s="80" t="s">
        <v>4115</v>
      </c>
      <c r="O1911" s="80" t="s">
        <v>4363</v>
      </c>
      <c r="P1911" s="80" t="s">
        <v>4117</v>
      </c>
      <c r="Y1911" s="2" t="s">
        <v>23</v>
      </c>
    </row>
    <row r="1912" ht="15.75" customHeight="1">
      <c r="B1912" s="48">
        <v>3.582977E7</v>
      </c>
      <c r="C1912" s="80" t="s">
        <v>3911</v>
      </c>
      <c r="D1912" s="140" t="s">
        <v>636</v>
      </c>
      <c r="E1912" s="80" t="s">
        <v>4524</v>
      </c>
      <c r="F1912" s="80">
        <v>89.05970686</v>
      </c>
      <c r="G1912" s="142">
        <v>14.63889771</v>
      </c>
      <c r="H1912" s="143"/>
      <c r="I1912" s="143"/>
      <c r="J1912" s="143"/>
      <c r="K1912" s="143"/>
      <c r="L1912" s="143"/>
      <c r="M1912" s="143"/>
      <c r="N1912" s="80" t="s">
        <v>4525</v>
      </c>
      <c r="O1912" s="80" t="s">
        <v>4526</v>
      </c>
      <c r="P1912" s="80" t="s">
        <v>4527</v>
      </c>
      <c r="Y1912" s="2" t="s">
        <v>23</v>
      </c>
    </row>
    <row r="1913" ht="15.75" customHeight="1">
      <c r="B1913" s="48">
        <v>3.582977E7</v>
      </c>
      <c r="C1913" s="80" t="s">
        <v>3911</v>
      </c>
      <c r="D1913" s="140" t="s">
        <v>636</v>
      </c>
      <c r="E1913" s="80" t="s">
        <v>4528</v>
      </c>
      <c r="F1913" s="80">
        <v>198.0756259</v>
      </c>
      <c r="G1913" s="142">
        <v>3.671961212</v>
      </c>
      <c r="H1913" s="143"/>
      <c r="I1913" s="143"/>
      <c r="J1913" s="143"/>
      <c r="K1913" s="143"/>
      <c r="L1913" s="143"/>
      <c r="M1913" s="143"/>
      <c r="N1913" s="80" t="s">
        <v>4298</v>
      </c>
      <c r="O1913" s="80" t="s">
        <v>4414</v>
      </c>
      <c r="P1913" s="80" t="s">
        <v>4415</v>
      </c>
      <c r="Y1913" s="2" t="s">
        <v>23</v>
      </c>
    </row>
    <row r="1914" ht="15.75" customHeight="1">
      <c r="B1914" s="48">
        <v>3.582977E7</v>
      </c>
      <c r="C1914" s="80" t="s">
        <v>3911</v>
      </c>
      <c r="D1914" s="140" t="s">
        <v>636</v>
      </c>
      <c r="E1914" s="80" t="s">
        <v>3550</v>
      </c>
      <c r="F1914" s="80">
        <v>106.0496919</v>
      </c>
      <c r="G1914" s="142">
        <v>3.555242411</v>
      </c>
      <c r="H1914" s="143"/>
      <c r="I1914" s="143"/>
      <c r="J1914" s="143"/>
      <c r="K1914" s="143"/>
      <c r="L1914" s="143"/>
      <c r="M1914" s="143"/>
      <c r="N1914" s="80" t="s">
        <v>3190</v>
      </c>
      <c r="O1914" s="80" t="s">
        <v>4436</v>
      </c>
      <c r="P1914" s="80" t="s">
        <v>4437</v>
      </c>
      <c r="Y1914" s="2" t="s">
        <v>23</v>
      </c>
    </row>
    <row r="1915" ht="15.75" customHeight="1">
      <c r="B1915" s="48">
        <v>3.582977E7</v>
      </c>
      <c r="C1915" s="80" t="s">
        <v>3911</v>
      </c>
      <c r="D1915" s="140" t="s">
        <v>636</v>
      </c>
      <c r="E1915" s="80" t="s">
        <v>3528</v>
      </c>
      <c r="F1915" s="80">
        <v>148.0600313</v>
      </c>
      <c r="G1915" s="142">
        <v>3.533423615</v>
      </c>
      <c r="H1915" s="143"/>
      <c r="I1915" s="143"/>
      <c r="J1915" s="143"/>
      <c r="K1915" s="143"/>
      <c r="L1915" s="143"/>
      <c r="M1915" s="143"/>
      <c r="N1915" s="80" t="s">
        <v>2032</v>
      </c>
      <c r="O1915" s="80" t="s">
        <v>4292</v>
      </c>
      <c r="P1915" s="80" t="s">
        <v>4232</v>
      </c>
      <c r="Y1915" s="2" t="s">
        <v>23</v>
      </c>
    </row>
    <row r="1916" ht="15.75" customHeight="1">
      <c r="B1916" s="48">
        <v>3.582977E7</v>
      </c>
      <c r="C1916" s="80" t="s">
        <v>3911</v>
      </c>
      <c r="D1916" s="140" t="s">
        <v>636</v>
      </c>
      <c r="E1916" s="80" t="s">
        <v>380</v>
      </c>
      <c r="F1916" s="80">
        <v>126.0216618</v>
      </c>
      <c r="G1916" s="142">
        <v>3.631077576</v>
      </c>
      <c r="H1916" s="143"/>
      <c r="I1916" s="143"/>
      <c r="J1916" s="143"/>
      <c r="K1916" s="143"/>
      <c r="L1916" s="143"/>
      <c r="M1916" s="143"/>
      <c r="N1916" s="80" t="s">
        <v>3300</v>
      </c>
      <c r="O1916" s="80" t="s">
        <v>4315</v>
      </c>
      <c r="P1916" s="80" t="s">
        <v>4199</v>
      </c>
      <c r="Y1916" s="2" t="s">
        <v>23</v>
      </c>
    </row>
    <row r="1917" ht="15.75" customHeight="1">
      <c r="B1917" s="48">
        <v>3.582977E7</v>
      </c>
      <c r="C1917" s="80" t="s">
        <v>3911</v>
      </c>
      <c r="D1917" s="140" t="s">
        <v>636</v>
      </c>
      <c r="E1917" s="80" t="s">
        <v>4529</v>
      </c>
      <c r="F1917" s="80">
        <v>138.0658982</v>
      </c>
      <c r="G1917" s="142">
        <v>11.76080526</v>
      </c>
      <c r="H1917" s="143"/>
      <c r="I1917" s="143"/>
      <c r="J1917" s="143"/>
      <c r="K1917" s="143"/>
      <c r="L1917" s="143"/>
      <c r="M1917" s="143"/>
      <c r="N1917" s="80" t="s">
        <v>4530</v>
      </c>
      <c r="O1917" s="80" t="s">
        <v>4531</v>
      </c>
      <c r="P1917" s="80" t="s">
        <v>4532</v>
      </c>
      <c r="Y1917" s="2" t="s">
        <v>23</v>
      </c>
    </row>
    <row r="1918" ht="15.75" customHeight="1">
      <c r="B1918" s="48">
        <v>3.582977E7</v>
      </c>
      <c r="C1918" s="80" t="s">
        <v>3911</v>
      </c>
      <c r="D1918" s="140" t="s">
        <v>636</v>
      </c>
      <c r="E1918" s="80" t="s">
        <v>4533</v>
      </c>
      <c r="F1918" s="80">
        <v>299.149052</v>
      </c>
      <c r="G1918" s="142">
        <v>12.19280955</v>
      </c>
      <c r="H1918" s="143"/>
      <c r="I1918" s="143"/>
      <c r="J1918" s="143"/>
      <c r="K1918" s="143"/>
      <c r="L1918" s="143"/>
      <c r="M1918" s="143"/>
      <c r="N1918" s="80" t="s">
        <v>4534</v>
      </c>
      <c r="O1918" s="80" t="s">
        <v>4535</v>
      </c>
      <c r="P1918" s="80" t="s">
        <v>4536</v>
      </c>
      <c r="Y1918" s="2" t="s">
        <v>23</v>
      </c>
    </row>
    <row r="1919" ht="15.75" customHeight="1">
      <c r="B1919" s="48">
        <v>3.582977E7</v>
      </c>
      <c r="C1919" s="80" t="s">
        <v>3911</v>
      </c>
      <c r="D1919" s="140" t="s">
        <v>636</v>
      </c>
      <c r="E1919" s="80" t="s">
        <v>4537</v>
      </c>
      <c r="F1919" s="80">
        <v>361.19964</v>
      </c>
      <c r="G1919" s="142">
        <v>15.52965393</v>
      </c>
      <c r="H1919" s="143"/>
      <c r="I1919" s="143"/>
      <c r="J1919" s="143"/>
      <c r="K1919" s="143"/>
      <c r="L1919" s="143"/>
      <c r="M1919" s="143"/>
      <c r="N1919" s="80" t="s">
        <v>4307</v>
      </c>
      <c r="O1919" s="80" t="s">
        <v>4538</v>
      </c>
      <c r="P1919" s="80" t="s">
        <v>4539</v>
      </c>
      <c r="Y1919" s="2" t="s">
        <v>23</v>
      </c>
    </row>
    <row r="1920" ht="15.75" customHeight="1">
      <c r="B1920" s="48">
        <v>3.582977E7</v>
      </c>
      <c r="C1920" s="80" t="s">
        <v>3911</v>
      </c>
      <c r="D1920" s="140" t="s">
        <v>636</v>
      </c>
      <c r="E1920" s="80" t="s">
        <v>4540</v>
      </c>
      <c r="F1920" s="80">
        <v>147.0437443</v>
      </c>
      <c r="G1920" s="142">
        <v>4.011392721</v>
      </c>
      <c r="H1920" s="143"/>
      <c r="I1920" s="143"/>
      <c r="J1920" s="143"/>
      <c r="K1920" s="143"/>
      <c r="L1920" s="143"/>
      <c r="M1920" s="143"/>
      <c r="N1920" s="80" t="s">
        <v>4166</v>
      </c>
      <c r="O1920" s="80" t="s">
        <v>4228</v>
      </c>
      <c r="P1920" s="80" t="s">
        <v>4229</v>
      </c>
      <c r="Y1920" s="2" t="s">
        <v>23</v>
      </c>
    </row>
    <row r="1921" ht="15.75" customHeight="1">
      <c r="B1921" s="48">
        <v>3.582977E7</v>
      </c>
      <c r="C1921" s="80" t="s">
        <v>3911</v>
      </c>
      <c r="D1921" s="140" t="s">
        <v>636</v>
      </c>
      <c r="E1921" s="80" t="s">
        <v>4541</v>
      </c>
      <c r="F1921" s="80">
        <v>221.091351</v>
      </c>
      <c r="G1921" s="142">
        <v>10.28227997</v>
      </c>
      <c r="H1921" s="143"/>
      <c r="I1921" s="143"/>
      <c r="J1921" s="143"/>
      <c r="K1921" s="143"/>
      <c r="L1921" s="143"/>
      <c r="M1921" s="143"/>
      <c r="N1921" s="80" t="s">
        <v>4542</v>
      </c>
      <c r="O1921" s="80" t="s">
        <v>4543</v>
      </c>
      <c r="P1921" s="80" t="s">
        <v>4544</v>
      </c>
      <c r="Y1921" s="2" t="s">
        <v>23</v>
      </c>
    </row>
    <row r="1922" ht="15.75" customHeight="1">
      <c r="B1922" s="48">
        <v>3.582977E7</v>
      </c>
      <c r="C1922" s="80" t="s">
        <v>3911</v>
      </c>
      <c r="D1922" s="140" t="s">
        <v>636</v>
      </c>
      <c r="E1922" s="80" t="s">
        <v>4310</v>
      </c>
      <c r="F1922" s="80">
        <v>363.2153649</v>
      </c>
      <c r="G1922" s="142">
        <v>15.92819773</v>
      </c>
      <c r="H1922" s="143"/>
      <c r="I1922" s="143"/>
      <c r="J1922" s="143"/>
      <c r="K1922" s="143"/>
      <c r="L1922" s="143"/>
      <c r="M1922" s="143"/>
      <c r="N1922" s="80" t="s">
        <v>4311</v>
      </c>
      <c r="O1922" s="80" t="s">
        <v>4312</v>
      </c>
      <c r="P1922" s="80" t="s">
        <v>4313</v>
      </c>
      <c r="Y1922" s="2" t="s">
        <v>23</v>
      </c>
    </row>
    <row r="1923" ht="15.75" customHeight="1">
      <c r="B1923" s="48">
        <v>3.582977E7</v>
      </c>
      <c r="C1923" s="80" t="s">
        <v>3911</v>
      </c>
      <c r="D1923" s="140" t="s">
        <v>636</v>
      </c>
      <c r="E1923" s="80" t="s">
        <v>4545</v>
      </c>
      <c r="F1923" s="80">
        <v>286.1429781</v>
      </c>
      <c r="G1923" s="142">
        <v>17.68659058</v>
      </c>
      <c r="H1923" s="143"/>
      <c r="I1923" s="143"/>
      <c r="J1923" s="143"/>
      <c r="K1923" s="143"/>
      <c r="L1923" s="143"/>
      <c r="M1923" s="143"/>
      <c r="N1923" s="80" t="s">
        <v>4083</v>
      </c>
      <c r="O1923" s="80" t="s">
        <v>4546</v>
      </c>
      <c r="P1923" s="80" t="s">
        <v>4547</v>
      </c>
      <c r="Y1923" s="2" t="s">
        <v>23</v>
      </c>
    </row>
    <row r="1924" ht="15.75" customHeight="1">
      <c r="B1924" s="48">
        <v>3.582977E7</v>
      </c>
      <c r="C1924" s="80" t="s">
        <v>3911</v>
      </c>
      <c r="D1924" s="140" t="s">
        <v>636</v>
      </c>
      <c r="E1924" s="80" t="s">
        <v>3557</v>
      </c>
      <c r="F1924" s="80">
        <v>205.096592</v>
      </c>
      <c r="G1924" s="142">
        <v>13.77869059</v>
      </c>
      <c r="H1924" s="143"/>
      <c r="I1924" s="143"/>
      <c r="J1924" s="143"/>
      <c r="K1924" s="143"/>
      <c r="L1924" s="143"/>
      <c r="M1924" s="143"/>
      <c r="N1924" s="80" t="s">
        <v>3394</v>
      </c>
      <c r="O1924" s="80" t="s">
        <v>4493</v>
      </c>
      <c r="P1924" s="80" t="s">
        <v>4081</v>
      </c>
      <c r="Y1924" s="2" t="s">
        <v>23</v>
      </c>
    </row>
    <row r="1925" ht="15.75" customHeight="1">
      <c r="B1925" s="48">
        <v>3.582977E7</v>
      </c>
      <c r="C1925" s="80" t="s">
        <v>3911</v>
      </c>
      <c r="D1925" s="140" t="s">
        <v>636</v>
      </c>
      <c r="E1925" s="80" t="s">
        <v>4548</v>
      </c>
      <c r="F1925" s="80">
        <v>232.1076464</v>
      </c>
      <c r="G1925" s="142">
        <v>11.59276174</v>
      </c>
      <c r="H1925" s="143"/>
      <c r="I1925" s="143"/>
      <c r="J1925" s="143"/>
      <c r="K1925" s="143"/>
      <c r="L1925" s="143"/>
      <c r="M1925" s="143"/>
      <c r="N1925" s="80" t="s">
        <v>4258</v>
      </c>
      <c r="O1925" s="80" t="s">
        <v>4549</v>
      </c>
      <c r="P1925" s="80" t="s">
        <v>4550</v>
      </c>
      <c r="Y1925" s="2" t="s">
        <v>23</v>
      </c>
    </row>
    <row r="1926" ht="15.75" customHeight="1">
      <c r="B1926" s="48">
        <v>3.582977E7</v>
      </c>
      <c r="C1926" s="80" t="s">
        <v>3911</v>
      </c>
      <c r="D1926" s="140" t="s">
        <v>636</v>
      </c>
      <c r="E1926" s="80" t="s">
        <v>4551</v>
      </c>
      <c r="F1926" s="80">
        <v>192.0649966</v>
      </c>
      <c r="G1926" s="142">
        <v>4.757007853</v>
      </c>
      <c r="H1926" s="143"/>
      <c r="I1926" s="143"/>
      <c r="J1926" s="143"/>
      <c r="K1926" s="143"/>
      <c r="L1926" s="143"/>
      <c r="M1926" s="143"/>
      <c r="N1926" s="80" t="s">
        <v>1029</v>
      </c>
      <c r="O1926" s="80" t="s">
        <v>4552</v>
      </c>
      <c r="P1926" s="80" t="s">
        <v>4553</v>
      </c>
      <c r="Y1926" s="2" t="s">
        <v>23</v>
      </c>
    </row>
    <row r="1927" ht="15.75" customHeight="1">
      <c r="B1927" s="48">
        <v>3.582977E7</v>
      </c>
      <c r="C1927" s="80" t="s">
        <v>3911</v>
      </c>
      <c r="D1927" s="140" t="s">
        <v>636</v>
      </c>
      <c r="E1927" s="80" t="s">
        <v>3526</v>
      </c>
      <c r="F1927" s="80">
        <v>114.0661207</v>
      </c>
      <c r="G1927" s="142">
        <v>3.492687988</v>
      </c>
      <c r="H1927" s="143"/>
      <c r="I1927" s="143"/>
      <c r="J1927" s="143"/>
      <c r="K1927" s="143"/>
      <c r="L1927" s="143"/>
      <c r="M1927" s="143"/>
      <c r="N1927" s="80" t="s">
        <v>638</v>
      </c>
      <c r="O1927" s="80" t="s">
        <v>4290</v>
      </c>
      <c r="P1927" s="80" t="s">
        <v>3969</v>
      </c>
      <c r="Y1927" s="2" t="s">
        <v>23</v>
      </c>
    </row>
    <row r="1928" ht="15.75" customHeight="1">
      <c r="B1928" s="48">
        <v>3.582977E7</v>
      </c>
      <c r="C1928" s="80" t="s">
        <v>3911</v>
      </c>
      <c r="D1928" s="140" t="s">
        <v>636</v>
      </c>
      <c r="E1928" s="80" t="s">
        <v>4139</v>
      </c>
      <c r="F1928" s="80">
        <v>152.1430887</v>
      </c>
      <c r="G1928" s="142">
        <v>12.71896464</v>
      </c>
      <c r="H1928" s="143"/>
      <c r="I1928" s="143"/>
      <c r="J1928" s="143"/>
      <c r="K1928" s="143"/>
      <c r="L1928" s="143"/>
      <c r="M1928" s="143"/>
      <c r="N1928" s="80" t="s">
        <v>4140</v>
      </c>
      <c r="O1928" s="80" t="s">
        <v>4337</v>
      </c>
      <c r="P1928" s="80" t="s">
        <v>4142</v>
      </c>
      <c r="Y1928" s="2" t="s">
        <v>23</v>
      </c>
    </row>
    <row r="1929" ht="15.75" customHeight="1">
      <c r="B1929" s="48">
        <v>3.582977E7</v>
      </c>
      <c r="C1929" s="80" t="s">
        <v>3911</v>
      </c>
      <c r="D1929" s="140" t="s">
        <v>636</v>
      </c>
      <c r="E1929" s="80" t="s">
        <v>4554</v>
      </c>
      <c r="F1929" s="80">
        <v>585.2689937</v>
      </c>
      <c r="G1929" s="142">
        <v>16.22839966</v>
      </c>
      <c r="H1929" s="143"/>
      <c r="I1929" s="143"/>
      <c r="J1929" s="143"/>
      <c r="K1929" s="143"/>
      <c r="L1929" s="143"/>
      <c r="M1929" s="143"/>
      <c r="N1929" s="80" t="s">
        <v>1591</v>
      </c>
      <c r="O1929" s="80" t="s">
        <v>4555</v>
      </c>
      <c r="P1929" s="80" t="s">
        <v>4556</v>
      </c>
      <c r="Y1929" s="2" t="s">
        <v>23</v>
      </c>
    </row>
    <row r="1930" ht="15.75" customHeight="1">
      <c r="B1930" s="48">
        <v>3.582977E7</v>
      </c>
      <c r="C1930" s="80" t="s">
        <v>3911</v>
      </c>
      <c r="D1930" s="140" t="s">
        <v>636</v>
      </c>
      <c r="E1930" s="80" t="s">
        <v>4557</v>
      </c>
      <c r="F1930" s="80">
        <v>104.0704213</v>
      </c>
      <c r="G1930" s="142">
        <v>3.456592306</v>
      </c>
      <c r="H1930" s="143"/>
      <c r="I1930" s="143"/>
      <c r="J1930" s="143"/>
      <c r="K1930" s="143"/>
      <c r="L1930" s="143"/>
      <c r="M1930" s="143"/>
      <c r="N1930" s="80" t="s">
        <v>1078</v>
      </c>
      <c r="O1930" s="80" t="s">
        <v>4558</v>
      </c>
      <c r="P1930" s="80" t="s">
        <v>4559</v>
      </c>
      <c r="Y1930" s="2" t="s">
        <v>23</v>
      </c>
    </row>
    <row r="1931" ht="15.75" customHeight="1">
      <c r="B1931" s="48">
        <v>3.582977E7</v>
      </c>
      <c r="C1931" s="80" t="s">
        <v>3911</v>
      </c>
      <c r="D1931" s="140" t="s">
        <v>636</v>
      </c>
      <c r="E1931" s="146"/>
      <c r="F1931" s="80">
        <v>122.0574047</v>
      </c>
      <c r="G1931" s="142">
        <v>3.453473155</v>
      </c>
      <c r="H1931" s="143"/>
      <c r="I1931" s="143"/>
      <c r="J1931" s="143"/>
      <c r="K1931" s="143"/>
      <c r="L1931" s="143"/>
      <c r="M1931" s="143"/>
      <c r="N1931" s="144"/>
      <c r="O1931" s="144"/>
      <c r="P1931" s="144"/>
      <c r="Q1931" s="143"/>
      <c r="R1931" s="143"/>
      <c r="Y1931" s="2" t="s">
        <v>23</v>
      </c>
    </row>
    <row r="1932" ht="15.75" customHeight="1">
      <c r="B1932" s="48">
        <v>3.582977E7</v>
      </c>
      <c r="C1932" s="80" t="s">
        <v>3911</v>
      </c>
      <c r="D1932" s="140" t="s">
        <v>636</v>
      </c>
      <c r="E1932" s="146"/>
      <c r="F1932" s="80">
        <v>184.0942026</v>
      </c>
      <c r="G1932" s="142">
        <v>3.517874654</v>
      </c>
      <c r="H1932" s="143"/>
      <c r="I1932" s="143"/>
      <c r="J1932" s="143"/>
      <c r="K1932" s="143"/>
      <c r="L1932" s="143"/>
      <c r="M1932" s="143"/>
      <c r="N1932" s="144"/>
      <c r="O1932" s="144"/>
      <c r="P1932" s="144"/>
      <c r="Q1932" s="143"/>
      <c r="R1932" s="143"/>
      <c r="Y1932" s="2" t="s">
        <v>23</v>
      </c>
    </row>
    <row r="1933" ht="15.75" customHeight="1">
      <c r="B1933" s="48">
        <v>3.582977E7</v>
      </c>
      <c r="C1933" s="80" t="s">
        <v>3911</v>
      </c>
      <c r="D1933" s="140" t="s">
        <v>636</v>
      </c>
      <c r="E1933" s="146"/>
      <c r="F1933" s="80">
        <v>261.0359209</v>
      </c>
      <c r="G1933" s="142">
        <v>3.641102854</v>
      </c>
      <c r="H1933" s="143"/>
      <c r="I1933" s="143"/>
      <c r="J1933" s="143"/>
      <c r="K1933" s="143"/>
      <c r="L1933" s="143"/>
      <c r="M1933" s="143"/>
      <c r="N1933" s="144"/>
      <c r="O1933" s="144"/>
      <c r="P1933" s="144"/>
      <c r="Q1933" s="143"/>
      <c r="R1933" s="143"/>
      <c r="Y1933" s="2" t="s">
        <v>23</v>
      </c>
    </row>
    <row r="1934" ht="15.75" customHeight="1">
      <c r="B1934" s="48">
        <v>3.582977E7</v>
      </c>
      <c r="C1934" s="80" t="s">
        <v>3911</v>
      </c>
      <c r="D1934" s="140" t="s">
        <v>636</v>
      </c>
      <c r="E1934" s="146"/>
      <c r="F1934" s="80">
        <v>266.1205812</v>
      </c>
      <c r="G1934" s="142">
        <v>11.78480733</v>
      </c>
      <c r="H1934" s="143"/>
      <c r="I1934" s="143"/>
      <c r="J1934" s="143"/>
      <c r="K1934" s="143"/>
      <c r="L1934" s="143"/>
      <c r="M1934" s="143"/>
      <c r="N1934" s="144"/>
      <c r="O1934" s="144"/>
      <c r="P1934" s="144"/>
      <c r="Q1934" s="143"/>
      <c r="R1934" s="143"/>
      <c r="Y1934" s="2" t="s">
        <v>23</v>
      </c>
    </row>
    <row r="1935" ht="15.75" customHeight="1">
      <c r="B1935" s="48">
        <v>3.582977E7</v>
      </c>
      <c r="C1935" s="80" t="s">
        <v>3911</v>
      </c>
      <c r="D1935" s="140" t="s">
        <v>636</v>
      </c>
      <c r="E1935" s="146"/>
      <c r="F1935" s="80">
        <v>254.0889819</v>
      </c>
      <c r="G1935" s="142">
        <v>11.59276174</v>
      </c>
      <c r="H1935" s="143"/>
      <c r="I1935" s="143"/>
      <c r="J1935" s="143"/>
      <c r="K1935" s="143"/>
      <c r="L1935" s="143"/>
      <c r="M1935" s="143"/>
      <c r="N1935" s="144"/>
      <c r="O1935" s="144"/>
      <c r="P1935" s="144"/>
      <c r="Q1935" s="143"/>
      <c r="R1935" s="143"/>
      <c r="Y1935" s="2" t="s">
        <v>23</v>
      </c>
    </row>
    <row r="1936" ht="15.75" customHeight="1">
      <c r="B1936" s="48">
        <v>3.582977E7</v>
      </c>
      <c r="C1936" s="80" t="s">
        <v>3911</v>
      </c>
      <c r="D1936" s="140" t="s">
        <v>636</v>
      </c>
      <c r="E1936" s="146"/>
      <c r="F1936" s="80">
        <v>289.219135</v>
      </c>
      <c r="G1936" s="142">
        <v>15.23082886</v>
      </c>
      <c r="H1936" s="143"/>
      <c r="I1936" s="143"/>
      <c r="J1936" s="143"/>
      <c r="K1936" s="143"/>
      <c r="L1936" s="143"/>
      <c r="M1936" s="143"/>
      <c r="N1936" s="144"/>
      <c r="O1936" s="144"/>
      <c r="P1936" s="144"/>
      <c r="Q1936" s="143"/>
      <c r="R1936" s="143"/>
      <c r="Y1936" s="2" t="s">
        <v>23</v>
      </c>
    </row>
    <row r="1937" ht="15.75" customHeight="1">
      <c r="B1937" s="48">
        <v>3.582977E7</v>
      </c>
      <c r="C1937" s="80" t="s">
        <v>3911</v>
      </c>
      <c r="D1937" s="140" t="s">
        <v>636</v>
      </c>
      <c r="E1937" s="146"/>
      <c r="F1937" s="80">
        <v>180.1107954</v>
      </c>
      <c r="G1937" s="142">
        <v>11.44410706</v>
      </c>
      <c r="H1937" s="143"/>
      <c r="I1937" s="143"/>
      <c r="J1937" s="143"/>
      <c r="K1937" s="143"/>
      <c r="L1937" s="143"/>
      <c r="M1937" s="143"/>
      <c r="N1937" s="144"/>
      <c r="O1937" s="144"/>
      <c r="P1937" s="144"/>
      <c r="Q1937" s="143"/>
      <c r="R1937" s="143"/>
      <c r="Y1937" s="2" t="s">
        <v>23</v>
      </c>
    </row>
    <row r="1938" ht="15.75" customHeight="1">
      <c r="B1938" s="48">
        <v>3.582977E7</v>
      </c>
      <c r="C1938" s="80" t="s">
        <v>3911</v>
      </c>
      <c r="D1938" s="140" t="s">
        <v>636</v>
      </c>
      <c r="E1938" s="146"/>
      <c r="F1938" s="80">
        <v>221.0914892</v>
      </c>
      <c r="G1938" s="142">
        <v>4.497838338</v>
      </c>
      <c r="H1938" s="143"/>
      <c r="I1938" s="143"/>
      <c r="J1938" s="143"/>
      <c r="K1938" s="143"/>
      <c r="L1938" s="143"/>
      <c r="M1938" s="143"/>
      <c r="N1938" s="144"/>
      <c r="O1938" s="144"/>
      <c r="P1938" s="144"/>
      <c r="Q1938" s="143"/>
      <c r="R1938" s="143"/>
      <c r="Y1938" s="2" t="s">
        <v>23</v>
      </c>
    </row>
    <row r="1939" ht="15.75" customHeight="1">
      <c r="B1939" s="48">
        <v>3.582977E7</v>
      </c>
      <c r="C1939" s="80" t="s">
        <v>3911</v>
      </c>
      <c r="D1939" s="140" t="s">
        <v>636</v>
      </c>
      <c r="E1939" s="146"/>
      <c r="F1939" s="80">
        <v>170.07582</v>
      </c>
      <c r="G1939" s="142">
        <v>13.32763367</v>
      </c>
      <c r="H1939" s="143"/>
      <c r="I1939" s="143"/>
      <c r="J1939" s="143"/>
      <c r="K1939" s="143"/>
      <c r="L1939" s="143"/>
      <c r="M1939" s="143"/>
      <c r="N1939" s="144"/>
      <c r="O1939" s="144"/>
      <c r="P1939" s="144"/>
      <c r="Q1939" s="143"/>
      <c r="R1939" s="143"/>
      <c r="Y1939" s="2" t="s">
        <v>23</v>
      </c>
    </row>
    <row r="1940" ht="15.75" customHeight="1">
      <c r="B1940" s="48">
        <v>3.582977E7</v>
      </c>
      <c r="C1940" s="80" t="s">
        <v>3911</v>
      </c>
      <c r="D1940" s="140" t="s">
        <v>636</v>
      </c>
      <c r="E1940" s="146"/>
      <c r="F1940" s="80">
        <v>269.1079414</v>
      </c>
      <c r="G1940" s="142">
        <v>11.68385213</v>
      </c>
      <c r="H1940" s="143"/>
      <c r="I1940" s="143"/>
      <c r="J1940" s="143"/>
      <c r="K1940" s="143"/>
      <c r="L1940" s="143"/>
      <c r="M1940" s="143"/>
      <c r="N1940" s="144"/>
      <c r="O1940" s="144"/>
      <c r="P1940" s="144"/>
      <c r="Q1940" s="143"/>
      <c r="R1940" s="143"/>
      <c r="Y1940" s="2" t="s">
        <v>23</v>
      </c>
    </row>
    <row r="1941" ht="15.75" customHeight="1">
      <c r="B1941" s="48">
        <v>3.582977E7</v>
      </c>
      <c r="C1941" s="80" t="s">
        <v>3911</v>
      </c>
      <c r="D1941" s="140" t="s">
        <v>636</v>
      </c>
      <c r="E1941" s="146"/>
      <c r="F1941" s="80">
        <v>181.0683874</v>
      </c>
      <c r="G1941" s="142">
        <v>11.42273407</v>
      </c>
      <c r="H1941" s="143"/>
      <c r="I1941" s="143"/>
      <c r="J1941" s="143"/>
      <c r="K1941" s="143"/>
      <c r="L1941" s="143"/>
      <c r="M1941" s="143"/>
      <c r="N1941" s="144"/>
      <c r="O1941" s="144"/>
      <c r="P1941" s="144"/>
      <c r="Q1941" s="143"/>
      <c r="R1941" s="143"/>
      <c r="Y1941" s="2" t="s">
        <v>23</v>
      </c>
    </row>
    <row r="1942" ht="15.75" customHeight="1">
      <c r="B1942" s="48">
        <v>3.582977E7</v>
      </c>
      <c r="C1942" s="80" t="s">
        <v>3911</v>
      </c>
      <c r="D1942" s="140" t="s">
        <v>636</v>
      </c>
      <c r="E1942" s="146"/>
      <c r="F1942" s="80">
        <v>61.03072349</v>
      </c>
      <c r="G1942" s="142">
        <v>3.757174683</v>
      </c>
      <c r="H1942" s="143"/>
      <c r="I1942" s="143"/>
      <c r="J1942" s="143"/>
      <c r="K1942" s="143"/>
      <c r="L1942" s="143"/>
      <c r="M1942" s="143"/>
      <c r="N1942" s="144"/>
      <c r="O1942" s="144"/>
      <c r="P1942" s="144"/>
      <c r="Q1942" s="143"/>
      <c r="R1942" s="143"/>
      <c r="Y1942" s="2" t="s">
        <v>23</v>
      </c>
    </row>
    <row r="1943" ht="15.75" customHeight="1">
      <c r="B1943" s="48">
        <v>3.582977E7</v>
      </c>
      <c r="C1943" s="80" t="s">
        <v>3911</v>
      </c>
      <c r="D1943" s="140" t="s">
        <v>636</v>
      </c>
      <c r="E1943" s="146"/>
      <c r="F1943" s="80">
        <v>260.1668537</v>
      </c>
      <c r="G1943" s="142">
        <v>18.25332031</v>
      </c>
      <c r="H1943" s="143"/>
      <c r="I1943" s="143"/>
      <c r="J1943" s="143"/>
      <c r="K1943" s="143"/>
      <c r="L1943" s="143"/>
      <c r="M1943" s="143"/>
      <c r="N1943" s="144"/>
      <c r="O1943" s="144"/>
      <c r="P1943" s="144"/>
      <c r="Q1943" s="143"/>
      <c r="R1943" s="143"/>
      <c r="Y1943" s="2" t="s">
        <v>23</v>
      </c>
    </row>
    <row r="1944" ht="15.75" customHeight="1">
      <c r="B1944" s="48">
        <v>3.582977E7</v>
      </c>
      <c r="C1944" s="80" t="s">
        <v>3911</v>
      </c>
      <c r="D1944" s="140" t="s">
        <v>636</v>
      </c>
      <c r="E1944" s="146"/>
      <c r="F1944" s="80">
        <v>136.0390823</v>
      </c>
      <c r="G1944" s="142">
        <v>4.04424057</v>
      </c>
      <c r="H1944" s="143"/>
      <c r="I1944" s="143"/>
      <c r="J1944" s="143"/>
      <c r="K1944" s="143"/>
      <c r="L1944" s="143"/>
      <c r="M1944" s="143"/>
      <c r="N1944" s="144"/>
      <c r="O1944" s="144"/>
      <c r="P1944" s="144"/>
      <c r="Q1944" s="143"/>
      <c r="R1944" s="143"/>
      <c r="Y1944" s="2" t="s">
        <v>23</v>
      </c>
    </row>
    <row r="1945" ht="15.75" customHeight="1">
      <c r="B1945" s="48">
        <v>3.582977E7</v>
      </c>
      <c r="C1945" s="80" t="s">
        <v>3911</v>
      </c>
      <c r="D1945" s="140" t="s">
        <v>636</v>
      </c>
      <c r="E1945" s="146"/>
      <c r="F1945" s="80">
        <v>209.1168045</v>
      </c>
      <c r="G1945" s="142">
        <v>18.22518311</v>
      </c>
      <c r="H1945" s="143"/>
      <c r="I1945" s="143"/>
      <c r="J1945" s="143"/>
      <c r="K1945" s="143"/>
      <c r="L1945" s="143"/>
      <c r="M1945" s="143"/>
      <c r="N1945" s="144"/>
      <c r="O1945" s="144"/>
      <c r="P1945" s="144"/>
      <c r="Q1945" s="143"/>
      <c r="R1945" s="143"/>
      <c r="Y1945" s="2" t="s">
        <v>23</v>
      </c>
    </row>
    <row r="1946" ht="15.75" customHeight="1">
      <c r="B1946" s="48">
        <v>3.582977E7</v>
      </c>
      <c r="C1946" s="80" t="s">
        <v>3911</v>
      </c>
      <c r="D1946" s="140" t="s">
        <v>636</v>
      </c>
      <c r="E1946" s="146"/>
      <c r="F1946" s="80">
        <v>218.0861497</v>
      </c>
      <c r="G1946" s="142">
        <v>17.89615275</v>
      </c>
      <c r="H1946" s="143"/>
      <c r="I1946" s="143"/>
      <c r="J1946" s="143"/>
      <c r="K1946" s="143"/>
      <c r="L1946" s="143"/>
      <c r="M1946" s="143"/>
      <c r="N1946" s="144"/>
      <c r="O1946" s="144"/>
      <c r="P1946" s="144"/>
      <c r="Q1946" s="143"/>
      <c r="R1946" s="143"/>
      <c r="Y1946" s="2" t="s">
        <v>23</v>
      </c>
    </row>
    <row r="1947" ht="15.75" customHeight="1">
      <c r="B1947" s="48">
        <v>3.582977E7</v>
      </c>
      <c r="C1947" s="80" t="s">
        <v>3911</v>
      </c>
      <c r="D1947" s="140" t="s">
        <v>636</v>
      </c>
      <c r="E1947" s="146"/>
      <c r="F1947" s="80">
        <v>118.0649558</v>
      </c>
      <c r="G1947" s="142">
        <v>5.371368408</v>
      </c>
      <c r="H1947" s="143"/>
      <c r="I1947" s="143"/>
      <c r="J1947" s="143"/>
      <c r="K1947" s="143"/>
      <c r="L1947" s="143"/>
      <c r="M1947" s="143"/>
      <c r="N1947" s="144"/>
      <c r="O1947" s="144"/>
      <c r="P1947" s="144"/>
      <c r="Q1947" s="143"/>
      <c r="R1947" s="143"/>
      <c r="Y1947" s="2" t="s">
        <v>23</v>
      </c>
    </row>
    <row r="1948" ht="15.75" customHeight="1">
      <c r="B1948" s="48">
        <v>3.582977E7</v>
      </c>
      <c r="C1948" s="80" t="s">
        <v>3911</v>
      </c>
      <c r="D1948" s="140" t="s">
        <v>636</v>
      </c>
      <c r="E1948" s="146"/>
      <c r="F1948" s="80">
        <v>183.0841489</v>
      </c>
      <c r="G1948" s="142">
        <v>4.001700338</v>
      </c>
      <c r="H1948" s="143"/>
      <c r="I1948" s="143"/>
      <c r="J1948" s="143"/>
      <c r="K1948" s="143"/>
      <c r="L1948" s="143"/>
      <c r="M1948" s="143"/>
      <c r="N1948" s="144"/>
      <c r="O1948" s="144"/>
      <c r="P1948" s="144"/>
      <c r="Q1948" s="143"/>
      <c r="R1948" s="143"/>
      <c r="Y1948" s="2" t="s">
        <v>23</v>
      </c>
    </row>
    <row r="1949" ht="15.75" customHeight="1">
      <c r="B1949" s="48">
        <v>3.582977E7</v>
      </c>
      <c r="C1949" s="80" t="s">
        <v>3911</v>
      </c>
      <c r="D1949" s="140" t="s">
        <v>636</v>
      </c>
      <c r="E1949" s="146"/>
      <c r="F1949" s="80">
        <v>136.0471567</v>
      </c>
      <c r="G1949" s="142">
        <v>12.5278005</v>
      </c>
      <c r="H1949" s="143"/>
      <c r="I1949" s="143"/>
      <c r="J1949" s="143"/>
      <c r="K1949" s="143"/>
      <c r="L1949" s="143"/>
      <c r="M1949" s="143"/>
      <c r="N1949" s="144"/>
      <c r="O1949" s="144"/>
      <c r="P1949" s="144"/>
      <c r="Q1949" s="143"/>
      <c r="R1949" s="143"/>
      <c r="Y1949" s="2" t="s">
        <v>23</v>
      </c>
    </row>
    <row r="1950" ht="15.75" customHeight="1">
      <c r="B1950" s="48">
        <v>3.582977E7</v>
      </c>
      <c r="C1950" s="80" t="s">
        <v>3911</v>
      </c>
      <c r="D1950" s="140" t="s">
        <v>636</v>
      </c>
      <c r="E1950" s="80" t="s">
        <v>4541</v>
      </c>
      <c r="F1950" s="80">
        <v>221.0913589</v>
      </c>
      <c r="G1950" s="142">
        <v>9.083832804</v>
      </c>
      <c r="H1950" s="143"/>
      <c r="I1950" s="143"/>
      <c r="J1950" s="143"/>
      <c r="K1950" s="143"/>
      <c r="L1950" s="143"/>
      <c r="M1950" s="143"/>
      <c r="N1950" s="80" t="s">
        <v>4542</v>
      </c>
      <c r="O1950" s="80" t="s">
        <v>4543</v>
      </c>
      <c r="P1950" s="80" t="s">
        <v>4544</v>
      </c>
      <c r="Y1950" s="2" t="s">
        <v>23</v>
      </c>
    </row>
    <row r="1951" ht="15.75" customHeight="1">
      <c r="B1951" s="48">
        <v>3.582977E7</v>
      </c>
      <c r="C1951" s="80" t="s">
        <v>3911</v>
      </c>
      <c r="D1951" s="140" t="s">
        <v>636</v>
      </c>
      <c r="E1951" s="80" t="s">
        <v>4310</v>
      </c>
      <c r="F1951" s="80">
        <v>363.2153649</v>
      </c>
      <c r="G1951" s="142">
        <v>15.60171102</v>
      </c>
      <c r="H1951" s="143"/>
      <c r="I1951" s="143"/>
      <c r="J1951" s="143"/>
      <c r="K1951" s="143"/>
      <c r="L1951" s="143"/>
      <c r="M1951" s="143"/>
      <c r="N1951" s="80" t="s">
        <v>4311</v>
      </c>
      <c r="O1951" s="80" t="s">
        <v>4312</v>
      </c>
      <c r="P1951" s="80" t="s">
        <v>4313</v>
      </c>
      <c r="Y1951" s="2" t="s">
        <v>23</v>
      </c>
    </row>
    <row r="1952" ht="15.75" customHeight="1">
      <c r="B1952" s="48">
        <v>3.582977E7</v>
      </c>
      <c r="C1952" s="80" t="s">
        <v>3911</v>
      </c>
      <c r="D1952" s="140" t="s">
        <v>636</v>
      </c>
      <c r="E1952" s="80" t="s">
        <v>4560</v>
      </c>
      <c r="F1952" s="80">
        <v>310.2154188</v>
      </c>
      <c r="G1952" s="142">
        <v>12.77531942</v>
      </c>
      <c r="H1952" s="143"/>
      <c r="I1952" s="143"/>
      <c r="J1952" s="143"/>
      <c r="K1952" s="143"/>
      <c r="L1952" s="143"/>
      <c r="M1952" s="143"/>
      <c r="N1952" s="80" t="s">
        <v>4561</v>
      </c>
      <c r="O1952" s="80" t="s">
        <v>4562</v>
      </c>
      <c r="P1952" s="80" t="s">
        <v>4563</v>
      </c>
      <c r="Y1952" s="2" t="s">
        <v>23</v>
      </c>
    </row>
    <row r="1953" ht="15.75" customHeight="1">
      <c r="B1953" s="48">
        <v>3.582977E7</v>
      </c>
      <c r="C1953" s="80" t="s">
        <v>3911</v>
      </c>
      <c r="D1953" s="140" t="s">
        <v>636</v>
      </c>
      <c r="E1953" s="80" t="s">
        <v>4564</v>
      </c>
      <c r="F1953" s="80">
        <v>373.2725356</v>
      </c>
      <c r="G1953" s="142">
        <v>18.75803019</v>
      </c>
      <c r="H1953" s="143"/>
      <c r="I1953" s="143"/>
      <c r="J1953" s="143"/>
      <c r="K1953" s="143"/>
      <c r="L1953" s="143"/>
      <c r="M1953" s="143"/>
      <c r="N1953" s="80" t="s">
        <v>4565</v>
      </c>
      <c r="O1953" s="80" t="s">
        <v>4566</v>
      </c>
      <c r="P1953" s="80" t="s">
        <v>4567</v>
      </c>
      <c r="Y1953" s="2" t="s">
        <v>23</v>
      </c>
    </row>
    <row r="1954" ht="15.75" customHeight="1">
      <c r="B1954" s="48">
        <v>3.582977E7</v>
      </c>
      <c r="C1954" s="80" t="s">
        <v>3911</v>
      </c>
      <c r="D1954" s="140" t="s">
        <v>636</v>
      </c>
      <c r="E1954" s="146"/>
      <c r="F1954" s="80">
        <v>184.0941963</v>
      </c>
      <c r="G1954" s="142">
        <v>1.856038157</v>
      </c>
      <c r="H1954" s="143"/>
      <c r="I1954" s="143"/>
      <c r="J1954" s="143"/>
      <c r="K1954" s="143"/>
      <c r="L1954" s="143"/>
      <c r="M1954" s="143"/>
      <c r="N1954" s="144"/>
      <c r="O1954" s="144"/>
      <c r="P1954" s="144"/>
      <c r="Q1954" s="143"/>
      <c r="R1954" s="143"/>
      <c r="Y1954" s="2" t="s">
        <v>23</v>
      </c>
    </row>
    <row r="1955" ht="15.75" customHeight="1">
      <c r="B1955" s="48">
        <v>3.582977E7</v>
      </c>
      <c r="C1955" s="80" t="s">
        <v>3911</v>
      </c>
      <c r="D1955" s="140" t="s">
        <v>636</v>
      </c>
      <c r="E1955" s="146"/>
      <c r="F1955" s="80">
        <v>221.0914904</v>
      </c>
      <c r="G1955" s="142">
        <v>3.962008158</v>
      </c>
      <c r="H1955" s="143"/>
      <c r="I1955" s="143"/>
      <c r="J1955" s="143"/>
      <c r="K1955" s="143"/>
      <c r="L1955" s="143"/>
      <c r="M1955" s="143"/>
      <c r="N1955" s="144"/>
      <c r="O1955" s="144"/>
      <c r="P1955" s="144"/>
      <c r="Q1955" s="143"/>
      <c r="R1955" s="143"/>
      <c r="Y1955" s="2" t="s">
        <v>23</v>
      </c>
    </row>
    <row r="1956" ht="15.75" customHeight="1">
      <c r="B1956" s="48">
        <v>3.582977E7</v>
      </c>
      <c r="C1956" s="80" t="s">
        <v>3911</v>
      </c>
      <c r="D1956" s="140" t="s">
        <v>636</v>
      </c>
      <c r="E1956" s="146"/>
      <c r="F1956" s="80">
        <v>181.0683855</v>
      </c>
      <c r="G1956" s="142">
        <v>10.31753845</v>
      </c>
      <c r="H1956" s="143"/>
      <c r="I1956" s="143"/>
      <c r="J1956" s="143"/>
      <c r="K1956" s="143"/>
      <c r="L1956" s="143"/>
      <c r="M1956" s="143"/>
      <c r="N1956" s="144"/>
      <c r="O1956" s="144"/>
      <c r="P1956" s="144"/>
      <c r="Q1956" s="143"/>
      <c r="R1956" s="143"/>
      <c r="Y1956" s="2" t="s">
        <v>23</v>
      </c>
    </row>
    <row r="1957" ht="15.75" customHeight="1">
      <c r="B1957" s="48">
        <v>3.582977E7</v>
      </c>
      <c r="C1957" s="80" t="s">
        <v>3911</v>
      </c>
      <c r="D1957" s="140" t="s">
        <v>636</v>
      </c>
      <c r="E1957" s="146"/>
      <c r="F1957" s="80">
        <v>105.053588</v>
      </c>
      <c r="G1957" s="142">
        <v>10.31753845</v>
      </c>
      <c r="H1957" s="143"/>
      <c r="I1957" s="143"/>
      <c r="J1957" s="143"/>
      <c r="K1957" s="143"/>
      <c r="L1957" s="143"/>
      <c r="M1957" s="143"/>
      <c r="N1957" s="144"/>
      <c r="O1957" s="144"/>
      <c r="P1957" s="144"/>
      <c r="Q1957" s="143"/>
      <c r="R1957" s="143"/>
      <c r="Y1957" s="2" t="s">
        <v>23</v>
      </c>
    </row>
    <row r="1958" ht="15.75" customHeight="1">
      <c r="B1958" s="48">
        <v>3.582977E7</v>
      </c>
      <c r="C1958" s="80" t="s">
        <v>3911</v>
      </c>
      <c r="D1958" s="140" t="s">
        <v>636</v>
      </c>
      <c r="E1958" s="146"/>
      <c r="F1958" s="80">
        <v>136.0390823</v>
      </c>
      <c r="G1958" s="142">
        <v>2.97894694</v>
      </c>
      <c r="H1958" s="143"/>
      <c r="I1958" s="143"/>
      <c r="J1958" s="143"/>
      <c r="K1958" s="143"/>
      <c r="L1958" s="143"/>
      <c r="M1958" s="143"/>
      <c r="N1958" s="144"/>
      <c r="O1958" s="144"/>
      <c r="P1958" s="144"/>
      <c r="Q1958" s="143"/>
      <c r="R1958" s="143"/>
      <c r="Y1958" s="2" t="s">
        <v>23</v>
      </c>
    </row>
    <row r="1959" ht="15.75" customHeight="1">
      <c r="B1959" s="48">
        <v>3.582977E7</v>
      </c>
      <c r="C1959" s="80" t="s">
        <v>3911</v>
      </c>
      <c r="D1959" s="140" t="s">
        <v>636</v>
      </c>
      <c r="E1959" s="146"/>
      <c r="F1959" s="80">
        <v>181.0715986</v>
      </c>
      <c r="G1959" s="142">
        <v>7.341875203</v>
      </c>
      <c r="H1959" s="143"/>
      <c r="I1959" s="143"/>
      <c r="J1959" s="143"/>
      <c r="K1959" s="143"/>
      <c r="L1959" s="143"/>
      <c r="M1959" s="143"/>
      <c r="N1959" s="144"/>
      <c r="O1959" s="144"/>
      <c r="P1959" s="144"/>
      <c r="Q1959" s="143"/>
      <c r="R1959" s="143"/>
      <c r="Y1959" s="2" t="s">
        <v>23</v>
      </c>
    </row>
    <row r="1960" ht="15.75" customHeight="1">
      <c r="B1960" s="48">
        <v>3.582977E7</v>
      </c>
      <c r="C1960" s="80" t="s">
        <v>3911</v>
      </c>
      <c r="D1960" s="140" t="s">
        <v>636</v>
      </c>
      <c r="E1960" s="80" t="s">
        <v>4568</v>
      </c>
      <c r="F1960" s="80">
        <v>94.06506492</v>
      </c>
      <c r="G1960" s="142">
        <v>3.713006083</v>
      </c>
      <c r="H1960" s="143"/>
      <c r="I1960" s="143"/>
      <c r="J1960" s="143"/>
      <c r="K1960" s="143"/>
      <c r="L1960" s="143"/>
      <c r="M1960" s="143"/>
      <c r="N1960" s="80" t="s">
        <v>4136</v>
      </c>
      <c r="O1960" s="80" t="s">
        <v>4569</v>
      </c>
      <c r="P1960" s="80" t="s">
        <v>4570</v>
      </c>
      <c r="Y1960" s="2" t="s">
        <v>23</v>
      </c>
    </row>
    <row r="1961" ht="15.75" customHeight="1">
      <c r="B1961" s="48">
        <v>3.582977E7</v>
      </c>
      <c r="C1961" s="80" t="s">
        <v>3911</v>
      </c>
      <c r="D1961" s="140" t="s">
        <v>636</v>
      </c>
      <c r="E1961" s="80" t="s">
        <v>4571</v>
      </c>
      <c r="F1961" s="80">
        <v>107.0700913</v>
      </c>
      <c r="G1961" s="142">
        <v>3.857019552</v>
      </c>
      <c r="H1961" s="143"/>
      <c r="I1961" s="143"/>
      <c r="J1961" s="143"/>
      <c r="K1961" s="143"/>
      <c r="L1961" s="143"/>
      <c r="M1961" s="143"/>
      <c r="N1961" s="80" t="s">
        <v>4572</v>
      </c>
      <c r="O1961" s="80" t="s">
        <v>4573</v>
      </c>
      <c r="P1961" s="80" t="s">
        <v>4574</v>
      </c>
      <c r="Y1961" s="2" t="s">
        <v>23</v>
      </c>
    </row>
    <row r="1962" ht="15.75" customHeight="1">
      <c r="B1962" s="48">
        <v>3.582977E7</v>
      </c>
      <c r="C1962" s="80" t="s">
        <v>3911</v>
      </c>
      <c r="D1962" s="140" t="s">
        <v>636</v>
      </c>
      <c r="E1962" s="80" t="s">
        <v>4327</v>
      </c>
      <c r="F1962" s="80">
        <v>137.0455204</v>
      </c>
      <c r="G1962" s="142">
        <v>3.755490112</v>
      </c>
      <c r="H1962" s="143"/>
      <c r="I1962" s="143"/>
      <c r="J1962" s="143"/>
      <c r="K1962" s="143"/>
      <c r="L1962" s="143"/>
      <c r="M1962" s="143"/>
      <c r="N1962" s="80" t="s">
        <v>2220</v>
      </c>
      <c r="O1962" s="80" t="s">
        <v>4328</v>
      </c>
      <c r="P1962" s="80" t="s">
        <v>4329</v>
      </c>
      <c r="Y1962" s="2" t="s">
        <v>23</v>
      </c>
    </row>
    <row r="1963" ht="15.75" customHeight="1">
      <c r="B1963" s="48">
        <v>3.582977E7</v>
      </c>
      <c r="C1963" s="80" t="s">
        <v>3911</v>
      </c>
      <c r="D1963" s="140" t="s">
        <v>636</v>
      </c>
      <c r="E1963" s="80" t="s">
        <v>4575</v>
      </c>
      <c r="F1963" s="80">
        <v>142.0859888</v>
      </c>
      <c r="G1963" s="142">
        <v>3.671961212</v>
      </c>
      <c r="H1963" s="143"/>
      <c r="I1963" s="143"/>
      <c r="J1963" s="143"/>
      <c r="K1963" s="143"/>
      <c r="L1963" s="143"/>
      <c r="M1963" s="143"/>
      <c r="N1963" s="80" t="s">
        <v>4576</v>
      </c>
      <c r="O1963" s="80" t="s">
        <v>4577</v>
      </c>
      <c r="P1963" s="80" t="s">
        <v>4578</v>
      </c>
      <c r="Y1963" s="2" t="s">
        <v>23</v>
      </c>
    </row>
    <row r="1964" ht="15.75" customHeight="1">
      <c r="B1964" s="48">
        <v>3.582977E7</v>
      </c>
      <c r="C1964" s="80" t="s">
        <v>3911</v>
      </c>
      <c r="D1964" s="140" t="s">
        <v>636</v>
      </c>
      <c r="E1964" s="80" t="s">
        <v>380</v>
      </c>
      <c r="F1964" s="80">
        <v>126.0216618</v>
      </c>
      <c r="G1964" s="142">
        <v>3.631077576</v>
      </c>
      <c r="H1964" s="143"/>
      <c r="I1964" s="143"/>
      <c r="J1964" s="143"/>
      <c r="K1964" s="143"/>
      <c r="L1964" s="143"/>
      <c r="M1964" s="143"/>
      <c r="N1964" s="80" t="s">
        <v>3300</v>
      </c>
      <c r="O1964" s="80" t="s">
        <v>4315</v>
      </c>
      <c r="P1964" s="80" t="s">
        <v>4199</v>
      </c>
      <c r="Y1964" s="2" t="s">
        <v>23</v>
      </c>
    </row>
    <row r="1965" ht="15.75" customHeight="1">
      <c r="B1965" s="48">
        <v>3.582977E7</v>
      </c>
      <c r="C1965" s="80" t="s">
        <v>3911</v>
      </c>
      <c r="D1965" s="140" t="s">
        <v>636</v>
      </c>
      <c r="E1965" s="80" t="s">
        <v>4579</v>
      </c>
      <c r="F1965" s="80">
        <v>138.0658982</v>
      </c>
      <c r="G1965" s="142">
        <v>11.76080526</v>
      </c>
      <c r="H1965" s="143"/>
      <c r="I1965" s="143"/>
      <c r="J1965" s="143"/>
      <c r="K1965" s="143"/>
      <c r="L1965" s="143"/>
      <c r="M1965" s="143"/>
      <c r="N1965" s="80" t="s">
        <v>4530</v>
      </c>
      <c r="O1965" s="80" t="s">
        <v>4580</v>
      </c>
      <c r="P1965" s="80" t="s">
        <v>4581</v>
      </c>
      <c r="Y1965" s="2" t="s">
        <v>23</v>
      </c>
    </row>
    <row r="1966" ht="15.75" customHeight="1">
      <c r="B1966" s="48">
        <v>3.582977E7</v>
      </c>
      <c r="C1966" s="80" t="s">
        <v>3911</v>
      </c>
      <c r="D1966" s="140" t="s">
        <v>636</v>
      </c>
      <c r="E1966" s="80" t="s">
        <v>4533</v>
      </c>
      <c r="F1966" s="80">
        <v>299.149052</v>
      </c>
      <c r="G1966" s="142">
        <v>12.19280955</v>
      </c>
      <c r="H1966" s="143"/>
      <c r="I1966" s="143"/>
      <c r="J1966" s="143"/>
      <c r="K1966" s="143"/>
      <c r="L1966" s="143"/>
      <c r="M1966" s="143"/>
      <c r="N1966" s="80" t="s">
        <v>4534</v>
      </c>
      <c r="O1966" s="80" t="s">
        <v>4535</v>
      </c>
      <c r="P1966" s="80" t="s">
        <v>4536</v>
      </c>
      <c r="Y1966" s="2" t="s">
        <v>23</v>
      </c>
    </row>
    <row r="1967" ht="15.75" customHeight="1">
      <c r="B1967" s="48">
        <v>3.582977E7</v>
      </c>
      <c r="C1967" s="80" t="s">
        <v>3911</v>
      </c>
      <c r="D1967" s="140" t="s">
        <v>636</v>
      </c>
      <c r="E1967" s="80" t="s">
        <v>4537</v>
      </c>
      <c r="F1967" s="80">
        <v>361.19964</v>
      </c>
      <c r="G1967" s="142">
        <v>15.52965393</v>
      </c>
      <c r="H1967" s="143"/>
      <c r="I1967" s="143"/>
      <c r="J1967" s="143"/>
      <c r="K1967" s="143"/>
      <c r="L1967" s="143"/>
      <c r="M1967" s="143"/>
      <c r="N1967" s="80" t="s">
        <v>4307</v>
      </c>
      <c r="O1967" s="80" t="s">
        <v>4538</v>
      </c>
      <c r="P1967" s="80" t="s">
        <v>4539</v>
      </c>
      <c r="Y1967" s="2" t="s">
        <v>23</v>
      </c>
    </row>
    <row r="1968" ht="15.75" customHeight="1">
      <c r="B1968" s="48">
        <v>3.582977E7</v>
      </c>
      <c r="C1968" s="80" t="s">
        <v>3911</v>
      </c>
      <c r="D1968" s="140" t="s">
        <v>636</v>
      </c>
      <c r="E1968" s="80" t="s">
        <v>4006</v>
      </c>
      <c r="F1968" s="80">
        <v>268.1045924</v>
      </c>
      <c r="G1968" s="142">
        <v>11.67879893</v>
      </c>
      <c r="H1968" s="143"/>
      <c r="I1968" s="143"/>
      <c r="J1968" s="143"/>
      <c r="K1968" s="143"/>
      <c r="L1968" s="143"/>
      <c r="M1968" s="143"/>
      <c r="N1968" s="80" t="s">
        <v>933</v>
      </c>
      <c r="O1968" s="80" t="s">
        <v>4301</v>
      </c>
      <c r="P1968" s="80" t="s">
        <v>4008</v>
      </c>
      <c r="Y1968" s="2" t="s">
        <v>23</v>
      </c>
    </row>
    <row r="1969" ht="15.75" customHeight="1">
      <c r="B1969" s="48">
        <v>3.582977E7</v>
      </c>
      <c r="C1969" s="80" t="s">
        <v>3911</v>
      </c>
      <c r="D1969" s="140" t="s">
        <v>636</v>
      </c>
      <c r="E1969" s="80" t="s">
        <v>3999</v>
      </c>
      <c r="F1969" s="80">
        <v>130.1084861</v>
      </c>
      <c r="G1969" s="142">
        <v>3.635766093</v>
      </c>
      <c r="H1969" s="143"/>
      <c r="I1969" s="143"/>
      <c r="J1969" s="143"/>
      <c r="K1969" s="143"/>
      <c r="L1969" s="143"/>
      <c r="M1969" s="143"/>
      <c r="N1969" s="80" t="s">
        <v>4000</v>
      </c>
      <c r="O1969" s="80" t="s">
        <v>4582</v>
      </c>
      <c r="P1969" s="80" t="s">
        <v>4002</v>
      </c>
      <c r="Y1969" s="2" t="s">
        <v>23</v>
      </c>
    </row>
    <row r="1970" ht="15.75" customHeight="1">
      <c r="B1970" s="48">
        <v>3.582977E7</v>
      </c>
      <c r="C1970" s="80" t="s">
        <v>3911</v>
      </c>
      <c r="D1970" s="140" t="s">
        <v>636</v>
      </c>
      <c r="E1970" s="80" t="s">
        <v>4545</v>
      </c>
      <c r="F1970" s="80">
        <v>286.1429781</v>
      </c>
      <c r="G1970" s="142">
        <v>17.68659058</v>
      </c>
      <c r="H1970" s="143"/>
      <c r="I1970" s="143"/>
      <c r="J1970" s="143"/>
      <c r="K1970" s="143"/>
      <c r="L1970" s="143"/>
      <c r="M1970" s="143"/>
      <c r="N1970" s="80" t="s">
        <v>4083</v>
      </c>
      <c r="O1970" s="80" t="s">
        <v>4546</v>
      </c>
      <c r="P1970" s="80" t="s">
        <v>4547</v>
      </c>
      <c r="Y1970" s="2" t="s">
        <v>23</v>
      </c>
    </row>
    <row r="1971" ht="15.75" customHeight="1">
      <c r="B1971" s="48">
        <v>3.582977E7</v>
      </c>
      <c r="C1971" s="80" t="s">
        <v>3911</v>
      </c>
      <c r="D1971" s="140" t="s">
        <v>636</v>
      </c>
      <c r="E1971" s="80" t="s">
        <v>4348</v>
      </c>
      <c r="F1971" s="80">
        <v>219.1121471</v>
      </c>
      <c r="G1971" s="142">
        <v>13.66075185</v>
      </c>
      <c r="H1971" s="143"/>
      <c r="I1971" s="143"/>
      <c r="J1971" s="143"/>
      <c r="K1971" s="143"/>
      <c r="L1971" s="143"/>
      <c r="M1971" s="143"/>
      <c r="N1971" s="80" t="s">
        <v>4349</v>
      </c>
      <c r="O1971" s="80" t="s">
        <v>4350</v>
      </c>
      <c r="P1971" s="80" t="s">
        <v>4351</v>
      </c>
      <c r="Y1971" s="2" t="s">
        <v>23</v>
      </c>
    </row>
    <row r="1972" ht="15.75" customHeight="1">
      <c r="B1972" s="48">
        <v>3.582977E7</v>
      </c>
      <c r="C1972" s="80" t="s">
        <v>3911</v>
      </c>
      <c r="D1972" s="140" t="s">
        <v>636</v>
      </c>
      <c r="E1972" s="80" t="s">
        <v>4548</v>
      </c>
      <c r="F1972" s="80">
        <v>232.1076464</v>
      </c>
      <c r="G1972" s="142">
        <v>11.59276174</v>
      </c>
      <c r="H1972" s="143"/>
      <c r="I1972" s="143"/>
      <c r="J1972" s="143"/>
      <c r="K1972" s="143"/>
      <c r="L1972" s="143"/>
      <c r="M1972" s="143"/>
      <c r="N1972" s="80" t="s">
        <v>4258</v>
      </c>
      <c r="O1972" s="80" t="s">
        <v>4549</v>
      </c>
      <c r="P1972" s="80" t="s">
        <v>4550</v>
      </c>
      <c r="Y1972" s="2" t="s">
        <v>23</v>
      </c>
    </row>
    <row r="1973" ht="15.75" customHeight="1">
      <c r="B1973" s="48">
        <v>3.582977E7</v>
      </c>
      <c r="C1973" s="80" t="s">
        <v>3911</v>
      </c>
      <c r="D1973" s="140" t="s">
        <v>636</v>
      </c>
      <c r="E1973" s="80" t="s">
        <v>4583</v>
      </c>
      <c r="F1973" s="80">
        <v>282.1590802</v>
      </c>
      <c r="G1973" s="142">
        <v>15.23082886</v>
      </c>
      <c r="H1973" s="143"/>
      <c r="I1973" s="143"/>
      <c r="J1973" s="143"/>
      <c r="K1973" s="143"/>
      <c r="L1973" s="143"/>
      <c r="M1973" s="143"/>
      <c r="N1973" s="80" t="s">
        <v>4584</v>
      </c>
      <c r="O1973" s="80" t="s">
        <v>4585</v>
      </c>
      <c r="P1973" s="80" t="s">
        <v>4586</v>
      </c>
      <c r="Y1973" s="2" t="s">
        <v>23</v>
      </c>
    </row>
    <row r="1974" ht="15.75" customHeight="1">
      <c r="B1974" s="48">
        <v>3.582977E7</v>
      </c>
      <c r="C1974" s="80" t="s">
        <v>3911</v>
      </c>
      <c r="D1974" s="140" t="s">
        <v>636</v>
      </c>
      <c r="E1974" s="80" t="s">
        <v>4560</v>
      </c>
      <c r="F1974" s="80">
        <v>310.2154188</v>
      </c>
      <c r="G1974" s="142">
        <v>13.68303121</v>
      </c>
      <c r="H1974" s="143"/>
      <c r="I1974" s="143"/>
      <c r="J1974" s="143"/>
      <c r="K1974" s="143"/>
      <c r="L1974" s="143"/>
      <c r="M1974" s="143"/>
      <c r="N1974" s="80" t="s">
        <v>4561</v>
      </c>
      <c r="O1974" s="80" t="s">
        <v>4562</v>
      </c>
      <c r="P1974" s="80" t="s">
        <v>4563</v>
      </c>
      <c r="Y1974" s="2" t="s">
        <v>23</v>
      </c>
    </row>
    <row r="1975" ht="15.75" customHeight="1">
      <c r="B1975" s="48">
        <v>3.582977E7</v>
      </c>
      <c r="C1975" s="80" t="s">
        <v>3911</v>
      </c>
      <c r="D1975" s="140" t="s">
        <v>636</v>
      </c>
      <c r="E1975" s="80" t="s">
        <v>4114</v>
      </c>
      <c r="F1975" s="80">
        <v>307.110256</v>
      </c>
      <c r="G1975" s="142">
        <v>13.54020487</v>
      </c>
      <c r="H1975" s="143"/>
      <c r="I1975" s="143"/>
      <c r="J1975" s="143"/>
      <c r="K1975" s="143"/>
      <c r="L1975" s="143"/>
      <c r="M1975" s="143"/>
      <c r="N1975" s="80" t="s">
        <v>4115</v>
      </c>
      <c r="O1975" s="80" t="s">
        <v>4363</v>
      </c>
      <c r="P1975" s="80" t="s">
        <v>4117</v>
      </c>
      <c r="Y1975" s="2" t="s">
        <v>23</v>
      </c>
    </row>
    <row r="1976" ht="15.75" customHeight="1">
      <c r="B1976" s="48">
        <v>3.582977E7</v>
      </c>
      <c r="C1976" s="80" t="s">
        <v>3911</v>
      </c>
      <c r="D1976" s="140" t="s">
        <v>636</v>
      </c>
      <c r="E1976" s="80" t="s">
        <v>4587</v>
      </c>
      <c r="F1976" s="80">
        <v>124.05029</v>
      </c>
      <c r="G1976" s="142">
        <v>10.35129598</v>
      </c>
      <c r="H1976" s="143"/>
      <c r="I1976" s="143"/>
      <c r="J1976" s="143"/>
      <c r="K1976" s="143"/>
      <c r="L1976" s="143"/>
      <c r="M1976" s="143"/>
      <c r="N1976" s="80" t="s">
        <v>4588</v>
      </c>
      <c r="O1976" s="80" t="s">
        <v>4589</v>
      </c>
      <c r="P1976" s="80" t="s">
        <v>4590</v>
      </c>
      <c r="Y1976" s="2" t="s">
        <v>23</v>
      </c>
    </row>
    <row r="1977" ht="15.75" customHeight="1">
      <c r="B1977" s="48">
        <v>3.582977E7</v>
      </c>
      <c r="C1977" s="80" t="s">
        <v>3911</v>
      </c>
      <c r="D1977" s="140" t="s">
        <v>636</v>
      </c>
      <c r="E1977" s="80" t="s">
        <v>4591</v>
      </c>
      <c r="F1977" s="80">
        <v>146.0927496</v>
      </c>
      <c r="G1977" s="142">
        <v>10.27725983</v>
      </c>
      <c r="H1977" s="143"/>
      <c r="I1977" s="143"/>
      <c r="J1977" s="143"/>
      <c r="K1977" s="143"/>
      <c r="L1977" s="143"/>
      <c r="M1977" s="143"/>
      <c r="N1977" s="80" t="s">
        <v>1235</v>
      </c>
      <c r="O1977" s="80" t="s">
        <v>4592</v>
      </c>
      <c r="P1977" s="80" t="s">
        <v>4593</v>
      </c>
      <c r="Y1977" s="2" t="s">
        <v>23</v>
      </c>
    </row>
    <row r="1978" ht="15.75" customHeight="1">
      <c r="B1978" s="48">
        <v>3.582977E7</v>
      </c>
      <c r="C1978" s="80" t="s">
        <v>3911</v>
      </c>
      <c r="D1978" s="140" t="s">
        <v>636</v>
      </c>
      <c r="E1978" s="80" t="s">
        <v>4594</v>
      </c>
      <c r="F1978" s="80">
        <v>281.1162794</v>
      </c>
      <c r="G1978" s="142">
        <v>17.87035116</v>
      </c>
      <c r="H1978" s="143"/>
      <c r="I1978" s="143"/>
      <c r="J1978" s="143"/>
      <c r="K1978" s="143"/>
      <c r="L1978" s="143"/>
      <c r="M1978" s="143"/>
      <c r="N1978" s="80" t="s">
        <v>4595</v>
      </c>
      <c r="O1978" s="80" t="s">
        <v>4596</v>
      </c>
      <c r="P1978" s="80" t="s">
        <v>4597</v>
      </c>
      <c r="Y1978" s="2" t="s">
        <v>23</v>
      </c>
    </row>
    <row r="1979" ht="15.75" customHeight="1">
      <c r="B1979" s="48">
        <v>3.582977E7</v>
      </c>
      <c r="C1979" s="80" t="s">
        <v>3911</v>
      </c>
      <c r="D1979" s="140" t="s">
        <v>636</v>
      </c>
      <c r="E1979" s="80" t="s">
        <v>4598</v>
      </c>
      <c r="F1979" s="80">
        <v>202.085733</v>
      </c>
      <c r="G1979" s="142">
        <v>9.606057739</v>
      </c>
      <c r="H1979" s="143"/>
      <c r="I1979" s="143"/>
      <c r="J1979" s="143"/>
      <c r="K1979" s="143"/>
      <c r="L1979" s="143"/>
      <c r="M1979" s="143"/>
      <c r="N1979" s="80" t="s">
        <v>4599</v>
      </c>
      <c r="O1979" s="80" t="s">
        <v>4600</v>
      </c>
      <c r="P1979" s="80" t="s">
        <v>4601</v>
      </c>
      <c r="Y1979" s="2" t="s">
        <v>23</v>
      </c>
    </row>
    <row r="1980" ht="15.75" customHeight="1">
      <c r="B1980" s="48">
        <v>3.582977E7</v>
      </c>
      <c r="C1980" s="80" t="s">
        <v>3911</v>
      </c>
      <c r="D1980" s="140" t="s">
        <v>636</v>
      </c>
      <c r="E1980" s="80" t="s">
        <v>4139</v>
      </c>
      <c r="F1980" s="80">
        <v>152.1430887</v>
      </c>
      <c r="G1980" s="142">
        <v>12.71896464</v>
      </c>
      <c r="H1980" s="143"/>
      <c r="I1980" s="143"/>
      <c r="J1980" s="143"/>
      <c r="K1980" s="143"/>
      <c r="L1980" s="143"/>
      <c r="M1980" s="143"/>
      <c r="N1980" s="80" t="s">
        <v>4140</v>
      </c>
      <c r="O1980" s="80" t="s">
        <v>4337</v>
      </c>
      <c r="P1980" s="80" t="s">
        <v>4142</v>
      </c>
      <c r="Y1980" s="2" t="s">
        <v>23</v>
      </c>
    </row>
    <row r="1981" ht="15.75" customHeight="1">
      <c r="B1981" s="48">
        <v>3.582977E7</v>
      </c>
      <c r="C1981" s="80" t="s">
        <v>3911</v>
      </c>
      <c r="D1981" s="140" t="s">
        <v>636</v>
      </c>
      <c r="E1981" s="80" t="s">
        <v>4602</v>
      </c>
      <c r="F1981" s="80">
        <v>266.1376712</v>
      </c>
      <c r="G1981" s="142">
        <v>11.47823181</v>
      </c>
      <c r="H1981" s="143"/>
      <c r="I1981" s="143"/>
      <c r="J1981" s="143"/>
      <c r="K1981" s="143"/>
      <c r="L1981" s="143"/>
      <c r="M1981" s="143"/>
      <c r="N1981" s="80" t="s">
        <v>4603</v>
      </c>
      <c r="O1981" s="80" t="s">
        <v>4604</v>
      </c>
      <c r="P1981" s="80" t="s">
        <v>4605</v>
      </c>
      <c r="Y1981" s="2" t="s">
        <v>23</v>
      </c>
    </row>
    <row r="1982" ht="15.75" customHeight="1">
      <c r="B1982" s="48">
        <v>3.582977E7</v>
      </c>
      <c r="C1982" s="80" t="s">
        <v>3911</v>
      </c>
      <c r="D1982" s="140" t="s">
        <v>636</v>
      </c>
      <c r="E1982" s="80" t="s">
        <v>475</v>
      </c>
      <c r="F1982" s="80">
        <v>95.04907005</v>
      </c>
      <c r="G1982" s="142">
        <v>3.971682994</v>
      </c>
      <c r="H1982" s="143"/>
      <c r="I1982" s="143"/>
      <c r="J1982" s="143"/>
      <c r="K1982" s="143"/>
      <c r="L1982" s="143"/>
      <c r="M1982" s="143"/>
      <c r="N1982" s="80" t="s">
        <v>4606</v>
      </c>
      <c r="O1982" s="80" t="s">
        <v>4607</v>
      </c>
      <c r="P1982" s="80" t="s">
        <v>4608</v>
      </c>
      <c r="Y1982" s="2" t="s">
        <v>23</v>
      </c>
    </row>
    <row r="1983" ht="15.75" customHeight="1">
      <c r="B1983" s="48">
        <v>3.582977E7</v>
      </c>
      <c r="C1983" s="80" t="s">
        <v>3911</v>
      </c>
      <c r="D1983" s="140" t="s">
        <v>636</v>
      </c>
      <c r="E1983" s="80" t="s">
        <v>4195</v>
      </c>
      <c r="F1983" s="80">
        <v>123.0550076</v>
      </c>
      <c r="G1983" s="142">
        <v>3.675616582</v>
      </c>
      <c r="H1983" s="143"/>
      <c r="I1983" s="143"/>
      <c r="J1983" s="143"/>
      <c r="K1983" s="143"/>
      <c r="L1983" s="143"/>
      <c r="M1983" s="143"/>
      <c r="N1983" s="80" t="s">
        <v>2732</v>
      </c>
      <c r="O1983" s="80" t="s">
        <v>4442</v>
      </c>
      <c r="P1983" s="80" t="s">
        <v>4197</v>
      </c>
      <c r="Y1983" s="2" t="s">
        <v>23</v>
      </c>
    </row>
    <row r="1984" ht="15.75" customHeight="1">
      <c r="B1984" s="48">
        <v>3.582977E7</v>
      </c>
      <c r="C1984" s="80" t="s">
        <v>3911</v>
      </c>
      <c r="D1984" s="140" t="s">
        <v>636</v>
      </c>
      <c r="E1984" s="80" t="s">
        <v>4373</v>
      </c>
      <c r="F1984" s="80">
        <v>139.0387277</v>
      </c>
      <c r="G1984" s="142">
        <v>17.89909058</v>
      </c>
      <c r="H1984" s="143"/>
      <c r="I1984" s="143"/>
      <c r="J1984" s="143"/>
      <c r="K1984" s="143"/>
      <c r="L1984" s="143"/>
      <c r="M1984" s="143"/>
      <c r="N1984" s="80" t="s">
        <v>1240</v>
      </c>
      <c r="O1984" s="80" t="s">
        <v>4374</v>
      </c>
      <c r="P1984" s="80" t="s">
        <v>4375</v>
      </c>
      <c r="Y1984" s="2" t="s">
        <v>23</v>
      </c>
    </row>
    <row r="1985" ht="15.75" customHeight="1">
      <c r="B1985" s="48">
        <v>3.582977E7</v>
      </c>
      <c r="C1985" s="80" t="s">
        <v>3911</v>
      </c>
      <c r="D1985" s="140" t="s">
        <v>636</v>
      </c>
      <c r="E1985" s="146"/>
      <c r="F1985" s="80">
        <v>463.0872914</v>
      </c>
      <c r="G1985" s="142">
        <v>3.70399882</v>
      </c>
      <c r="H1985" s="143"/>
      <c r="I1985" s="143"/>
      <c r="J1985" s="143"/>
      <c r="K1985" s="143"/>
      <c r="L1985" s="143"/>
      <c r="M1985" s="143"/>
      <c r="N1985" s="144"/>
      <c r="O1985" s="144"/>
      <c r="P1985" s="144"/>
      <c r="Q1985" s="143"/>
      <c r="R1985" s="143"/>
      <c r="Y1985" s="2" t="s">
        <v>23</v>
      </c>
    </row>
    <row r="1986" ht="15.75" customHeight="1">
      <c r="B1986" s="48">
        <v>3.582977E7</v>
      </c>
      <c r="C1986" s="80" t="s">
        <v>3911</v>
      </c>
      <c r="D1986" s="140" t="s">
        <v>636</v>
      </c>
      <c r="E1986" s="146"/>
      <c r="F1986" s="80">
        <v>164.9296163</v>
      </c>
      <c r="G1986" s="142">
        <v>3.582631938</v>
      </c>
      <c r="H1986" s="143"/>
      <c r="I1986" s="143"/>
      <c r="J1986" s="143"/>
      <c r="K1986" s="143"/>
      <c r="L1986" s="143"/>
      <c r="M1986" s="143"/>
      <c r="N1986" s="144"/>
      <c r="O1986" s="144"/>
      <c r="P1986" s="144"/>
      <c r="Q1986" s="143"/>
      <c r="R1986" s="143"/>
      <c r="Y1986" s="2" t="s">
        <v>23</v>
      </c>
    </row>
    <row r="1987" ht="15.75" customHeight="1">
      <c r="B1987" s="48">
        <v>3.582977E7</v>
      </c>
      <c r="C1987" s="80" t="s">
        <v>3911</v>
      </c>
      <c r="D1987" s="140" t="s">
        <v>636</v>
      </c>
      <c r="E1987" s="146"/>
      <c r="F1987" s="80">
        <v>166.9858299</v>
      </c>
      <c r="G1987" s="142">
        <v>3.513217799</v>
      </c>
      <c r="H1987" s="143"/>
      <c r="I1987" s="143"/>
      <c r="J1987" s="143"/>
      <c r="K1987" s="143"/>
      <c r="L1987" s="143"/>
      <c r="M1987" s="143"/>
      <c r="N1987" s="144"/>
      <c r="O1987" s="144"/>
      <c r="P1987" s="144"/>
      <c r="Q1987" s="143"/>
      <c r="R1987" s="143"/>
      <c r="Y1987" s="2" t="s">
        <v>23</v>
      </c>
    </row>
    <row r="1988" ht="15.75" customHeight="1">
      <c r="B1988" s="48">
        <v>3.582977E7</v>
      </c>
      <c r="C1988" s="80" t="s">
        <v>3911</v>
      </c>
      <c r="D1988" s="140" t="s">
        <v>636</v>
      </c>
      <c r="E1988" s="146"/>
      <c r="F1988" s="80">
        <v>187.0709089</v>
      </c>
      <c r="G1988" s="142">
        <v>25.31728516</v>
      </c>
      <c r="H1988" s="143"/>
      <c r="I1988" s="143"/>
      <c r="J1988" s="143"/>
      <c r="K1988" s="143"/>
      <c r="L1988" s="143"/>
      <c r="M1988" s="143"/>
      <c r="N1988" s="144"/>
      <c r="O1988" s="144"/>
      <c r="P1988" s="144"/>
      <c r="Q1988" s="143"/>
      <c r="R1988" s="143"/>
      <c r="Y1988" s="2" t="s">
        <v>23</v>
      </c>
    </row>
    <row r="1989" ht="15.75" customHeight="1">
      <c r="B1989" s="48">
        <v>3.582977E7</v>
      </c>
      <c r="C1989" s="80" t="s">
        <v>3911</v>
      </c>
      <c r="D1989" s="140" t="s">
        <v>636</v>
      </c>
      <c r="E1989" s="146"/>
      <c r="F1989" s="80">
        <v>140.0680368</v>
      </c>
      <c r="G1989" s="142">
        <v>3.606623586</v>
      </c>
      <c r="H1989" s="143"/>
      <c r="I1989" s="143"/>
      <c r="J1989" s="143"/>
      <c r="K1989" s="143"/>
      <c r="L1989" s="143"/>
      <c r="M1989" s="143"/>
      <c r="N1989" s="144"/>
      <c r="O1989" s="144"/>
      <c r="P1989" s="144"/>
      <c r="Q1989" s="143"/>
      <c r="R1989" s="143"/>
      <c r="Y1989" s="2" t="s">
        <v>23</v>
      </c>
    </row>
    <row r="1990" ht="15.75" customHeight="1">
      <c r="B1990" s="48">
        <v>3.582977E7</v>
      </c>
      <c r="C1990" s="80" t="s">
        <v>3911</v>
      </c>
      <c r="D1990" s="140" t="s">
        <v>636</v>
      </c>
      <c r="E1990" s="146"/>
      <c r="F1990" s="80">
        <v>207.1414722</v>
      </c>
      <c r="G1990" s="142">
        <v>14.87417501</v>
      </c>
      <c r="H1990" s="143"/>
      <c r="I1990" s="143"/>
      <c r="J1990" s="143"/>
      <c r="K1990" s="143"/>
      <c r="L1990" s="143"/>
      <c r="M1990" s="143"/>
      <c r="N1990" s="144"/>
      <c r="O1990" s="144"/>
      <c r="P1990" s="144"/>
      <c r="Q1990" s="143"/>
      <c r="R1990" s="143"/>
      <c r="Y1990" s="2" t="s">
        <v>23</v>
      </c>
    </row>
    <row r="1991" ht="15.75" customHeight="1">
      <c r="B1991" s="48">
        <v>3.582977E7</v>
      </c>
      <c r="C1991" s="80" t="s">
        <v>3911</v>
      </c>
      <c r="D1991" s="140" t="s">
        <v>636</v>
      </c>
      <c r="E1991" s="146"/>
      <c r="F1991" s="80">
        <v>148.1158237</v>
      </c>
      <c r="G1991" s="142">
        <v>3.503013102</v>
      </c>
      <c r="H1991" s="143"/>
      <c r="I1991" s="143"/>
      <c r="J1991" s="143"/>
      <c r="K1991" s="143"/>
      <c r="L1991" s="143"/>
      <c r="M1991" s="143"/>
      <c r="N1991" s="144"/>
      <c r="O1991" s="144"/>
      <c r="P1991" s="144"/>
      <c r="Q1991" s="143"/>
      <c r="R1991" s="143"/>
      <c r="Y1991" s="2" t="s">
        <v>23</v>
      </c>
    </row>
    <row r="1992" ht="15.75" customHeight="1">
      <c r="B1992" s="48">
        <v>3.582977E7</v>
      </c>
      <c r="C1992" s="80" t="s">
        <v>3911</v>
      </c>
      <c r="D1992" s="140" t="s">
        <v>636</v>
      </c>
      <c r="E1992" s="146"/>
      <c r="F1992" s="80">
        <v>163.1154632</v>
      </c>
      <c r="G1992" s="142">
        <v>3.582631938</v>
      </c>
      <c r="H1992" s="143"/>
      <c r="I1992" s="143"/>
      <c r="J1992" s="143"/>
      <c r="K1992" s="143"/>
      <c r="L1992" s="143"/>
      <c r="M1992" s="143"/>
      <c r="N1992" s="144"/>
      <c r="O1992" s="144"/>
      <c r="P1992" s="144"/>
      <c r="Q1992" s="143"/>
      <c r="R1992" s="143"/>
      <c r="Y1992" s="2" t="s">
        <v>23</v>
      </c>
    </row>
    <row r="1993" ht="15.75" customHeight="1">
      <c r="B1993" s="48">
        <v>3.582977E7</v>
      </c>
      <c r="C1993" s="80" t="s">
        <v>3911</v>
      </c>
      <c r="D1993" s="140" t="s">
        <v>636</v>
      </c>
      <c r="E1993" s="146"/>
      <c r="F1993" s="80">
        <v>151.0083783</v>
      </c>
      <c r="G1993" s="142">
        <v>3.492687988</v>
      </c>
      <c r="H1993" s="143"/>
      <c r="I1993" s="143"/>
      <c r="J1993" s="143"/>
      <c r="K1993" s="143"/>
      <c r="L1993" s="143"/>
      <c r="M1993" s="143"/>
      <c r="N1993" s="144"/>
      <c r="O1993" s="144"/>
      <c r="P1993" s="144"/>
      <c r="Q1993" s="143"/>
      <c r="R1993" s="143"/>
      <c r="Y1993" s="2" t="s">
        <v>23</v>
      </c>
    </row>
    <row r="1994" ht="15.75" customHeight="1">
      <c r="B1994" s="48">
        <v>3.582977E7</v>
      </c>
      <c r="C1994" s="80" t="s">
        <v>3911</v>
      </c>
      <c r="D1994" s="140" t="s">
        <v>636</v>
      </c>
      <c r="E1994" s="146"/>
      <c r="F1994" s="80">
        <v>184.0942026</v>
      </c>
      <c r="G1994" s="142">
        <v>3.517874654</v>
      </c>
      <c r="H1994" s="143"/>
      <c r="I1994" s="143"/>
      <c r="J1994" s="143"/>
      <c r="K1994" s="143"/>
      <c r="L1994" s="143"/>
      <c r="M1994" s="143"/>
      <c r="N1994" s="144"/>
      <c r="O1994" s="144"/>
      <c r="P1994" s="144"/>
      <c r="Q1994" s="143"/>
      <c r="R1994" s="143"/>
      <c r="Y1994" s="2" t="s">
        <v>23</v>
      </c>
    </row>
    <row r="1995" ht="15.75" customHeight="1">
      <c r="B1995" s="48">
        <v>3.582977E7</v>
      </c>
      <c r="C1995" s="80" t="s">
        <v>3911</v>
      </c>
      <c r="D1995" s="140" t="s">
        <v>636</v>
      </c>
      <c r="E1995" s="146"/>
      <c r="F1995" s="80">
        <v>172.0752283</v>
      </c>
      <c r="G1995" s="142">
        <v>15.01022949</v>
      </c>
      <c r="H1995" s="143"/>
      <c r="I1995" s="143"/>
      <c r="J1995" s="143"/>
      <c r="K1995" s="143"/>
      <c r="L1995" s="143"/>
      <c r="M1995" s="143"/>
      <c r="N1995" s="144"/>
      <c r="O1995" s="144"/>
      <c r="P1995" s="144"/>
      <c r="Q1995" s="143"/>
      <c r="R1995" s="143"/>
      <c r="Y1995" s="2" t="s">
        <v>23</v>
      </c>
    </row>
    <row r="1996" ht="15.75" customHeight="1">
      <c r="B1996" s="48">
        <v>3.582977E7</v>
      </c>
      <c r="C1996" s="80" t="s">
        <v>3911</v>
      </c>
      <c r="D1996" s="140" t="s">
        <v>636</v>
      </c>
      <c r="E1996" s="146"/>
      <c r="F1996" s="80">
        <v>362.8847972</v>
      </c>
      <c r="G1996" s="142">
        <v>3.492687988</v>
      </c>
      <c r="H1996" s="143"/>
      <c r="I1996" s="143"/>
      <c r="J1996" s="143"/>
      <c r="K1996" s="143"/>
      <c r="L1996" s="143"/>
      <c r="M1996" s="143"/>
      <c r="N1996" s="144"/>
      <c r="O1996" s="144"/>
      <c r="P1996" s="144"/>
      <c r="Q1996" s="143"/>
      <c r="R1996" s="143"/>
      <c r="Y1996" s="2" t="s">
        <v>23</v>
      </c>
    </row>
    <row r="1997" ht="15.75" customHeight="1">
      <c r="B1997" s="48">
        <v>3.582977E7</v>
      </c>
      <c r="C1997" s="80" t="s">
        <v>3911</v>
      </c>
      <c r="D1997" s="140" t="s">
        <v>636</v>
      </c>
      <c r="E1997" s="146"/>
      <c r="F1997" s="80">
        <v>91.05422284</v>
      </c>
      <c r="G1997" s="142">
        <v>12.66250916</v>
      </c>
      <c r="H1997" s="143"/>
      <c r="I1997" s="143"/>
      <c r="J1997" s="143"/>
      <c r="K1997" s="143"/>
      <c r="L1997" s="143"/>
      <c r="M1997" s="143"/>
      <c r="N1997" s="144"/>
      <c r="O1997" s="144"/>
      <c r="P1997" s="144"/>
      <c r="Q1997" s="143"/>
      <c r="R1997" s="143"/>
      <c r="Y1997" s="2" t="s">
        <v>23</v>
      </c>
    </row>
    <row r="1998" ht="15.75" customHeight="1">
      <c r="B1998" s="48">
        <v>3.582977E7</v>
      </c>
      <c r="C1998" s="80" t="s">
        <v>3911</v>
      </c>
      <c r="D1998" s="140" t="s">
        <v>636</v>
      </c>
      <c r="E1998" s="146"/>
      <c r="F1998" s="80">
        <v>387.2517414</v>
      </c>
      <c r="G1998" s="142">
        <v>17.82431844</v>
      </c>
      <c r="H1998" s="143"/>
      <c r="I1998" s="143"/>
      <c r="J1998" s="143"/>
      <c r="K1998" s="143"/>
      <c r="L1998" s="143"/>
      <c r="M1998" s="143"/>
      <c r="N1998" s="144"/>
      <c r="O1998" s="144"/>
      <c r="P1998" s="144"/>
      <c r="Q1998" s="143"/>
      <c r="R1998" s="143"/>
      <c r="Y1998" s="2" t="s">
        <v>23</v>
      </c>
    </row>
    <row r="1999" ht="15.75" customHeight="1">
      <c r="B1999" s="48">
        <v>3.582977E7</v>
      </c>
      <c r="C1999" s="80" t="s">
        <v>3911</v>
      </c>
      <c r="D1999" s="140" t="s">
        <v>636</v>
      </c>
      <c r="E1999" s="146"/>
      <c r="F1999" s="80">
        <v>261.0359209</v>
      </c>
      <c r="G1999" s="142">
        <v>3.641102854</v>
      </c>
      <c r="H1999" s="143"/>
      <c r="I1999" s="143"/>
      <c r="J1999" s="143"/>
      <c r="K1999" s="143"/>
      <c r="L1999" s="143"/>
      <c r="M1999" s="143"/>
      <c r="N1999" s="144"/>
      <c r="O1999" s="144"/>
      <c r="P1999" s="144"/>
      <c r="Q1999" s="143"/>
      <c r="R1999" s="143"/>
      <c r="Y1999" s="2" t="s">
        <v>23</v>
      </c>
    </row>
    <row r="2000" ht="15.75" customHeight="1">
      <c r="B2000" s="48">
        <v>3.582977E7</v>
      </c>
      <c r="C2000" s="80" t="s">
        <v>3911</v>
      </c>
      <c r="D2000" s="140" t="s">
        <v>636</v>
      </c>
      <c r="E2000" s="146"/>
      <c r="F2000" s="80">
        <v>144.1343165</v>
      </c>
      <c r="G2000" s="142">
        <v>3.641290919</v>
      </c>
      <c r="H2000" s="143"/>
      <c r="I2000" s="143"/>
      <c r="J2000" s="143"/>
      <c r="K2000" s="143"/>
      <c r="L2000" s="143"/>
      <c r="M2000" s="143"/>
      <c r="N2000" s="144"/>
      <c r="O2000" s="144"/>
      <c r="P2000" s="144"/>
      <c r="Q2000" s="143"/>
      <c r="R2000" s="143"/>
      <c r="Y2000" s="2" t="s">
        <v>23</v>
      </c>
    </row>
    <row r="2001" ht="15.75" customHeight="1">
      <c r="B2001" s="48">
        <v>3.582977E7</v>
      </c>
      <c r="C2001" s="80" t="s">
        <v>3911</v>
      </c>
      <c r="D2001" s="140" t="s">
        <v>636</v>
      </c>
      <c r="E2001" s="146"/>
      <c r="F2001" s="80">
        <v>297.1109804</v>
      </c>
      <c r="G2001" s="142">
        <v>17.5096405</v>
      </c>
      <c r="H2001" s="143"/>
      <c r="I2001" s="143"/>
      <c r="J2001" s="143"/>
      <c r="K2001" s="143"/>
      <c r="L2001" s="143"/>
      <c r="M2001" s="143"/>
      <c r="N2001" s="144"/>
      <c r="O2001" s="144"/>
      <c r="P2001" s="144"/>
      <c r="Q2001" s="143"/>
      <c r="R2001" s="143"/>
      <c r="Y2001" s="2" t="s">
        <v>23</v>
      </c>
    </row>
    <row r="2002" ht="15.75" customHeight="1">
      <c r="B2002" s="48">
        <v>3.582977E7</v>
      </c>
      <c r="C2002" s="80" t="s">
        <v>3911</v>
      </c>
      <c r="D2002" s="140" t="s">
        <v>636</v>
      </c>
      <c r="E2002" s="146"/>
      <c r="F2002" s="80">
        <v>91.05418797</v>
      </c>
      <c r="G2002" s="142">
        <v>4.001700338</v>
      </c>
      <c r="H2002" s="143"/>
      <c r="I2002" s="143"/>
      <c r="J2002" s="143"/>
      <c r="K2002" s="143"/>
      <c r="L2002" s="143"/>
      <c r="M2002" s="143"/>
      <c r="N2002" s="144"/>
      <c r="O2002" s="144"/>
      <c r="P2002" s="144"/>
      <c r="Q2002" s="143"/>
      <c r="R2002" s="143"/>
      <c r="Y2002" s="2" t="s">
        <v>23</v>
      </c>
    </row>
    <row r="2003" ht="15.75" customHeight="1">
      <c r="B2003" s="48">
        <v>3.582977E7</v>
      </c>
      <c r="C2003" s="80" t="s">
        <v>3911</v>
      </c>
      <c r="D2003" s="140" t="s">
        <v>636</v>
      </c>
      <c r="E2003" s="146"/>
      <c r="F2003" s="80">
        <v>212.0675477</v>
      </c>
      <c r="G2003" s="142">
        <v>15.01022949</v>
      </c>
      <c r="H2003" s="143"/>
      <c r="I2003" s="143"/>
      <c r="J2003" s="143"/>
      <c r="K2003" s="143"/>
      <c r="L2003" s="143"/>
      <c r="M2003" s="143"/>
      <c r="N2003" s="144"/>
      <c r="O2003" s="144"/>
      <c r="P2003" s="144"/>
      <c r="Q2003" s="143"/>
      <c r="R2003" s="143"/>
      <c r="Y2003" s="2" t="s">
        <v>23</v>
      </c>
    </row>
    <row r="2004" ht="15.75" customHeight="1">
      <c r="B2004" s="48">
        <v>3.582977E7</v>
      </c>
      <c r="C2004" s="80" t="s">
        <v>3911</v>
      </c>
      <c r="D2004" s="140" t="s">
        <v>636</v>
      </c>
      <c r="E2004" s="146"/>
      <c r="F2004" s="80">
        <v>91.05420048</v>
      </c>
      <c r="G2004" s="142">
        <v>11.68695679</v>
      </c>
      <c r="H2004" s="143"/>
      <c r="I2004" s="143"/>
      <c r="J2004" s="143"/>
      <c r="K2004" s="143"/>
      <c r="L2004" s="143"/>
      <c r="M2004" s="143"/>
      <c r="N2004" s="144"/>
      <c r="O2004" s="144"/>
      <c r="P2004" s="144"/>
      <c r="Q2004" s="143"/>
      <c r="R2004" s="143"/>
      <c r="Y2004" s="2" t="s">
        <v>23</v>
      </c>
    </row>
    <row r="2005" ht="15.75" customHeight="1">
      <c r="B2005" s="48">
        <v>3.582977E7</v>
      </c>
      <c r="C2005" s="80" t="s">
        <v>3911</v>
      </c>
      <c r="D2005" s="140" t="s">
        <v>636</v>
      </c>
      <c r="E2005" s="146"/>
      <c r="F2005" s="80">
        <v>481.3016608</v>
      </c>
      <c r="G2005" s="142">
        <v>14.72055969</v>
      </c>
      <c r="H2005" s="143"/>
      <c r="I2005" s="143"/>
      <c r="J2005" s="143"/>
      <c r="K2005" s="143"/>
      <c r="L2005" s="143"/>
      <c r="M2005" s="143"/>
      <c r="N2005" s="144"/>
      <c r="O2005" s="144"/>
      <c r="P2005" s="144"/>
      <c r="Q2005" s="143"/>
      <c r="R2005" s="143"/>
      <c r="Y2005" s="2" t="s">
        <v>23</v>
      </c>
    </row>
    <row r="2006" ht="15.75" customHeight="1">
      <c r="B2006" s="48">
        <v>3.582977E7</v>
      </c>
      <c r="C2006" s="80" t="s">
        <v>3911</v>
      </c>
      <c r="D2006" s="140" t="s">
        <v>636</v>
      </c>
      <c r="E2006" s="146"/>
      <c r="F2006" s="80">
        <v>188.0701683</v>
      </c>
      <c r="G2006" s="142">
        <v>13.61555939</v>
      </c>
      <c r="H2006" s="143"/>
      <c r="I2006" s="143"/>
      <c r="J2006" s="143"/>
      <c r="K2006" s="143"/>
      <c r="L2006" s="143"/>
      <c r="M2006" s="143"/>
      <c r="N2006" s="144"/>
      <c r="O2006" s="144"/>
      <c r="P2006" s="144"/>
      <c r="Q2006" s="143"/>
      <c r="R2006" s="143"/>
      <c r="Y2006" s="2" t="s">
        <v>23</v>
      </c>
    </row>
    <row r="2007" ht="15.75" customHeight="1">
      <c r="B2007" s="48">
        <v>3.582977E7</v>
      </c>
      <c r="C2007" s="80" t="s">
        <v>3911</v>
      </c>
      <c r="D2007" s="140" t="s">
        <v>636</v>
      </c>
      <c r="E2007" s="146"/>
      <c r="F2007" s="80">
        <v>225.0903599</v>
      </c>
      <c r="G2007" s="142">
        <v>15.71886902</v>
      </c>
      <c r="H2007" s="143"/>
      <c r="I2007" s="143"/>
      <c r="J2007" s="143"/>
      <c r="K2007" s="143"/>
      <c r="L2007" s="143"/>
      <c r="M2007" s="143"/>
      <c r="N2007" s="144"/>
      <c r="O2007" s="144"/>
      <c r="P2007" s="144"/>
      <c r="Q2007" s="143"/>
      <c r="R2007" s="143"/>
      <c r="Y2007" s="2" t="s">
        <v>23</v>
      </c>
    </row>
    <row r="2008" ht="15.75" customHeight="1">
      <c r="B2008" s="48">
        <v>3.582977E7</v>
      </c>
      <c r="C2008" s="80" t="s">
        <v>3911</v>
      </c>
      <c r="D2008" s="140" t="s">
        <v>636</v>
      </c>
      <c r="E2008" s="146"/>
      <c r="F2008" s="80">
        <v>176.0703632</v>
      </c>
      <c r="G2008" s="142">
        <v>14.25770162</v>
      </c>
      <c r="H2008" s="143"/>
      <c r="I2008" s="143"/>
      <c r="J2008" s="143"/>
      <c r="K2008" s="143"/>
      <c r="L2008" s="143"/>
      <c r="M2008" s="143"/>
      <c r="N2008" s="144"/>
      <c r="O2008" s="144"/>
      <c r="P2008" s="144"/>
      <c r="Q2008" s="143"/>
      <c r="R2008" s="143"/>
      <c r="Y2008" s="2" t="s">
        <v>23</v>
      </c>
    </row>
    <row r="2009" ht="15.75" customHeight="1">
      <c r="B2009" s="48">
        <v>3.582977E7</v>
      </c>
      <c r="C2009" s="80" t="s">
        <v>3911</v>
      </c>
      <c r="D2009" s="140" t="s">
        <v>636</v>
      </c>
      <c r="E2009" s="146"/>
      <c r="F2009" s="80">
        <v>180.1107954</v>
      </c>
      <c r="G2009" s="142">
        <v>11.44410706</v>
      </c>
      <c r="H2009" s="143"/>
      <c r="I2009" s="143"/>
      <c r="J2009" s="143"/>
      <c r="K2009" s="143"/>
      <c r="L2009" s="143"/>
      <c r="M2009" s="143"/>
      <c r="N2009" s="144"/>
      <c r="O2009" s="144"/>
      <c r="P2009" s="144"/>
      <c r="Q2009" s="143"/>
      <c r="R2009" s="143"/>
      <c r="Y2009" s="2" t="s">
        <v>23</v>
      </c>
    </row>
    <row r="2010" ht="15.75" customHeight="1">
      <c r="B2010" s="48">
        <v>3.582977E7</v>
      </c>
      <c r="C2010" s="80" t="s">
        <v>3911</v>
      </c>
      <c r="D2010" s="140" t="s">
        <v>636</v>
      </c>
      <c r="E2010" s="146"/>
      <c r="F2010" s="80">
        <v>220.9804146</v>
      </c>
      <c r="G2010" s="142">
        <v>3.492687988</v>
      </c>
      <c r="H2010" s="143"/>
      <c r="I2010" s="143"/>
      <c r="J2010" s="143"/>
      <c r="K2010" s="143"/>
      <c r="L2010" s="143"/>
      <c r="M2010" s="143"/>
      <c r="N2010" s="144"/>
      <c r="O2010" s="144"/>
      <c r="P2010" s="144"/>
      <c r="Q2010" s="143"/>
      <c r="R2010" s="143"/>
      <c r="Y2010" s="2" t="s">
        <v>23</v>
      </c>
    </row>
    <row r="2011" ht="15.75" customHeight="1">
      <c r="B2011" s="48">
        <v>3.582977E7</v>
      </c>
      <c r="C2011" s="80" t="s">
        <v>3911</v>
      </c>
      <c r="D2011" s="140" t="s">
        <v>636</v>
      </c>
      <c r="E2011" s="146"/>
      <c r="F2011" s="80">
        <v>359.0603177</v>
      </c>
      <c r="G2011" s="142">
        <v>14.526356</v>
      </c>
      <c r="H2011" s="143"/>
      <c r="I2011" s="143"/>
      <c r="J2011" s="143"/>
      <c r="K2011" s="143"/>
      <c r="L2011" s="143"/>
      <c r="M2011" s="143"/>
      <c r="N2011" s="144"/>
      <c r="O2011" s="144"/>
      <c r="P2011" s="144"/>
      <c r="Q2011" s="143"/>
      <c r="R2011" s="143"/>
      <c r="Y2011" s="2" t="s">
        <v>23</v>
      </c>
    </row>
    <row r="2012" ht="15.75" customHeight="1">
      <c r="B2012" s="48">
        <v>3.582977E7</v>
      </c>
      <c r="C2012" s="80" t="s">
        <v>3911</v>
      </c>
      <c r="D2012" s="140" t="s">
        <v>636</v>
      </c>
      <c r="E2012" s="146"/>
      <c r="F2012" s="80">
        <v>152.053807</v>
      </c>
      <c r="G2012" s="142">
        <v>3.782232412</v>
      </c>
      <c r="H2012" s="143"/>
      <c r="I2012" s="143"/>
      <c r="J2012" s="143"/>
      <c r="K2012" s="143"/>
      <c r="L2012" s="143"/>
      <c r="M2012" s="143"/>
      <c r="N2012" s="144"/>
      <c r="O2012" s="144"/>
      <c r="P2012" s="144"/>
      <c r="Q2012" s="143"/>
      <c r="R2012" s="143"/>
      <c r="Y2012" s="2" t="s">
        <v>23</v>
      </c>
    </row>
    <row r="2013" ht="15.75" customHeight="1">
      <c r="B2013" s="48">
        <v>3.582977E7</v>
      </c>
      <c r="C2013" s="80" t="s">
        <v>3911</v>
      </c>
      <c r="D2013" s="140" t="s">
        <v>636</v>
      </c>
      <c r="E2013" s="146"/>
      <c r="F2013" s="80">
        <v>115.0364029</v>
      </c>
      <c r="G2013" s="142">
        <v>3.596365102</v>
      </c>
      <c r="H2013" s="143"/>
      <c r="I2013" s="143"/>
      <c r="J2013" s="143"/>
      <c r="K2013" s="143"/>
      <c r="L2013" s="143"/>
      <c r="M2013" s="143"/>
      <c r="N2013" s="144"/>
      <c r="O2013" s="144"/>
      <c r="P2013" s="144"/>
      <c r="Q2013" s="143"/>
      <c r="R2013" s="143"/>
      <c r="Y2013" s="2" t="s">
        <v>23</v>
      </c>
    </row>
    <row r="2014" ht="15.75" customHeight="1">
      <c r="B2014" s="48">
        <v>3.582977E7</v>
      </c>
      <c r="C2014" s="80" t="s">
        <v>3911</v>
      </c>
      <c r="D2014" s="140" t="s">
        <v>636</v>
      </c>
      <c r="E2014" s="146"/>
      <c r="F2014" s="80">
        <v>146.0597631</v>
      </c>
      <c r="G2014" s="142">
        <v>12.79827779</v>
      </c>
      <c r="H2014" s="143"/>
      <c r="I2014" s="143"/>
      <c r="J2014" s="143"/>
      <c r="K2014" s="143"/>
      <c r="L2014" s="143"/>
      <c r="M2014" s="143"/>
      <c r="N2014" s="144"/>
      <c r="O2014" s="144"/>
      <c r="P2014" s="144"/>
      <c r="Q2014" s="143"/>
      <c r="R2014" s="143"/>
      <c r="Y2014" s="2" t="s">
        <v>23</v>
      </c>
    </row>
    <row r="2015" ht="15.75" customHeight="1">
      <c r="B2015" s="48">
        <v>3.582977E7</v>
      </c>
      <c r="C2015" s="80" t="s">
        <v>3911</v>
      </c>
      <c r="D2015" s="140" t="s">
        <v>636</v>
      </c>
      <c r="E2015" s="146"/>
      <c r="F2015" s="80">
        <v>362.1156933</v>
      </c>
      <c r="G2015" s="142">
        <v>15.06227926</v>
      </c>
      <c r="H2015" s="143"/>
      <c r="I2015" s="143"/>
      <c r="J2015" s="143"/>
      <c r="K2015" s="143"/>
      <c r="L2015" s="143"/>
      <c r="M2015" s="143"/>
      <c r="N2015" s="144"/>
      <c r="O2015" s="144"/>
      <c r="P2015" s="144"/>
      <c r="Q2015" s="143"/>
      <c r="R2015" s="143"/>
      <c r="Y2015" s="2" t="s">
        <v>23</v>
      </c>
    </row>
    <row r="2016" ht="15.75" customHeight="1">
      <c r="B2016" s="48">
        <v>3.582977E7</v>
      </c>
      <c r="C2016" s="80" t="s">
        <v>3911</v>
      </c>
      <c r="D2016" s="140" t="s">
        <v>636</v>
      </c>
      <c r="E2016" s="146"/>
      <c r="F2016" s="80">
        <v>180.0875536</v>
      </c>
      <c r="G2016" s="142">
        <v>8.738419596</v>
      </c>
      <c r="H2016" s="143"/>
      <c r="I2016" s="143"/>
      <c r="J2016" s="143"/>
      <c r="K2016" s="143"/>
      <c r="L2016" s="143"/>
      <c r="M2016" s="143"/>
      <c r="N2016" s="144"/>
      <c r="O2016" s="144"/>
      <c r="P2016" s="144"/>
      <c r="Q2016" s="143"/>
      <c r="R2016" s="143"/>
      <c r="Y2016" s="2" t="s">
        <v>23</v>
      </c>
    </row>
    <row r="2017" ht="15.75" customHeight="1">
      <c r="B2017" s="48">
        <v>3.582977E7</v>
      </c>
      <c r="C2017" s="80" t="s">
        <v>3911</v>
      </c>
      <c r="D2017" s="140" t="s">
        <v>636</v>
      </c>
      <c r="E2017" s="146"/>
      <c r="F2017" s="80">
        <v>202.0469233</v>
      </c>
      <c r="G2017" s="142">
        <v>11.4731191</v>
      </c>
      <c r="H2017" s="143"/>
      <c r="I2017" s="143"/>
      <c r="J2017" s="143"/>
      <c r="K2017" s="143"/>
      <c r="L2017" s="143"/>
      <c r="M2017" s="143"/>
      <c r="N2017" s="144"/>
      <c r="O2017" s="144"/>
      <c r="P2017" s="144"/>
      <c r="Q2017" s="143"/>
      <c r="R2017" s="143"/>
      <c r="Y2017" s="2" t="s">
        <v>23</v>
      </c>
    </row>
    <row r="2018" ht="15.75" customHeight="1">
      <c r="B2018" s="48">
        <v>3.582977E7</v>
      </c>
      <c r="C2018" s="80" t="s">
        <v>3911</v>
      </c>
      <c r="D2018" s="140" t="s">
        <v>636</v>
      </c>
      <c r="E2018" s="146"/>
      <c r="F2018" s="80">
        <v>170.07582</v>
      </c>
      <c r="G2018" s="142">
        <v>13.32763367</v>
      </c>
      <c r="H2018" s="143"/>
      <c r="I2018" s="143"/>
      <c r="J2018" s="143"/>
      <c r="K2018" s="143"/>
      <c r="L2018" s="143"/>
      <c r="M2018" s="143"/>
      <c r="N2018" s="144"/>
      <c r="O2018" s="144"/>
      <c r="P2018" s="144"/>
      <c r="Q2018" s="143"/>
      <c r="R2018" s="143"/>
      <c r="Y2018" s="2" t="s">
        <v>23</v>
      </c>
    </row>
    <row r="2019" ht="15.75" customHeight="1">
      <c r="B2019" s="48">
        <v>3.582977E7</v>
      </c>
      <c r="C2019" s="80" t="s">
        <v>3911</v>
      </c>
      <c r="D2019" s="140" t="s">
        <v>636</v>
      </c>
      <c r="E2019" s="146"/>
      <c r="F2019" s="80">
        <v>269.1079414</v>
      </c>
      <c r="G2019" s="142">
        <v>11.68385213</v>
      </c>
      <c r="H2019" s="143"/>
      <c r="I2019" s="143"/>
      <c r="J2019" s="143"/>
      <c r="K2019" s="143"/>
      <c r="L2019" s="143"/>
      <c r="M2019" s="143"/>
      <c r="N2019" s="144"/>
      <c r="O2019" s="144"/>
      <c r="P2019" s="144"/>
      <c r="Q2019" s="143"/>
      <c r="R2019" s="143"/>
      <c r="Y2019" s="2" t="s">
        <v>23</v>
      </c>
    </row>
    <row r="2020" ht="15.75" customHeight="1">
      <c r="B2020" s="48">
        <v>3.582977E7</v>
      </c>
      <c r="C2020" s="80" t="s">
        <v>3911</v>
      </c>
      <c r="D2020" s="140" t="s">
        <v>636</v>
      </c>
      <c r="E2020" s="146"/>
      <c r="F2020" s="80">
        <v>91.05420918</v>
      </c>
      <c r="G2020" s="142">
        <v>10.28782349</v>
      </c>
      <c r="H2020" s="143"/>
      <c r="I2020" s="143"/>
      <c r="J2020" s="143"/>
      <c r="K2020" s="143"/>
      <c r="L2020" s="143"/>
      <c r="M2020" s="143"/>
      <c r="N2020" s="144"/>
      <c r="O2020" s="144"/>
      <c r="P2020" s="144"/>
      <c r="Q2020" s="143"/>
      <c r="R2020" s="143"/>
      <c r="Y2020" s="2" t="s">
        <v>23</v>
      </c>
    </row>
    <row r="2021" ht="15.75" customHeight="1">
      <c r="B2021" s="48">
        <v>3.582977E7</v>
      </c>
      <c r="C2021" s="80" t="s">
        <v>3911</v>
      </c>
      <c r="D2021" s="140" t="s">
        <v>636</v>
      </c>
      <c r="E2021" s="146"/>
      <c r="F2021" s="80">
        <v>298.1096591</v>
      </c>
      <c r="G2021" s="142">
        <v>14.52134959</v>
      </c>
      <c r="H2021" s="143"/>
      <c r="I2021" s="143"/>
      <c r="J2021" s="143"/>
      <c r="K2021" s="143"/>
      <c r="L2021" s="143"/>
      <c r="M2021" s="143"/>
      <c r="N2021" s="144"/>
      <c r="O2021" s="144"/>
      <c r="P2021" s="144"/>
      <c r="Q2021" s="143"/>
      <c r="R2021" s="143"/>
      <c r="Y2021" s="2" t="s">
        <v>23</v>
      </c>
    </row>
    <row r="2022" ht="15.75" customHeight="1">
      <c r="B2022" s="48">
        <v>3.582977E7</v>
      </c>
      <c r="C2022" s="80" t="s">
        <v>3911</v>
      </c>
      <c r="D2022" s="140" t="s">
        <v>636</v>
      </c>
      <c r="E2022" s="146"/>
      <c r="F2022" s="80">
        <v>290.1409173</v>
      </c>
      <c r="G2022" s="142">
        <v>15.22559458</v>
      </c>
      <c r="H2022" s="143"/>
      <c r="I2022" s="143"/>
      <c r="J2022" s="143"/>
      <c r="K2022" s="143"/>
      <c r="L2022" s="143"/>
      <c r="M2022" s="143"/>
      <c r="N2022" s="144"/>
      <c r="O2022" s="144"/>
      <c r="P2022" s="144"/>
      <c r="Q2022" s="143"/>
      <c r="R2022" s="143"/>
      <c r="Y2022" s="2" t="s">
        <v>23</v>
      </c>
    </row>
    <row r="2023" ht="15.75" customHeight="1">
      <c r="B2023" s="48">
        <v>3.582977E7</v>
      </c>
      <c r="C2023" s="80" t="s">
        <v>3911</v>
      </c>
      <c r="D2023" s="140" t="s">
        <v>636</v>
      </c>
      <c r="E2023" s="146"/>
      <c r="F2023" s="80">
        <v>243.0829843</v>
      </c>
      <c r="G2023" s="142">
        <v>17.65591227</v>
      </c>
      <c r="H2023" s="143"/>
      <c r="I2023" s="143"/>
      <c r="J2023" s="143"/>
      <c r="K2023" s="143"/>
      <c r="L2023" s="143"/>
      <c r="M2023" s="143"/>
      <c r="N2023" s="144"/>
      <c r="O2023" s="144"/>
      <c r="P2023" s="144"/>
      <c r="Q2023" s="143"/>
      <c r="R2023" s="143"/>
      <c r="Y2023" s="2" t="s">
        <v>23</v>
      </c>
    </row>
    <row r="2024" ht="15.75" customHeight="1">
      <c r="B2024" s="48">
        <v>3.582977E7</v>
      </c>
      <c r="C2024" s="80" t="s">
        <v>3911</v>
      </c>
      <c r="D2024" s="140" t="s">
        <v>636</v>
      </c>
      <c r="E2024" s="146"/>
      <c r="F2024" s="80">
        <v>151.1114086</v>
      </c>
      <c r="G2024" s="142">
        <v>14.2333313</v>
      </c>
      <c r="H2024" s="143"/>
      <c r="I2024" s="143"/>
      <c r="J2024" s="143"/>
      <c r="K2024" s="143"/>
      <c r="L2024" s="143"/>
      <c r="M2024" s="143"/>
      <c r="N2024" s="144"/>
      <c r="O2024" s="144"/>
      <c r="P2024" s="144"/>
      <c r="Q2024" s="143"/>
      <c r="R2024" s="143"/>
      <c r="Y2024" s="2" t="s">
        <v>23</v>
      </c>
    </row>
    <row r="2025" ht="15.75" customHeight="1">
      <c r="B2025" s="48">
        <v>3.582977E7</v>
      </c>
      <c r="C2025" s="80" t="s">
        <v>3911</v>
      </c>
      <c r="D2025" s="140" t="s">
        <v>636</v>
      </c>
      <c r="E2025" s="146"/>
      <c r="F2025" s="80">
        <v>212.0991722</v>
      </c>
      <c r="G2025" s="142">
        <v>15.47665609</v>
      </c>
      <c r="H2025" s="143"/>
      <c r="I2025" s="143"/>
      <c r="J2025" s="143"/>
      <c r="K2025" s="143"/>
      <c r="L2025" s="143"/>
      <c r="M2025" s="143"/>
      <c r="N2025" s="144"/>
      <c r="O2025" s="144"/>
      <c r="P2025" s="144"/>
      <c r="Q2025" s="143"/>
      <c r="R2025" s="143"/>
      <c r="Y2025" s="2" t="s">
        <v>23</v>
      </c>
    </row>
    <row r="2026" ht="15.75" customHeight="1">
      <c r="B2026" s="48">
        <v>3.582977E7</v>
      </c>
      <c r="C2026" s="80" t="s">
        <v>3911</v>
      </c>
      <c r="D2026" s="140" t="s">
        <v>636</v>
      </c>
      <c r="E2026" s="146"/>
      <c r="F2026" s="80">
        <v>269.156629</v>
      </c>
      <c r="G2026" s="142">
        <v>11.38673757</v>
      </c>
      <c r="H2026" s="143"/>
      <c r="I2026" s="143"/>
      <c r="J2026" s="143"/>
      <c r="K2026" s="143"/>
      <c r="L2026" s="143"/>
      <c r="M2026" s="143"/>
      <c r="N2026" s="144"/>
      <c r="O2026" s="144"/>
      <c r="P2026" s="144"/>
      <c r="Q2026" s="143"/>
      <c r="R2026" s="143"/>
      <c r="Y2026" s="2" t="s">
        <v>23</v>
      </c>
    </row>
    <row r="2027" ht="15.75" customHeight="1">
      <c r="B2027" s="48">
        <v>3.582977E7</v>
      </c>
      <c r="C2027" s="80" t="s">
        <v>3911</v>
      </c>
      <c r="D2027" s="140" t="s">
        <v>636</v>
      </c>
      <c r="E2027" s="146"/>
      <c r="F2027" s="80">
        <v>165.0906854</v>
      </c>
      <c r="G2027" s="142">
        <v>15.46279806</v>
      </c>
      <c r="H2027" s="143"/>
      <c r="I2027" s="143"/>
      <c r="J2027" s="143"/>
      <c r="K2027" s="143"/>
      <c r="L2027" s="143"/>
      <c r="M2027" s="143"/>
      <c r="N2027" s="144"/>
      <c r="O2027" s="144"/>
      <c r="P2027" s="144"/>
      <c r="Q2027" s="143"/>
      <c r="R2027" s="143"/>
      <c r="Y2027" s="2" t="s">
        <v>23</v>
      </c>
    </row>
    <row r="2028" ht="15.75" customHeight="1">
      <c r="B2028" s="48">
        <v>3.582977E7</v>
      </c>
      <c r="C2028" s="80" t="s">
        <v>3911</v>
      </c>
      <c r="D2028" s="140" t="s">
        <v>636</v>
      </c>
      <c r="E2028" s="146"/>
      <c r="F2028" s="80">
        <v>181.0683874</v>
      </c>
      <c r="G2028" s="142">
        <v>11.42273407</v>
      </c>
      <c r="H2028" s="143"/>
      <c r="I2028" s="143"/>
      <c r="J2028" s="143"/>
      <c r="K2028" s="143"/>
      <c r="L2028" s="143"/>
      <c r="M2028" s="143"/>
      <c r="N2028" s="144"/>
      <c r="O2028" s="144"/>
      <c r="P2028" s="144"/>
      <c r="Q2028" s="143"/>
      <c r="R2028" s="143"/>
      <c r="Y2028" s="2" t="s">
        <v>23</v>
      </c>
    </row>
    <row r="2029" ht="15.75" customHeight="1">
      <c r="B2029" s="48">
        <v>3.582977E7</v>
      </c>
      <c r="C2029" s="80" t="s">
        <v>3911</v>
      </c>
      <c r="D2029" s="140" t="s">
        <v>636</v>
      </c>
      <c r="E2029" s="146"/>
      <c r="F2029" s="80">
        <v>197.0664218</v>
      </c>
      <c r="G2029" s="142">
        <v>10.1828125</v>
      </c>
      <c r="H2029" s="143"/>
      <c r="I2029" s="143"/>
      <c r="J2029" s="143"/>
      <c r="K2029" s="143"/>
      <c r="L2029" s="143"/>
      <c r="M2029" s="143"/>
      <c r="N2029" s="144"/>
      <c r="O2029" s="144"/>
      <c r="P2029" s="144"/>
      <c r="Q2029" s="143"/>
      <c r="R2029" s="143"/>
      <c r="Y2029" s="2" t="s">
        <v>23</v>
      </c>
    </row>
    <row r="2030" ht="15.75" customHeight="1">
      <c r="B2030" s="48">
        <v>3.582977E7</v>
      </c>
      <c r="C2030" s="80" t="s">
        <v>3911</v>
      </c>
      <c r="D2030" s="140" t="s">
        <v>636</v>
      </c>
      <c r="E2030" s="146"/>
      <c r="F2030" s="80">
        <v>189.1017007</v>
      </c>
      <c r="G2030" s="142">
        <v>12.78812358</v>
      </c>
      <c r="H2030" s="143"/>
      <c r="I2030" s="143"/>
      <c r="J2030" s="143"/>
      <c r="K2030" s="143"/>
      <c r="L2030" s="143"/>
      <c r="M2030" s="143"/>
      <c r="N2030" s="144"/>
      <c r="O2030" s="144"/>
      <c r="P2030" s="144"/>
      <c r="Q2030" s="143"/>
      <c r="R2030" s="143"/>
      <c r="Y2030" s="2" t="s">
        <v>23</v>
      </c>
    </row>
    <row r="2031" ht="15.75" customHeight="1">
      <c r="B2031" s="48">
        <v>3.582977E7</v>
      </c>
      <c r="C2031" s="80" t="s">
        <v>3911</v>
      </c>
      <c r="D2031" s="140" t="s">
        <v>636</v>
      </c>
      <c r="E2031" s="146"/>
      <c r="F2031" s="80">
        <v>181.0762487</v>
      </c>
      <c r="G2031" s="142">
        <v>10.44377848</v>
      </c>
      <c r="H2031" s="143"/>
      <c r="I2031" s="143"/>
      <c r="J2031" s="143"/>
      <c r="K2031" s="143"/>
      <c r="L2031" s="143"/>
      <c r="M2031" s="143"/>
      <c r="N2031" s="144"/>
      <c r="O2031" s="144"/>
      <c r="P2031" s="144"/>
      <c r="Q2031" s="143"/>
      <c r="R2031" s="143"/>
      <c r="Y2031" s="2" t="s">
        <v>23</v>
      </c>
    </row>
    <row r="2032" ht="15.75" customHeight="1">
      <c r="B2032" s="48">
        <v>3.582977E7</v>
      </c>
      <c r="C2032" s="80" t="s">
        <v>3911</v>
      </c>
      <c r="D2032" s="140" t="s">
        <v>636</v>
      </c>
      <c r="E2032" s="146"/>
      <c r="F2032" s="80">
        <v>166.1224237</v>
      </c>
      <c r="G2032" s="142">
        <v>13.49949849</v>
      </c>
      <c r="H2032" s="143"/>
      <c r="I2032" s="143"/>
      <c r="J2032" s="143"/>
      <c r="K2032" s="143"/>
      <c r="L2032" s="143"/>
      <c r="M2032" s="143"/>
      <c r="N2032" s="144"/>
      <c r="O2032" s="144"/>
      <c r="P2032" s="144"/>
      <c r="Q2032" s="143"/>
      <c r="R2032" s="143"/>
      <c r="Y2032" s="2" t="s">
        <v>23</v>
      </c>
    </row>
    <row r="2033" ht="15.75" customHeight="1">
      <c r="B2033" s="48">
        <v>3.582977E7</v>
      </c>
      <c r="C2033" s="80" t="s">
        <v>3911</v>
      </c>
      <c r="D2033" s="140" t="s">
        <v>636</v>
      </c>
      <c r="E2033" s="146"/>
      <c r="F2033" s="80">
        <v>61.03072349</v>
      </c>
      <c r="G2033" s="142">
        <v>3.757174683</v>
      </c>
      <c r="H2033" s="143"/>
      <c r="I2033" s="143"/>
      <c r="J2033" s="143"/>
      <c r="K2033" s="143"/>
      <c r="L2033" s="143"/>
      <c r="M2033" s="143"/>
      <c r="N2033" s="144"/>
      <c r="O2033" s="144"/>
      <c r="P2033" s="144"/>
      <c r="Q2033" s="143"/>
      <c r="R2033" s="143"/>
      <c r="Y2033" s="2" t="s">
        <v>23</v>
      </c>
    </row>
    <row r="2034" ht="15.75" customHeight="1">
      <c r="B2034" s="48">
        <v>3.582977E7</v>
      </c>
      <c r="C2034" s="80" t="s">
        <v>3911</v>
      </c>
      <c r="D2034" s="140" t="s">
        <v>636</v>
      </c>
      <c r="E2034" s="146"/>
      <c r="F2034" s="80">
        <v>268.1536568</v>
      </c>
      <c r="G2034" s="142">
        <v>11.38673757</v>
      </c>
      <c r="H2034" s="143"/>
      <c r="I2034" s="143"/>
      <c r="J2034" s="143"/>
      <c r="K2034" s="143"/>
      <c r="L2034" s="143"/>
      <c r="M2034" s="143"/>
      <c r="N2034" s="144"/>
      <c r="O2034" s="144"/>
      <c r="P2034" s="144"/>
      <c r="Q2034" s="143"/>
      <c r="R2034" s="143"/>
      <c r="Y2034" s="2" t="s">
        <v>23</v>
      </c>
    </row>
    <row r="2035" ht="15.75" customHeight="1">
      <c r="B2035" s="48">
        <v>3.582977E7</v>
      </c>
      <c r="C2035" s="80" t="s">
        <v>3911</v>
      </c>
      <c r="D2035" s="140" t="s">
        <v>636</v>
      </c>
      <c r="E2035" s="146"/>
      <c r="F2035" s="80">
        <v>263.1379525</v>
      </c>
      <c r="G2035" s="142">
        <v>12.50575867</v>
      </c>
      <c r="H2035" s="143"/>
      <c r="I2035" s="143"/>
      <c r="J2035" s="143"/>
      <c r="K2035" s="143"/>
      <c r="L2035" s="143"/>
      <c r="M2035" s="143"/>
      <c r="N2035" s="144"/>
      <c r="O2035" s="144"/>
      <c r="P2035" s="144"/>
      <c r="Q2035" s="143"/>
      <c r="R2035" s="143"/>
      <c r="Y2035" s="2" t="s">
        <v>23</v>
      </c>
    </row>
    <row r="2036" ht="15.75" customHeight="1">
      <c r="B2036" s="48">
        <v>3.582977E7</v>
      </c>
      <c r="C2036" s="80" t="s">
        <v>3911</v>
      </c>
      <c r="D2036" s="140" t="s">
        <v>636</v>
      </c>
      <c r="E2036" s="146"/>
      <c r="F2036" s="80">
        <v>307.1125754</v>
      </c>
      <c r="G2036" s="142">
        <v>3.831204987</v>
      </c>
      <c r="H2036" s="143"/>
      <c r="I2036" s="143"/>
      <c r="J2036" s="143"/>
      <c r="K2036" s="143"/>
      <c r="L2036" s="143"/>
      <c r="M2036" s="143"/>
      <c r="N2036" s="144"/>
      <c r="O2036" s="144"/>
      <c r="P2036" s="144"/>
      <c r="Q2036" s="143"/>
      <c r="R2036" s="143"/>
      <c r="Y2036" s="2" t="s">
        <v>23</v>
      </c>
    </row>
    <row r="2037" ht="15.75" customHeight="1">
      <c r="B2037" s="48">
        <v>3.582977E7</v>
      </c>
      <c r="C2037" s="80" t="s">
        <v>3911</v>
      </c>
      <c r="D2037" s="140" t="s">
        <v>636</v>
      </c>
      <c r="E2037" s="146"/>
      <c r="F2037" s="80">
        <v>211.1183799</v>
      </c>
      <c r="G2037" s="142">
        <v>9.745595296</v>
      </c>
      <c r="H2037" s="143"/>
      <c r="I2037" s="143"/>
      <c r="J2037" s="143"/>
      <c r="K2037" s="143"/>
      <c r="L2037" s="143"/>
      <c r="M2037" s="143"/>
      <c r="N2037" s="144"/>
      <c r="O2037" s="144"/>
      <c r="P2037" s="144"/>
      <c r="Q2037" s="143"/>
      <c r="R2037" s="143"/>
      <c r="Y2037" s="2" t="s">
        <v>23</v>
      </c>
    </row>
    <row r="2038" ht="15.75" customHeight="1">
      <c r="B2038" s="48">
        <v>3.582977E7</v>
      </c>
      <c r="C2038" s="80" t="s">
        <v>3911</v>
      </c>
      <c r="D2038" s="140" t="s">
        <v>636</v>
      </c>
      <c r="E2038" s="146"/>
      <c r="F2038" s="80">
        <v>260.1668537</v>
      </c>
      <c r="G2038" s="142">
        <v>18.25332031</v>
      </c>
      <c r="H2038" s="143"/>
      <c r="I2038" s="143"/>
      <c r="J2038" s="143"/>
      <c r="K2038" s="143"/>
      <c r="L2038" s="143"/>
      <c r="M2038" s="143"/>
      <c r="N2038" s="144"/>
      <c r="O2038" s="144"/>
      <c r="P2038" s="144"/>
      <c r="Q2038" s="143"/>
      <c r="R2038" s="143"/>
      <c r="Y2038" s="2" t="s">
        <v>23</v>
      </c>
    </row>
    <row r="2039" ht="15.75" customHeight="1">
      <c r="B2039" s="48">
        <v>3.582977E7</v>
      </c>
      <c r="C2039" s="80" t="s">
        <v>3911</v>
      </c>
      <c r="D2039" s="140" t="s">
        <v>636</v>
      </c>
      <c r="E2039" s="146"/>
      <c r="F2039" s="80">
        <v>209.1168045</v>
      </c>
      <c r="G2039" s="142">
        <v>18.22518311</v>
      </c>
      <c r="H2039" s="143"/>
      <c r="I2039" s="143"/>
      <c r="J2039" s="143"/>
      <c r="K2039" s="143"/>
      <c r="L2039" s="143"/>
      <c r="M2039" s="143"/>
      <c r="N2039" s="144"/>
      <c r="O2039" s="144"/>
      <c r="P2039" s="144"/>
      <c r="Q2039" s="143"/>
      <c r="R2039" s="143"/>
      <c r="Y2039" s="2" t="s">
        <v>23</v>
      </c>
    </row>
    <row r="2040" ht="15.75" customHeight="1">
      <c r="B2040" s="48">
        <v>3.582977E7</v>
      </c>
      <c r="C2040" s="80" t="s">
        <v>3911</v>
      </c>
      <c r="D2040" s="140" t="s">
        <v>636</v>
      </c>
      <c r="E2040" s="146"/>
      <c r="F2040" s="80">
        <v>316.1567019</v>
      </c>
      <c r="G2040" s="142">
        <v>14.90675761</v>
      </c>
      <c r="H2040" s="143"/>
      <c r="I2040" s="143"/>
      <c r="J2040" s="143"/>
      <c r="K2040" s="143"/>
      <c r="L2040" s="143"/>
      <c r="M2040" s="143"/>
      <c r="N2040" s="144"/>
      <c r="O2040" s="144"/>
      <c r="P2040" s="144"/>
      <c r="Q2040" s="143"/>
      <c r="R2040" s="143"/>
      <c r="Y2040" s="2" t="s">
        <v>23</v>
      </c>
    </row>
    <row r="2041" ht="15.75" customHeight="1">
      <c r="B2041" s="48">
        <v>3.582977E7</v>
      </c>
      <c r="C2041" s="80" t="s">
        <v>3911</v>
      </c>
      <c r="D2041" s="140" t="s">
        <v>636</v>
      </c>
      <c r="E2041" s="146"/>
      <c r="F2041" s="80">
        <v>315.1360531</v>
      </c>
      <c r="G2041" s="142">
        <v>14.88432922</v>
      </c>
      <c r="H2041" s="143"/>
      <c r="I2041" s="143"/>
      <c r="J2041" s="143"/>
      <c r="K2041" s="143"/>
      <c r="L2041" s="143"/>
      <c r="M2041" s="143"/>
      <c r="N2041" s="144"/>
      <c r="O2041" s="144"/>
      <c r="P2041" s="144"/>
      <c r="Q2041" s="143"/>
      <c r="R2041" s="143"/>
      <c r="Y2041" s="2" t="s">
        <v>23</v>
      </c>
    </row>
    <row r="2042" ht="15.75" customHeight="1">
      <c r="B2042" s="48">
        <v>3.582977E7</v>
      </c>
      <c r="C2042" s="80" t="s">
        <v>3911</v>
      </c>
      <c r="D2042" s="140" t="s">
        <v>636</v>
      </c>
      <c r="E2042" s="146"/>
      <c r="F2042" s="80">
        <v>192.1378333</v>
      </c>
      <c r="G2042" s="142">
        <v>16.4821991</v>
      </c>
      <c r="H2042" s="143"/>
      <c r="I2042" s="143"/>
      <c r="J2042" s="143"/>
      <c r="K2042" s="143"/>
      <c r="L2042" s="143"/>
      <c r="M2042" s="143"/>
      <c r="N2042" s="144"/>
      <c r="O2042" s="144"/>
      <c r="P2042" s="144"/>
      <c r="Q2042" s="143"/>
      <c r="R2042" s="143"/>
      <c r="Y2042" s="2" t="s">
        <v>23</v>
      </c>
    </row>
    <row r="2043" ht="15.75" customHeight="1">
      <c r="B2043" s="48">
        <v>3.582977E7</v>
      </c>
      <c r="C2043" s="80" t="s">
        <v>3911</v>
      </c>
      <c r="D2043" s="140" t="s">
        <v>636</v>
      </c>
      <c r="E2043" s="146"/>
      <c r="F2043" s="80">
        <v>229.1175834</v>
      </c>
      <c r="G2043" s="142">
        <v>3.518588257</v>
      </c>
      <c r="H2043" s="143"/>
      <c r="I2043" s="143"/>
      <c r="J2043" s="143"/>
      <c r="K2043" s="143"/>
      <c r="L2043" s="143"/>
      <c r="M2043" s="143"/>
      <c r="N2043" s="144"/>
      <c r="O2043" s="144"/>
      <c r="P2043" s="144"/>
      <c r="Q2043" s="143"/>
      <c r="R2043" s="143"/>
      <c r="Y2043" s="2" t="s">
        <v>23</v>
      </c>
    </row>
    <row r="2044" ht="15.75" customHeight="1">
      <c r="B2044" s="48">
        <v>3.582977E7</v>
      </c>
      <c r="C2044" s="80" t="s">
        <v>3911</v>
      </c>
      <c r="D2044" s="140" t="s">
        <v>636</v>
      </c>
      <c r="E2044" s="146"/>
      <c r="F2044" s="80">
        <v>118.0649558</v>
      </c>
      <c r="G2044" s="142">
        <v>5.371368408</v>
      </c>
      <c r="H2044" s="143"/>
      <c r="I2044" s="143"/>
      <c r="J2044" s="143"/>
      <c r="K2044" s="143"/>
      <c r="L2044" s="143"/>
      <c r="M2044" s="143"/>
      <c r="N2044" s="144"/>
      <c r="O2044" s="144"/>
      <c r="P2044" s="144"/>
      <c r="Q2044" s="143"/>
      <c r="R2044" s="143"/>
      <c r="Y2044" s="2" t="s">
        <v>23</v>
      </c>
    </row>
    <row r="2045" ht="15.75" customHeight="1">
      <c r="B2045" s="48">
        <v>3.582977E7</v>
      </c>
      <c r="C2045" s="80" t="s">
        <v>3911</v>
      </c>
      <c r="D2045" s="140" t="s">
        <v>636</v>
      </c>
      <c r="E2045" s="146"/>
      <c r="F2045" s="80">
        <v>154.0494515</v>
      </c>
      <c r="G2045" s="142">
        <v>3.905371602</v>
      </c>
      <c r="H2045" s="143"/>
      <c r="I2045" s="143"/>
      <c r="J2045" s="143"/>
      <c r="K2045" s="143"/>
      <c r="L2045" s="143"/>
      <c r="M2045" s="143"/>
      <c r="N2045" s="144"/>
      <c r="O2045" s="144"/>
      <c r="P2045" s="144"/>
      <c r="Q2045" s="143"/>
      <c r="R2045" s="143"/>
      <c r="Y2045" s="2" t="s">
        <v>23</v>
      </c>
    </row>
    <row r="2046" ht="15.75" customHeight="1">
      <c r="B2046" s="48">
        <v>3.582977E7</v>
      </c>
      <c r="C2046" s="80" t="s">
        <v>3911</v>
      </c>
      <c r="D2046" s="140" t="s">
        <v>636</v>
      </c>
      <c r="E2046" s="146"/>
      <c r="F2046" s="80">
        <v>183.0841489</v>
      </c>
      <c r="G2046" s="142">
        <v>4.001700338</v>
      </c>
      <c r="H2046" s="143"/>
      <c r="I2046" s="143"/>
      <c r="J2046" s="143"/>
      <c r="K2046" s="143"/>
      <c r="L2046" s="143"/>
      <c r="M2046" s="143"/>
      <c r="N2046" s="144"/>
      <c r="O2046" s="144"/>
      <c r="P2046" s="144"/>
      <c r="Q2046" s="143"/>
      <c r="R2046" s="143"/>
      <c r="Y2046" s="2" t="s">
        <v>23</v>
      </c>
    </row>
    <row r="2047" ht="15.75" customHeight="1">
      <c r="B2047" s="48">
        <v>3.582977E7</v>
      </c>
      <c r="C2047" s="80" t="s">
        <v>3911</v>
      </c>
      <c r="D2047" s="140" t="s">
        <v>636</v>
      </c>
      <c r="E2047" s="146"/>
      <c r="F2047" s="80">
        <v>118.9202228</v>
      </c>
      <c r="G2047" s="142">
        <v>3.476531219</v>
      </c>
      <c r="H2047" s="143"/>
      <c r="I2047" s="143"/>
      <c r="J2047" s="143"/>
      <c r="K2047" s="143"/>
      <c r="L2047" s="143"/>
      <c r="M2047" s="143"/>
      <c r="N2047" s="144"/>
      <c r="O2047" s="144"/>
      <c r="P2047" s="144"/>
      <c r="Q2047" s="143"/>
      <c r="R2047" s="143"/>
      <c r="Y2047" s="2" t="s">
        <v>23</v>
      </c>
    </row>
    <row r="2048" ht="15.75" customHeight="1">
      <c r="B2048" s="48">
        <v>3.582977E7</v>
      </c>
      <c r="C2048" s="80" t="s">
        <v>3911</v>
      </c>
      <c r="D2048" s="140" t="s">
        <v>636</v>
      </c>
      <c r="E2048" s="146"/>
      <c r="F2048" s="80">
        <v>195.0647773</v>
      </c>
      <c r="G2048" s="142">
        <v>4.459469096</v>
      </c>
      <c r="H2048" s="143"/>
      <c r="I2048" s="143"/>
      <c r="J2048" s="143"/>
      <c r="K2048" s="143"/>
      <c r="L2048" s="143"/>
      <c r="M2048" s="143"/>
      <c r="N2048" s="144"/>
      <c r="O2048" s="144"/>
      <c r="P2048" s="144"/>
      <c r="Q2048" s="143"/>
      <c r="R2048" s="143"/>
      <c r="Y2048" s="2" t="s">
        <v>23</v>
      </c>
    </row>
    <row r="2049" ht="15.75" customHeight="1">
      <c r="B2049" s="48">
        <v>3.582977E7</v>
      </c>
      <c r="C2049" s="80" t="s">
        <v>3911</v>
      </c>
      <c r="D2049" s="140" t="s">
        <v>636</v>
      </c>
      <c r="E2049" s="80" t="s">
        <v>4139</v>
      </c>
      <c r="F2049" s="80">
        <v>152.1430887</v>
      </c>
      <c r="G2049" s="142">
        <v>11.73940531</v>
      </c>
      <c r="H2049" s="143"/>
      <c r="I2049" s="143"/>
      <c r="J2049" s="143"/>
      <c r="K2049" s="143"/>
      <c r="L2049" s="143"/>
      <c r="M2049" s="143"/>
      <c r="N2049" s="80" t="s">
        <v>4140</v>
      </c>
      <c r="O2049" s="80" t="s">
        <v>4337</v>
      </c>
      <c r="P2049" s="80" t="s">
        <v>4142</v>
      </c>
      <c r="Y2049" s="2" t="s">
        <v>23</v>
      </c>
    </row>
    <row r="2050" ht="15.75" customHeight="1">
      <c r="B2050" s="48">
        <v>3.582977E7</v>
      </c>
      <c r="C2050" s="80" t="s">
        <v>3911</v>
      </c>
      <c r="D2050" s="140" t="s">
        <v>636</v>
      </c>
      <c r="E2050" s="80" t="s">
        <v>4528</v>
      </c>
      <c r="F2050" s="80">
        <v>198.0756259</v>
      </c>
      <c r="G2050" s="142">
        <v>2.382957204</v>
      </c>
      <c r="H2050" s="143"/>
      <c r="I2050" s="143"/>
      <c r="J2050" s="143"/>
      <c r="K2050" s="143"/>
      <c r="L2050" s="143"/>
      <c r="M2050" s="143"/>
      <c r="N2050" s="80" t="s">
        <v>4298</v>
      </c>
      <c r="O2050" s="80" t="s">
        <v>4414</v>
      </c>
      <c r="P2050" s="80" t="s">
        <v>4415</v>
      </c>
      <c r="Y2050" s="2" t="s">
        <v>23</v>
      </c>
    </row>
    <row r="2051" ht="15.75" customHeight="1">
      <c r="B2051" s="48">
        <v>3.582977E7</v>
      </c>
      <c r="C2051" s="80" t="s">
        <v>3911</v>
      </c>
      <c r="D2051" s="140" t="s">
        <v>636</v>
      </c>
      <c r="E2051" s="80" t="s">
        <v>4370</v>
      </c>
      <c r="F2051" s="80">
        <v>260.1634867</v>
      </c>
      <c r="G2051" s="142">
        <v>14.08915507</v>
      </c>
      <c r="H2051" s="143"/>
      <c r="I2051" s="143"/>
      <c r="J2051" s="143"/>
      <c r="K2051" s="143"/>
      <c r="L2051" s="143"/>
      <c r="M2051" s="143"/>
      <c r="N2051" s="80" t="s">
        <v>4358</v>
      </c>
      <c r="O2051" s="80" t="s">
        <v>4371</v>
      </c>
      <c r="P2051" s="80" t="s">
        <v>4372</v>
      </c>
      <c r="Y2051" s="2" t="s">
        <v>23</v>
      </c>
    </row>
    <row r="2052" ht="15.75" customHeight="1">
      <c r="B2052" s="48">
        <v>3.582977E7</v>
      </c>
      <c r="C2052" s="80" t="s">
        <v>3911</v>
      </c>
      <c r="D2052" s="140" t="s">
        <v>636</v>
      </c>
      <c r="E2052" s="80" t="s">
        <v>475</v>
      </c>
      <c r="F2052" s="80">
        <v>95.04907005</v>
      </c>
      <c r="G2052" s="142">
        <v>2.826423899</v>
      </c>
      <c r="H2052" s="143"/>
      <c r="I2052" s="143"/>
      <c r="J2052" s="143"/>
      <c r="K2052" s="143"/>
      <c r="L2052" s="143"/>
      <c r="M2052" s="143"/>
      <c r="N2052" s="80" t="s">
        <v>4606</v>
      </c>
      <c r="O2052" s="80" t="s">
        <v>4607</v>
      </c>
      <c r="P2052" s="80" t="s">
        <v>4608</v>
      </c>
      <c r="Y2052" s="2" t="s">
        <v>23</v>
      </c>
    </row>
    <row r="2053" ht="15.75" customHeight="1">
      <c r="B2053" s="48">
        <v>3.582977E7</v>
      </c>
      <c r="C2053" s="80" t="s">
        <v>3911</v>
      </c>
      <c r="D2053" s="140" t="s">
        <v>636</v>
      </c>
      <c r="E2053" s="80" t="s">
        <v>3987</v>
      </c>
      <c r="F2053" s="80">
        <v>132.0764983</v>
      </c>
      <c r="G2053" s="142">
        <v>1.955310949</v>
      </c>
      <c r="H2053" s="143"/>
      <c r="I2053" s="143"/>
      <c r="J2053" s="143"/>
      <c r="K2053" s="143"/>
      <c r="L2053" s="143"/>
      <c r="M2053" s="143"/>
      <c r="N2053" s="80" t="s">
        <v>1723</v>
      </c>
      <c r="O2053" s="80" t="s">
        <v>3988</v>
      </c>
      <c r="P2053" s="80" t="s">
        <v>3989</v>
      </c>
      <c r="Y2053" s="2" t="s">
        <v>23</v>
      </c>
    </row>
    <row r="2054" ht="15.75" customHeight="1">
      <c r="B2054" s="48">
        <v>3.582977E7</v>
      </c>
      <c r="C2054" s="80" t="s">
        <v>3911</v>
      </c>
      <c r="D2054" s="140" t="s">
        <v>636</v>
      </c>
      <c r="E2054" s="80" t="s">
        <v>4575</v>
      </c>
      <c r="F2054" s="80">
        <v>142.0859888</v>
      </c>
      <c r="G2054" s="142">
        <v>2.233227793</v>
      </c>
      <c r="H2054" s="143"/>
      <c r="I2054" s="143"/>
      <c r="J2054" s="143"/>
      <c r="K2054" s="143"/>
      <c r="L2054" s="143"/>
      <c r="M2054" s="143"/>
      <c r="N2054" s="80" t="s">
        <v>4576</v>
      </c>
      <c r="O2054" s="80" t="s">
        <v>4577</v>
      </c>
      <c r="P2054" s="80" t="s">
        <v>4578</v>
      </c>
      <c r="Y2054" s="2" t="s">
        <v>23</v>
      </c>
    </row>
    <row r="2055" ht="15.75" customHeight="1">
      <c r="B2055" s="48">
        <v>3.582977E7</v>
      </c>
      <c r="C2055" s="80" t="s">
        <v>3911</v>
      </c>
      <c r="D2055" s="140" t="s">
        <v>636</v>
      </c>
      <c r="E2055" s="80" t="s">
        <v>4609</v>
      </c>
      <c r="F2055" s="80">
        <v>156.1016216</v>
      </c>
      <c r="G2055" s="142">
        <v>10.68511679</v>
      </c>
      <c r="H2055" s="143"/>
      <c r="I2055" s="143"/>
      <c r="J2055" s="143"/>
      <c r="K2055" s="143"/>
      <c r="L2055" s="143"/>
      <c r="M2055" s="143"/>
      <c r="N2055" s="80" t="s">
        <v>4610</v>
      </c>
      <c r="O2055" s="80" t="s">
        <v>4611</v>
      </c>
      <c r="P2055" s="80" t="s">
        <v>4612</v>
      </c>
      <c r="Y2055" s="2" t="s">
        <v>23</v>
      </c>
    </row>
    <row r="2056" ht="15.75" customHeight="1">
      <c r="B2056" s="48">
        <v>3.582977E7</v>
      </c>
      <c r="C2056" s="80" t="s">
        <v>3911</v>
      </c>
      <c r="D2056" s="140" t="s">
        <v>636</v>
      </c>
      <c r="E2056" s="80" t="s">
        <v>4613</v>
      </c>
      <c r="F2056" s="80">
        <v>212.0912329</v>
      </c>
      <c r="G2056" s="142">
        <v>3.745973587</v>
      </c>
      <c r="H2056" s="143"/>
      <c r="I2056" s="143"/>
      <c r="J2056" s="143"/>
      <c r="K2056" s="143"/>
      <c r="L2056" s="143"/>
      <c r="M2056" s="143"/>
      <c r="N2056" s="80" t="s">
        <v>4614</v>
      </c>
      <c r="O2056" s="80" t="s">
        <v>4615</v>
      </c>
      <c r="P2056" s="80" t="s">
        <v>4616</v>
      </c>
      <c r="Y2056" s="2" t="s">
        <v>23</v>
      </c>
    </row>
    <row r="2057" ht="15.75" customHeight="1">
      <c r="B2057" s="48">
        <v>3.582977E7</v>
      </c>
      <c r="C2057" s="80" t="s">
        <v>3911</v>
      </c>
      <c r="D2057" s="140" t="s">
        <v>636</v>
      </c>
      <c r="E2057" s="80" t="s">
        <v>4617</v>
      </c>
      <c r="F2057" s="80">
        <v>294.2204215</v>
      </c>
      <c r="G2057" s="142">
        <v>14.29403992</v>
      </c>
      <c r="H2057" s="143"/>
      <c r="I2057" s="143"/>
      <c r="J2057" s="143"/>
      <c r="K2057" s="143"/>
      <c r="L2057" s="143"/>
      <c r="M2057" s="143"/>
      <c r="N2057" s="80" t="s">
        <v>4618</v>
      </c>
      <c r="O2057" s="80" t="s">
        <v>4619</v>
      </c>
      <c r="P2057" s="80" t="s">
        <v>4620</v>
      </c>
      <c r="Y2057" s="2" t="s">
        <v>23</v>
      </c>
    </row>
    <row r="2058" ht="15.75" customHeight="1">
      <c r="B2058" s="48">
        <v>3.582977E7</v>
      </c>
      <c r="C2058" s="80" t="s">
        <v>3911</v>
      </c>
      <c r="D2058" s="140" t="s">
        <v>636</v>
      </c>
      <c r="E2058" s="80" t="s">
        <v>4621</v>
      </c>
      <c r="F2058" s="80">
        <v>299.149052</v>
      </c>
      <c r="G2058" s="142">
        <v>11.18936768</v>
      </c>
      <c r="H2058" s="143"/>
      <c r="I2058" s="143"/>
      <c r="J2058" s="143"/>
      <c r="K2058" s="143"/>
      <c r="L2058" s="143"/>
      <c r="M2058" s="143"/>
      <c r="N2058" s="80" t="s">
        <v>4534</v>
      </c>
      <c r="O2058" s="80" t="s">
        <v>4622</v>
      </c>
      <c r="P2058" s="80" t="s">
        <v>4623</v>
      </c>
      <c r="Y2058" s="2" t="s">
        <v>23</v>
      </c>
    </row>
    <row r="2059" ht="15.75" customHeight="1">
      <c r="B2059" s="48">
        <v>3.582977E7</v>
      </c>
      <c r="C2059" s="80" t="s">
        <v>3911</v>
      </c>
      <c r="D2059" s="140" t="s">
        <v>636</v>
      </c>
      <c r="E2059" s="80" t="s">
        <v>475</v>
      </c>
      <c r="F2059" s="80">
        <v>95.04906231</v>
      </c>
      <c r="G2059" s="142">
        <v>5.49492747</v>
      </c>
      <c r="H2059" s="143"/>
      <c r="I2059" s="143"/>
      <c r="J2059" s="143"/>
      <c r="K2059" s="143"/>
      <c r="L2059" s="143"/>
      <c r="M2059" s="143"/>
      <c r="N2059" s="80" t="s">
        <v>4606</v>
      </c>
      <c r="O2059" s="80" t="s">
        <v>4607</v>
      </c>
      <c r="P2059" s="80" t="s">
        <v>4608</v>
      </c>
      <c r="Y2059" s="2" t="s">
        <v>23</v>
      </c>
    </row>
    <row r="2060" ht="15.75" customHeight="1">
      <c r="B2060" s="48">
        <v>3.582977E7</v>
      </c>
      <c r="C2060" s="80" t="s">
        <v>3911</v>
      </c>
      <c r="D2060" s="140" t="s">
        <v>636</v>
      </c>
      <c r="E2060" s="146"/>
      <c r="F2060" s="80">
        <v>463.0872914</v>
      </c>
      <c r="G2060" s="142">
        <v>463.0872914</v>
      </c>
      <c r="H2060" s="143"/>
      <c r="I2060" s="143"/>
      <c r="J2060" s="143"/>
      <c r="K2060" s="143"/>
      <c r="L2060" s="143"/>
      <c r="M2060" s="143"/>
      <c r="N2060" s="144"/>
      <c r="O2060" s="144"/>
      <c r="P2060" s="144"/>
      <c r="Q2060" s="143"/>
      <c r="R2060" s="143"/>
      <c r="Y2060" s="2" t="s">
        <v>23</v>
      </c>
    </row>
    <row r="2061" ht="15.75" customHeight="1">
      <c r="B2061" s="48">
        <v>3.582977E7</v>
      </c>
      <c r="C2061" s="80" t="s">
        <v>3911</v>
      </c>
      <c r="D2061" s="140" t="s">
        <v>636</v>
      </c>
      <c r="E2061" s="146"/>
      <c r="F2061" s="80">
        <v>132.0733758</v>
      </c>
      <c r="G2061" s="142">
        <v>132.0733758</v>
      </c>
      <c r="H2061" s="143"/>
      <c r="I2061" s="143"/>
      <c r="J2061" s="143"/>
      <c r="K2061" s="143"/>
      <c r="L2061" s="143"/>
      <c r="M2061" s="143"/>
      <c r="N2061" s="144"/>
      <c r="O2061" s="144"/>
      <c r="P2061" s="144"/>
      <c r="Q2061" s="143"/>
      <c r="R2061" s="143"/>
      <c r="Y2061" s="2" t="s">
        <v>23</v>
      </c>
    </row>
    <row r="2062" ht="15.75" customHeight="1">
      <c r="B2062" s="48">
        <v>3.582977E7</v>
      </c>
      <c r="C2062" s="80" t="s">
        <v>3911</v>
      </c>
      <c r="D2062" s="140" t="s">
        <v>636</v>
      </c>
      <c r="E2062" s="146"/>
      <c r="F2062" s="80">
        <v>103.0540717</v>
      </c>
      <c r="G2062" s="142">
        <v>103.0540717</v>
      </c>
      <c r="H2062" s="143"/>
      <c r="I2062" s="143"/>
      <c r="J2062" s="143"/>
      <c r="K2062" s="143"/>
      <c r="L2062" s="143"/>
      <c r="M2062" s="143"/>
      <c r="N2062" s="144"/>
      <c r="O2062" s="144"/>
      <c r="P2062" s="144"/>
      <c r="Q2062" s="143"/>
      <c r="R2062" s="143"/>
      <c r="Y2062" s="2" t="s">
        <v>23</v>
      </c>
    </row>
    <row r="2063" ht="15.75" customHeight="1">
      <c r="B2063" s="48">
        <v>3.582977E7</v>
      </c>
      <c r="C2063" s="80" t="s">
        <v>3911</v>
      </c>
      <c r="D2063" s="140" t="s">
        <v>636</v>
      </c>
      <c r="E2063" s="146"/>
      <c r="F2063" s="80">
        <v>289.219135</v>
      </c>
      <c r="G2063" s="142">
        <v>289.219135</v>
      </c>
      <c r="H2063" s="143"/>
      <c r="I2063" s="143"/>
      <c r="J2063" s="143"/>
      <c r="K2063" s="143"/>
      <c r="L2063" s="143"/>
      <c r="M2063" s="143"/>
      <c r="N2063" s="144"/>
      <c r="O2063" s="144"/>
      <c r="P2063" s="144"/>
      <c r="Q2063" s="143"/>
      <c r="R2063" s="143"/>
      <c r="Y2063" s="2" t="s">
        <v>23</v>
      </c>
    </row>
    <row r="2064" ht="15.75" customHeight="1">
      <c r="B2064" s="48">
        <v>3.582977E7</v>
      </c>
      <c r="C2064" s="80" t="s">
        <v>3911</v>
      </c>
      <c r="D2064" s="140" t="s">
        <v>636</v>
      </c>
      <c r="E2064" s="146"/>
      <c r="F2064" s="80">
        <v>268.1045979</v>
      </c>
      <c r="G2064" s="142">
        <v>268.1045979</v>
      </c>
      <c r="H2064" s="143"/>
      <c r="I2064" s="143"/>
      <c r="J2064" s="143"/>
      <c r="K2064" s="143"/>
      <c r="L2064" s="143"/>
      <c r="M2064" s="143"/>
      <c r="N2064" s="144"/>
      <c r="O2064" s="144"/>
      <c r="P2064" s="144"/>
      <c r="Q2064" s="143"/>
      <c r="R2064" s="143"/>
      <c r="Y2064" s="2" t="s">
        <v>23</v>
      </c>
    </row>
    <row r="2065" ht="15.75" customHeight="1">
      <c r="B2065" s="48">
        <v>3.582977E7</v>
      </c>
      <c r="C2065" s="80" t="s">
        <v>3911</v>
      </c>
      <c r="D2065" s="140" t="s">
        <v>636</v>
      </c>
      <c r="E2065" s="146"/>
      <c r="F2065" s="80">
        <v>132.0806033</v>
      </c>
      <c r="G2065" s="142">
        <v>132.0806033</v>
      </c>
      <c r="H2065" s="143"/>
      <c r="I2065" s="143"/>
      <c r="J2065" s="143"/>
      <c r="K2065" s="143"/>
      <c r="L2065" s="143"/>
      <c r="M2065" s="143"/>
      <c r="N2065" s="144"/>
      <c r="O2065" s="144"/>
      <c r="P2065" s="144"/>
      <c r="Q2065" s="143"/>
      <c r="R2065" s="143"/>
      <c r="Y2065" s="2" t="s">
        <v>23</v>
      </c>
    </row>
    <row r="2066" ht="15.75" customHeight="1">
      <c r="B2066" s="48">
        <v>3.582977E7</v>
      </c>
      <c r="C2066" s="80" t="s">
        <v>3911</v>
      </c>
      <c r="D2066" s="140" t="s">
        <v>636</v>
      </c>
      <c r="E2066" s="146"/>
      <c r="F2066" s="80">
        <v>165.0906575</v>
      </c>
      <c r="G2066" s="142">
        <v>165.0906575</v>
      </c>
      <c r="H2066" s="143"/>
      <c r="I2066" s="143"/>
      <c r="J2066" s="143"/>
      <c r="K2066" s="143"/>
      <c r="L2066" s="143"/>
      <c r="M2066" s="143"/>
      <c r="N2066" s="144"/>
      <c r="O2066" s="144"/>
      <c r="P2066" s="144"/>
      <c r="Q2066" s="143"/>
      <c r="R2066" s="143"/>
      <c r="Y2066" s="2" t="s">
        <v>23</v>
      </c>
    </row>
    <row r="2067" ht="15.75" customHeight="1">
      <c r="B2067" s="48">
        <v>3.582977E7</v>
      </c>
      <c r="C2067" s="80" t="s">
        <v>3911</v>
      </c>
      <c r="D2067" s="140" t="s">
        <v>636</v>
      </c>
      <c r="E2067" s="146"/>
      <c r="F2067" s="80">
        <v>115.0540448</v>
      </c>
      <c r="G2067" s="142">
        <v>115.0540448</v>
      </c>
      <c r="H2067" s="143"/>
      <c r="I2067" s="143"/>
      <c r="J2067" s="143"/>
      <c r="K2067" s="143"/>
      <c r="L2067" s="143"/>
      <c r="M2067" s="143"/>
      <c r="N2067" s="144"/>
      <c r="O2067" s="144"/>
      <c r="P2067" s="144"/>
      <c r="Q2067" s="143"/>
      <c r="R2067" s="143"/>
      <c r="Y2067" s="2" t="s">
        <v>23</v>
      </c>
    </row>
    <row r="2068" ht="15.75" customHeight="1">
      <c r="B2068" s="48">
        <v>3.582977E7</v>
      </c>
      <c r="C2068" s="80" t="s">
        <v>3911</v>
      </c>
      <c r="D2068" s="140" t="s">
        <v>636</v>
      </c>
      <c r="E2068" s="146"/>
      <c r="F2068" s="80">
        <v>241.0939247</v>
      </c>
      <c r="G2068" s="142">
        <v>241.0939247</v>
      </c>
      <c r="H2068" s="143"/>
      <c r="I2068" s="143"/>
      <c r="J2068" s="143"/>
      <c r="K2068" s="143"/>
      <c r="L2068" s="143"/>
      <c r="M2068" s="143"/>
      <c r="N2068" s="144"/>
      <c r="O2068" s="144"/>
      <c r="P2068" s="144"/>
      <c r="Q2068" s="143"/>
      <c r="R2068" s="143"/>
      <c r="Y2068" s="2" t="s">
        <v>23</v>
      </c>
    </row>
    <row r="2069" ht="15.75" customHeight="1">
      <c r="B2069" s="48">
        <v>3.582977E7</v>
      </c>
      <c r="C2069" s="80" t="s">
        <v>3911</v>
      </c>
      <c r="D2069" s="140" t="s">
        <v>636</v>
      </c>
      <c r="E2069" s="146"/>
      <c r="F2069" s="80">
        <v>255.0620201</v>
      </c>
      <c r="G2069" s="142">
        <v>255.0620201</v>
      </c>
      <c r="H2069" s="143"/>
      <c r="I2069" s="143"/>
      <c r="J2069" s="143"/>
      <c r="K2069" s="143"/>
      <c r="L2069" s="143"/>
      <c r="M2069" s="143"/>
      <c r="N2069" s="144"/>
      <c r="O2069" s="144"/>
      <c r="P2069" s="144"/>
      <c r="Q2069" s="143"/>
      <c r="R2069" s="143"/>
      <c r="Y2069" s="2" t="s">
        <v>23</v>
      </c>
    </row>
    <row r="2070" ht="15.75" customHeight="1">
      <c r="B2070" s="48">
        <v>3.582977E7</v>
      </c>
      <c r="C2070" s="80" t="s">
        <v>3911</v>
      </c>
      <c r="D2070" s="140" t="s">
        <v>636</v>
      </c>
      <c r="E2070" s="146"/>
      <c r="F2070" s="80">
        <v>260.1668517</v>
      </c>
      <c r="G2070" s="142">
        <v>260.1668517</v>
      </c>
      <c r="H2070" s="143"/>
      <c r="I2070" s="143"/>
      <c r="J2070" s="143"/>
      <c r="K2070" s="143"/>
      <c r="L2070" s="143"/>
      <c r="M2070" s="143"/>
      <c r="N2070" s="144"/>
      <c r="O2070" s="144"/>
      <c r="P2070" s="144"/>
      <c r="Q2070" s="143"/>
      <c r="R2070" s="143"/>
      <c r="Y2070" s="2" t="s">
        <v>23</v>
      </c>
    </row>
    <row r="2071" ht="15.75" customHeight="1">
      <c r="B2071" s="48">
        <v>3.582977E7</v>
      </c>
      <c r="C2071" s="80" t="s">
        <v>3911</v>
      </c>
      <c r="D2071" s="140" t="s">
        <v>636</v>
      </c>
      <c r="E2071" s="146"/>
      <c r="F2071" s="80">
        <v>136.0390823</v>
      </c>
      <c r="G2071" s="142">
        <v>136.0390823</v>
      </c>
      <c r="H2071" s="143"/>
      <c r="I2071" s="143"/>
      <c r="J2071" s="143"/>
      <c r="K2071" s="143"/>
      <c r="L2071" s="143"/>
      <c r="M2071" s="143"/>
      <c r="N2071" s="144"/>
      <c r="O2071" s="144"/>
      <c r="P2071" s="144"/>
      <c r="Q2071" s="143"/>
      <c r="R2071" s="143"/>
      <c r="Y2071" s="2" t="s">
        <v>23</v>
      </c>
    </row>
    <row r="2072" ht="15.75" customHeight="1">
      <c r="B2072" s="48">
        <v>3.582977E7</v>
      </c>
      <c r="C2072" s="80" t="s">
        <v>3911</v>
      </c>
      <c r="D2072" s="140" t="s">
        <v>636</v>
      </c>
      <c r="E2072" s="146"/>
      <c r="F2072" s="80">
        <v>296.1692857</v>
      </c>
      <c r="G2072" s="142">
        <v>296.1692857</v>
      </c>
      <c r="H2072" s="143"/>
      <c r="I2072" s="143"/>
      <c r="J2072" s="143"/>
      <c r="K2072" s="143"/>
      <c r="L2072" s="143"/>
      <c r="M2072" s="143"/>
      <c r="N2072" s="144"/>
      <c r="O2072" s="144"/>
      <c r="P2072" s="144"/>
      <c r="Q2072" s="143"/>
      <c r="R2072" s="143"/>
      <c r="Y2072" s="2" t="s">
        <v>23</v>
      </c>
    </row>
    <row r="2073" ht="15.75" customHeight="1">
      <c r="B2073" s="48">
        <v>3.582977E7</v>
      </c>
      <c r="C2073" s="80" t="s">
        <v>3911</v>
      </c>
      <c r="D2073" s="140" t="s">
        <v>636</v>
      </c>
      <c r="E2073" s="146"/>
      <c r="F2073" s="80">
        <v>336.1141901</v>
      </c>
      <c r="G2073" s="142">
        <v>336.1141901</v>
      </c>
      <c r="H2073" s="143"/>
      <c r="I2073" s="143"/>
      <c r="J2073" s="143"/>
      <c r="K2073" s="143"/>
      <c r="L2073" s="143"/>
      <c r="M2073" s="143"/>
      <c r="N2073" s="144"/>
      <c r="O2073" s="144"/>
      <c r="P2073" s="144"/>
      <c r="Q2073" s="143"/>
      <c r="R2073" s="143"/>
      <c r="Y2073" s="2" t="s">
        <v>23</v>
      </c>
    </row>
    <row r="2074" ht="15.75" customHeight="1">
      <c r="B2074" s="48">
        <v>3.582977E7</v>
      </c>
      <c r="C2074" s="80" t="s">
        <v>4177</v>
      </c>
      <c r="D2074" s="140" t="s">
        <v>636</v>
      </c>
      <c r="E2074" s="80" t="s">
        <v>3995</v>
      </c>
      <c r="F2074" s="80">
        <v>86.09634599</v>
      </c>
      <c r="G2074" s="142">
        <v>7.221700033</v>
      </c>
      <c r="H2074" s="143"/>
      <c r="I2074" s="143"/>
      <c r="J2074" s="143"/>
      <c r="K2074" s="143"/>
      <c r="L2074" s="143"/>
      <c r="M2074" s="143"/>
      <c r="N2074" s="80" t="s">
        <v>3045</v>
      </c>
      <c r="O2074" s="80" t="s">
        <v>3046</v>
      </c>
      <c r="P2074" s="80" t="s">
        <v>3996</v>
      </c>
      <c r="Y2074" s="2" t="s">
        <v>23</v>
      </c>
    </row>
    <row r="2075" ht="15.75" customHeight="1">
      <c r="B2075" s="48">
        <v>3.582977E7</v>
      </c>
      <c r="C2075" s="80" t="s">
        <v>4177</v>
      </c>
      <c r="D2075" s="140" t="s">
        <v>636</v>
      </c>
      <c r="E2075" s="80" t="s">
        <v>4548</v>
      </c>
      <c r="F2075" s="80">
        <v>232.1077324</v>
      </c>
      <c r="G2075" s="142">
        <v>1.867958577</v>
      </c>
      <c r="H2075" s="143"/>
      <c r="I2075" s="143"/>
      <c r="J2075" s="143"/>
      <c r="K2075" s="143"/>
      <c r="L2075" s="143"/>
      <c r="M2075" s="143"/>
      <c r="N2075" s="80" t="s">
        <v>4258</v>
      </c>
      <c r="O2075" s="80" t="s">
        <v>4549</v>
      </c>
      <c r="P2075" s="80" t="s">
        <v>4550</v>
      </c>
      <c r="Y2075" s="2" t="s">
        <v>23</v>
      </c>
    </row>
    <row r="2076" ht="15.75" customHeight="1">
      <c r="B2076" s="48">
        <v>3.582977E7</v>
      </c>
      <c r="C2076" s="80" t="s">
        <v>4177</v>
      </c>
      <c r="D2076" s="140" t="s">
        <v>636</v>
      </c>
      <c r="E2076" s="80" t="s">
        <v>4624</v>
      </c>
      <c r="F2076" s="80">
        <v>148.0602904</v>
      </c>
      <c r="G2076" s="142">
        <v>11.53243103</v>
      </c>
      <c r="H2076" s="143"/>
      <c r="I2076" s="143"/>
      <c r="J2076" s="143"/>
      <c r="K2076" s="143"/>
      <c r="L2076" s="143"/>
      <c r="M2076" s="143"/>
      <c r="N2076" s="80" t="s">
        <v>2032</v>
      </c>
      <c r="O2076" s="80" t="s">
        <v>4625</v>
      </c>
      <c r="P2076" s="80" t="s">
        <v>4626</v>
      </c>
      <c r="Y2076" s="2" t="s">
        <v>23</v>
      </c>
    </row>
    <row r="2077" ht="15.75" customHeight="1">
      <c r="B2077" s="48">
        <v>3.582977E7</v>
      </c>
      <c r="C2077" s="80" t="s">
        <v>4177</v>
      </c>
      <c r="D2077" s="140" t="s">
        <v>636</v>
      </c>
      <c r="E2077" s="80" t="s">
        <v>4370</v>
      </c>
      <c r="F2077" s="80">
        <v>260.1639938</v>
      </c>
      <c r="G2077" s="142">
        <v>2.379331462</v>
      </c>
      <c r="H2077" s="143"/>
      <c r="I2077" s="143"/>
      <c r="J2077" s="143"/>
      <c r="K2077" s="143"/>
      <c r="L2077" s="143"/>
      <c r="M2077" s="143"/>
      <c r="N2077" s="80" t="s">
        <v>4358</v>
      </c>
      <c r="O2077" s="80" t="s">
        <v>4371</v>
      </c>
      <c r="P2077" s="80" t="s">
        <v>4372</v>
      </c>
      <c r="Y2077" s="2" t="s">
        <v>23</v>
      </c>
    </row>
    <row r="2078" ht="15.75" customHeight="1">
      <c r="B2078" s="48">
        <v>3.582977E7</v>
      </c>
      <c r="C2078" s="80" t="s">
        <v>4177</v>
      </c>
      <c r="D2078" s="140" t="s">
        <v>636</v>
      </c>
      <c r="E2078" s="80" t="s">
        <v>3550</v>
      </c>
      <c r="F2078" s="80">
        <v>106.0497826</v>
      </c>
      <c r="G2078" s="142">
        <v>10.65909831</v>
      </c>
      <c r="H2078" s="143"/>
      <c r="I2078" s="143"/>
      <c r="J2078" s="143"/>
      <c r="K2078" s="143"/>
      <c r="L2078" s="143"/>
      <c r="M2078" s="143"/>
      <c r="N2078" s="80" t="s">
        <v>3190</v>
      </c>
      <c r="O2078" s="80" t="s">
        <v>4436</v>
      </c>
      <c r="P2078" s="80" t="s">
        <v>4437</v>
      </c>
      <c r="Y2078" s="2" t="s">
        <v>23</v>
      </c>
    </row>
    <row r="2079" ht="15.75" customHeight="1">
      <c r="B2079" s="48">
        <v>3.582977E7</v>
      </c>
      <c r="C2079" s="80" t="s">
        <v>4177</v>
      </c>
      <c r="D2079" s="140" t="s">
        <v>636</v>
      </c>
      <c r="E2079" s="80" t="s">
        <v>3558</v>
      </c>
      <c r="F2079" s="80">
        <v>182.081128</v>
      </c>
      <c r="G2079" s="142">
        <v>8.461935425</v>
      </c>
      <c r="H2079" s="143"/>
      <c r="I2079" s="143"/>
      <c r="J2079" s="143"/>
      <c r="K2079" s="143"/>
      <c r="L2079" s="143"/>
      <c r="M2079" s="143"/>
      <c r="N2079" s="80" t="s">
        <v>2900</v>
      </c>
      <c r="O2079" s="80" t="s">
        <v>4491</v>
      </c>
      <c r="P2079" s="80" t="s">
        <v>4492</v>
      </c>
      <c r="Y2079" s="2" t="s">
        <v>23</v>
      </c>
    </row>
    <row r="2080" ht="15.75" customHeight="1">
      <c r="B2080" s="48">
        <v>3.582977E7</v>
      </c>
      <c r="C2080" s="80" t="s">
        <v>4177</v>
      </c>
      <c r="D2080" s="140" t="s">
        <v>636</v>
      </c>
      <c r="E2080" s="80" t="s">
        <v>3561</v>
      </c>
      <c r="F2080" s="80">
        <v>118.0860822</v>
      </c>
      <c r="G2080" s="142">
        <v>4.35227712</v>
      </c>
      <c r="H2080" s="143"/>
      <c r="I2080" s="143"/>
      <c r="J2080" s="143"/>
      <c r="K2080" s="143"/>
      <c r="L2080" s="143"/>
      <c r="M2080" s="143"/>
      <c r="N2080" s="80" t="s">
        <v>1324</v>
      </c>
      <c r="O2080" s="80" t="s">
        <v>4440</v>
      </c>
      <c r="P2080" s="80" t="s">
        <v>4441</v>
      </c>
      <c r="Y2080" s="2" t="s">
        <v>23</v>
      </c>
    </row>
    <row r="2081" ht="15.75" customHeight="1">
      <c r="B2081" s="48">
        <v>3.582977E7</v>
      </c>
      <c r="C2081" s="80" t="s">
        <v>4177</v>
      </c>
      <c r="D2081" s="140" t="s">
        <v>636</v>
      </c>
      <c r="E2081" s="80" t="s">
        <v>215</v>
      </c>
      <c r="F2081" s="80">
        <v>209.091889</v>
      </c>
      <c r="G2081" s="142">
        <v>5.370817057</v>
      </c>
      <c r="H2081" s="143"/>
      <c r="I2081" s="143"/>
      <c r="J2081" s="143"/>
      <c r="K2081" s="143"/>
      <c r="L2081" s="143"/>
      <c r="M2081" s="143"/>
      <c r="N2081" s="80" t="s">
        <v>2307</v>
      </c>
      <c r="O2081" s="80" t="s">
        <v>4627</v>
      </c>
      <c r="P2081" s="80" t="s">
        <v>4628</v>
      </c>
      <c r="Y2081" s="2" t="s">
        <v>23</v>
      </c>
    </row>
    <row r="2082" ht="15.75" customHeight="1">
      <c r="B2082" s="48">
        <v>3.582977E7</v>
      </c>
      <c r="C2082" s="80" t="s">
        <v>4177</v>
      </c>
      <c r="D2082" s="140" t="s">
        <v>636</v>
      </c>
      <c r="E2082" s="80" t="s">
        <v>4557</v>
      </c>
      <c r="F2082" s="80">
        <v>104.0705024</v>
      </c>
      <c r="G2082" s="142">
        <v>6.159212674</v>
      </c>
      <c r="H2082" s="143"/>
      <c r="I2082" s="143"/>
      <c r="J2082" s="143"/>
      <c r="K2082" s="143"/>
      <c r="L2082" s="143"/>
      <c r="M2082" s="143"/>
      <c r="N2082" s="80" t="s">
        <v>1078</v>
      </c>
      <c r="O2082" s="80" t="s">
        <v>4558</v>
      </c>
      <c r="P2082" s="80" t="s">
        <v>4559</v>
      </c>
      <c r="Y2082" s="2" t="s">
        <v>23</v>
      </c>
    </row>
    <row r="2083" ht="15.75" customHeight="1">
      <c r="B2083" s="48">
        <v>3.582977E7</v>
      </c>
      <c r="C2083" s="80" t="s">
        <v>4177</v>
      </c>
      <c r="D2083" s="140" t="s">
        <v>636</v>
      </c>
      <c r="E2083" s="80" t="s">
        <v>4139</v>
      </c>
      <c r="F2083" s="80">
        <v>152.14319</v>
      </c>
      <c r="G2083" s="142">
        <v>7.086471049</v>
      </c>
      <c r="H2083" s="143"/>
      <c r="I2083" s="143"/>
      <c r="J2083" s="143"/>
      <c r="K2083" s="143"/>
      <c r="L2083" s="143"/>
      <c r="M2083" s="143"/>
      <c r="N2083" s="80" t="s">
        <v>4140</v>
      </c>
      <c r="O2083" s="80" t="s">
        <v>4337</v>
      </c>
      <c r="P2083" s="80" t="s">
        <v>4142</v>
      </c>
      <c r="Y2083" s="2" t="s">
        <v>23</v>
      </c>
    </row>
    <row r="2084" ht="15.75" customHeight="1">
      <c r="B2084" s="48">
        <v>3.582977E7</v>
      </c>
      <c r="C2084" s="80" t="s">
        <v>4177</v>
      </c>
      <c r="D2084" s="140" t="s">
        <v>636</v>
      </c>
      <c r="E2084" s="80" t="s">
        <v>4629</v>
      </c>
      <c r="F2084" s="80">
        <v>122.059911</v>
      </c>
      <c r="G2084" s="142">
        <v>8.475062561</v>
      </c>
      <c r="H2084" s="143"/>
      <c r="I2084" s="143"/>
      <c r="J2084" s="143"/>
      <c r="K2084" s="143"/>
      <c r="L2084" s="143"/>
      <c r="M2084" s="143"/>
      <c r="N2084" s="80" t="s">
        <v>4630</v>
      </c>
      <c r="O2084" s="80" t="s">
        <v>4631</v>
      </c>
      <c r="P2084" s="80" t="s">
        <v>4632</v>
      </c>
      <c r="Y2084" s="2" t="s">
        <v>23</v>
      </c>
    </row>
    <row r="2085" ht="15.75" customHeight="1">
      <c r="B2085" s="48">
        <v>3.582977E7</v>
      </c>
      <c r="C2085" s="80" t="s">
        <v>4177</v>
      </c>
      <c r="D2085" s="140" t="s">
        <v>636</v>
      </c>
      <c r="E2085" s="80" t="s">
        <v>380</v>
      </c>
      <c r="F2085" s="80">
        <v>126.0218329</v>
      </c>
      <c r="G2085" s="142">
        <v>10.09067485</v>
      </c>
      <c r="H2085" s="143"/>
      <c r="I2085" s="143"/>
      <c r="J2085" s="143"/>
      <c r="K2085" s="143"/>
      <c r="L2085" s="143"/>
      <c r="M2085" s="143"/>
      <c r="N2085" s="80" t="s">
        <v>3300</v>
      </c>
      <c r="O2085" s="80" t="s">
        <v>4315</v>
      </c>
      <c r="P2085" s="80" t="s">
        <v>4199</v>
      </c>
      <c r="Y2085" s="2" t="s">
        <v>23</v>
      </c>
    </row>
    <row r="2086" ht="15.75" customHeight="1">
      <c r="B2086" s="48">
        <v>3.582977E7</v>
      </c>
      <c r="C2086" s="80" t="s">
        <v>4177</v>
      </c>
      <c r="D2086" s="140" t="s">
        <v>636</v>
      </c>
      <c r="E2086" s="80" t="s">
        <v>3995</v>
      </c>
      <c r="F2086" s="80">
        <v>86.09633583</v>
      </c>
      <c r="G2086" s="142">
        <v>4.899787394</v>
      </c>
      <c r="H2086" s="143"/>
      <c r="I2086" s="143"/>
      <c r="J2086" s="143"/>
      <c r="K2086" s="143"/>
      <c r="L2086" s="143"/>
      <c r="M2086" s="143"/>
      <c r="N2086" s="80" t="s">
        <v>3045</v>
      </c>
      <c r="O2086" s="80" t="s">
        <v>3046</v>
      </c>
      <c r="P2086" s="80" t="s">
        <v>3996</v>
      </c>
      <c r="Y2086" s="2" t="s">
        <v>23</v>
      </c>
    </row>
    <row r="2087" ht="15.75" customHeight="1">
      <c r="B2087" s="48">
        <v>3.582977E7</v>
      </c>
      <c r="C2087" s="80" t="s">
        <v>4177</v>
      </c>
      <c r="D2087" s="140" t="s">
        <v>636</v>
      </c>
      <c r="E2087" s="80" t="s">
        <v>4540</v>
      </c>
      <c r="F2087" s="80">
        <v>147.0439335</v>
      </c>
      <c r="G2087" s="142">
        <v>8.456593831</v>
      </c>
      <c r="H2087" s="143"/>
      <c r="I2087" s="143"/>
      <c r="J2087" s="143"/>
      <c r="K2087" s="143"/>
      <c r="L2087" s="143"/>
      <c r="M2087" s="143"/>
      <c r="N2087" s="80" t="s">
        <v>4166</v>
      </c>
      <c r="O2087" s="80" t="s">
        <v>4228</v>
      </c>
      <c r="P2087" s="80" t="s">
        <v>4229</v>
      </c>
      <c r="Y2087" s="2" t="s">
        <v>23</v>
      </c>
    </row>
    <row r="2088" ht="15.75" customHeight="1">
      <c r="B2088" s="48">
        <v>3.582977E7</v>
      </c>
      <c r="C2088" s="80" t="s">
        <v>4177</v>
      </c>
      <c r="D2088" s="140" t="s">
        <v>636</v>
      </c>
      <c r="E2088" s="80" t="s">
        <v>3561</v>
      </c>
      <c r="F2088" s="80">
        <v>118.0860419</v>
      </c>
      <c r="G2088" s="142">
        <v>6.867971293</v>
      </c>
      <c r="H2088" s="143"/>
      <c r="I2088" s="143"/>
      <c r="J2088" s="143"/>
      <c r="K2088" s="143"/>
      <c r="L2088" s="143"/>
      <c r="M2088" s="143"/>
      <c r="N2088" s="80" t="s">
        <v>1324</v>
      </c>
      <c r="O2088" s="80" t="s">
        <v>4440</v>
      </c>
      <c r="P2088" s="80" t="s">
        <v>4441</v>
      </c>
      <c r="Y2088" s="2" t="s">
        <v>23</v>
      </c>
    </row>
    <row r="2089" ht="15.75" customHeight="1">
      <c r="B2089" s="48">
        <v>3.582977E7</v>
      </c>
      <c r="C2089" s="80" t="s">
        <v>4177</v>
      </c>
      <c r="D2089" s="140" t="s">
        <v>636</v>
      </c>
      <c r="E2089" s="80" t="s">
        <v>3522</v>
      </c>
      <c r="F2089" s="80">
        <v>133.0606413</v>
      </c>
      <c r="G2089" s="142">
        <v>10.61937866</v>
      </c>
      <c r="H2089" s="143"/>
      <c r="I2089" s="143"/>
      <c r="J2089" s="143"/>
      <c r="K2089" s="143"/>
      <c r="L2089" s="143"/>
      <c r="M2089" s="143"/>
      <c r="N2089" s="80" t="s">
        <v>1216</v>
      </c>
      <c r="O2089" s="80" t="s">
        <v>4633</v>
      </c>
      <c r="P2089" s="80" t="s">
        <v>4634</v>
      </c>
      <c r="Y2089" s="2" t="s">
        <v>23</v>
      </c>
    </row>
    <row r="2090" ht="15.75" customHeight="1">
      <c r="B2090" s="48">
        <v>3.582977E7</v>
      </c>
      <c r="C2090" s="80" t="s">
        <v>4177</v>
      </c>
      <c r="D2090" s="140" t="s">
        <v>636</v>
      </c>
      <c r="E2090" s="80" t="s">
        <v>3995</v>
      </c>
      <c r="F2090" s="80">
        <v>86.09634314</v>
      </c>
      <c r="G2090" s="142">
        <v>5.352927144</v>
      </c>
      <c r="H2090" s="143"/>
      <c r="I2090" s="143"/>
      <c r="J2090" s="143"/>
      <c r="K2090" s="143"/>
      <c r="L2090" s="143"/>
      <c r="M2090" s="143"/>
      <c r="N2090" s="80" t="s">
        <v>3045</v>
      </c>
      <c r="O2090" s="80" t="s">
        <v>3046</v>
      </c>
      <c r="P2090" s="80" t="s">
        <v>3996</v>
      </c>
      <c r="Y2090" s="2" t="s">
        <v>23</v>
      </c>
    </row>
    <row r="2091" ht="15.75" customHeight="1">
      <c r="B2091" s="48">
        <v>3.582977E7</v>
      </c>
      <c r="C2091" s="80" t="s">
        <v>4177</v>
      </c>
      <c r="D2091" s="140" t="s">
        <v>636</v>
      </c>
      <c r="E2091" s="80" t="s">
        <v>3559</v>
      </c>
      <c r="F2091" s="80">
        <v>61.03972995</v>
      </c>
      <c r="G2091" s="142">
        <v>4.301200277</v>
      </c>
      <c r="H2091" s="143"/>
      <c r="I2091" s="143"/>
      <c r="J2091" s="143"/>
      <c r="K2091" s="143"/>
      <c r="L2091" s="143"/>
      <c r="M2091" s="143"/>
      <c r="N2091" s="80" t="s">
        <v>3936</v>
      </c>
      <c r="O2091" s="80" t="s">
        <v>4635</v>
      </c>
      <c r="P2091" s="80" t="s">
        <v>3938</v>
      </c>
      <c r="Y2091" s="2" t="s">
        <v>23</v>
      </c>
    </row>
    <row r="2092" ht="15.75" customHeight="1">
      <c r="B2092" s="48">
        <v>3.582977E7</v>
      </c>
      <c r="C2092" s="80" t="s">
        <v>4177</v>
      </c>
      <c r="D2092" s="140" t="s">
        <v>636</v>
      </c>
      <c r="E2092" s="80" t="s">
        <v>4636</v>
      </c>
      <c r="F2092" s="80">
        <v>218.0849092</v>
      </c>
      <c r="G2092" s="142">
        <v>11.70897319</v>
      </c>
      <c r="H2092" s="143"/>
      <c r="I2092" s="143"/>
      <c r="J2092" s="143"/>
      <c r="K2092" s="143"/>
      <c r="L2092" s="143"/>
      <c r="M2092" s="143"/>
      <c r="N2092" s="80" t="s">
        <v>4637</v>
      </c>
      <c r="O2092" s="80" t="s">
        <v>4638</v>
      </c>
      <c r="P2092" s="80" t="s">
        <v>4639</v>
      </c>
      <c r="Y2092" s="2" t="s">
        <v>23</v>
      </c>
    </row>
    <row r="2093" ht="15.75" customHeight="1">
      <c r="B2093" s="48">
        <v>3.582977E7</v>
      </c>
      <c r="C2093" s="80" t="s">
        <v>4177</v>
      </c>
      <c r="D2093" s="140" t="s">
        <v>636</v>
      </c>
      <c r="E2093" s="80" t="s">
        <v>3557</v>
      </c>
      <c r="F2093" s="80">
        <v>205.0970159</v>
      </c>
      <c r="G2093" s="142">
        <v>6.219227091</v>
      </c>
      <c r="H2093" s="143"/>
      <c r="I2093" s="143"/>
      <c r="J2093" s="143"/>
      <c r="K2093" s="143"/>
      <c r="L2093" s="143"/>
      <c r="M2093" s="143"/>
      <c r="N2093" s="80" t="s">
        <v>3394</v>
      </c>
      <c r="O2093" s="80" t="s">
        <v>4493</v>
      </c>
      <c r="P2093" s="80" t="s">
        <v>4081</v>
      </c>
      <c r="Y2093" s="2" t="s">
        <v>23</v>
      </c>
    </row>
    <row r="2094" ht="15.75" customHeight="1">
      <c r="B2094" s="48">
        <v>3.582977E7</v>
      </c>
      <c r="C2094" s="80" t="s">
        <v>4177</v>
      </c>
      <c r="D2094" s="140" t="s">
        <v>636</v>
      </c>
      <c r="E2094" s="80" t="s">
        <v>3561</v>
      </c>
      <c r="F2094" s="80">
        <v>118.0861291</v>
      </c>
      <c r="G2094" s="142">
        <v>10.76780396</v>
      </c>
      <c r="H2094" s="143"/>
      <c r="I2094" s="143"/>
      <c r="J2094" s="143"/>
      <c r="K2094" s="143"/>
      <c r="L2094" s="143"/>
      <c r="M2094" s="143"/>
      <c r="N2094" s="80" t="s">
        <v>1324</v>
      </c>
      <c r="O2094" s="80" t="s">
        <v>4440</v>
      </c>
      <c r="P2094" s="80" t="s">
        <v>4441</v>
      </c>
      <c r="Y2094" s="2" t="s">
        <v>23</v>
      </c>
    </row>
    <row r="2095" ht="15.75" customHeight="1">
      <c r="B2095" s="48">
        <v>3.582977E7</v>
      </c>
      <c r="C2095" s="80" t="s">
        <v>4177</v>
      </c>
      <c r="D2095" s="140" t="s">
        <v>636</v>
      </c>
      <c r="E2095" s="80" t="s">
        <v>4533</v>
      </c>
      <c r="F2095" s="80">
        <v>299.1490622</v>
      </c>
      <c r="G2095" s="142">
        <v>1.726914851</v>
      </c>
      <c r="H2095" s="143"/>
      <c r="I2095" s="143"/>
      <c r="J2095" s="143"/>
      <c r="K2095" s="143"/>
      <c r="L2095" s="143"/>
      <c r="M2095" s="143"/>
      <c r="N2095" s="80" t="s">
        <v>4534</v>
      </c>
      <c r="O2095" s="80" t="s">
        <v>4535</v>
      </c>
      <c r="P2095" s="80" t="s">
        <v>4536</v>
      </c>
      <c r="Y2095" s="2" t="s">
        <v>23</v>
      </c>
    </row>
    <row r="2096" ht="15.75" customHeight="1">
      <c r="B2096" s="48">
        <v>3.582977E7</v>
      </c>
      <c r="C2096" s="80" t="s">
        <v>4177</v>
      </c>
      <c r="D2096" s="140" t="s">
        <v>636</v>
      </c>
      <c r="E2096" s="80" t="s">
        <v>4640</v>
      </c>
      <c r="F2096" s="80">
        <v>126.0548069</v>
      </c>
      <c r="G2096" s="142">
        <v>9.396244303</v>
      </c>
      <c r="H2096" s="143"/>
      <c r="I2096" s="143"/>
      <c r="J2096" s="143"/>
      <c r="K2096" s="143"/>
      <c r="L2096" s="143"/>
      <c r="M2096" s="143"/>
      <c r="N2096" s="80" t="s">
        <v>3112</v>
      </c>
      <c r="O2096" s="80" t="s">
        <v>4641</v>
      </c>
      <c r="P2096" s="80" t="s">
        <v>4642</v>
      </c>
      <c r="Y2096" s="2" t="s">
        <v>23</v>
      </c>
    </row>
    <row r="2097" ht="15.75" customHeight="1">
      <c r="B2097" s="48">
        <v>3.582977E7</v>
      </c>
      <c r="C2097" s="80" t="s">
        <v>4177</v>
      </c>
      <c r="D2097" s="140" t="s">
        <v>636</v>
      </c>
      <c r="E2097" s="146"/>
      <c r="F2097" s="80">
        <v>177.1061103</v>
      </c>
      <c r="G2097" s="142">
        <v>10.67897542</v>
      </c>
      <c r="H2097" s="143"/>
      <c r="I2097" s="143"/>
      <c r="J2097" s="143"/>
      <c r="K2097" s="143"/>
      <c r="L2097" s="143"/>
      <c r="M2097" s="143"/>
      <c r="N2097" s="144"/>
      <c r="O2097" s="144"/>
      <c r="P2097" s="144"/>
      <c r="Q2097" s="143"/>
      <c r="R2097" s="143"/>
      <c r="Y2097" s="2" t="s">
        <v>23</v>
      </c>
    </row>
    <row r="2098" ht="15.75" customHeight="1">
      <c r="B2098" s="48">
        <v>3.582977E7</v>
      </c>
      <c r="C2098" s="80" t="s">
        <v>4177</v>
      </c>
      <c r="D2098" s="140" t="s">
        <v>636</v>
      </c>
      <c r="E2098" s="146"/>
      <c r="F2098" s="80">
        <v>162.1316108</v>
      </c>
      <c r="G2098" s="142">
        <v>11.94501546</v>
      </c>
      <c r="H2098" s="143"/>
      <c r="I2098" s="143"/>
      <c r="J2098" s="143"/>
      <c r="K2098" s="143"/>
      <c r="L2098" s="143"/>
      <c r="M2098" s="143"/>
      <c r="N2098" s="144"/>
      <c r="O2098" s="144"/>
      <c r="P2098" s="144"/>
      <c r="Q2098" s="143"/>
      <c r="R2098" s="143"/>
      <c r="Y2098" s="2" t="s">
        <v>23</v>
      </c>
    </row>
    <row r="2099" ht="15.75" customHeight="1">
      <c r="B2099" s="48">
        <v>3.582977E7</v>
      </c>
      <c r="C2099" s="80" t="s">
        <v>4177</v>
      </c>
      <c r="D2099" s="140" t="s">
        <v>636</v>
      </c>
      <c r="E2099" s="146"/>
      <c r="F2099" s="80">
        <v>286.1432271</v>
      </c>
      <c r="G2099" s="142">
        <v>1.687112681</v>
      </c>
      <c r="H2099" s="143"/>
      <c r="I2099" s="143"/>
      <c r="J2099" s="143"/>
      <c r="K2099" s="143"/>
      <c r="L2099" s="143"/>
      <c r="M2099" s="143"/>
      <c r="N2099" s="144"/>
      <c r="O2099" s="144"/>
      <c r="P2099" s="144"/>
      <c r="Q2099" s="143"/>
      <c r="R2099" s="143"/>
      <c r="Y2099" s="2" t="s">
        <v>23</v>
      </c>
    </row>
    <row r="2100" ht="15.75" customHeight="1">
      <c r="B2100" s="48">
        <v>3.582977E7</v>
      </c>
      <c r="C2100" s="80" t="s">
        <v>4177</v>
      </c>
      <c r="D2100" s="140" t="s">
        <v>636</v>
      </c>
      <c r="E2100" s="146"/>
      <c r="F2100" s="80">
        <v>276.1701064</v>
      </c>
      <c r="G2100" s="142">
        <v>1.746825155</v>
      </c>
      <c r="H2100" s="143"/>
      <c r="I2100" s="143"/>
      <c r="J2100" s="143"/>
      <c r="K2100" s="143"/>
      <c r="L2100" s="143"/>
      <c r="M2100" s="143"/>
      <c r="N2100" s="144"/>
      <c r="O2100" s="144"/>
      <c r="P2100" s="144"/>
      <c r="Q2100" s="143"/>
      <c r="R2100" s="143"/>
      <c r="Y2100" s="2" t="s">
        <v>23</v>
      </c>
    </row>
    <row r="2101" ht="15.75" customHeight="1">
      <c r="B2101" s="48">
        <v>3.582977E7</v>
      </c>
      <c r="C2101" s="80" t="s">
        <v>4177</v>
      </c>
      <c r="D2101" s="140" t="s">
        <v>636</v>
      </c>
      <c r="E2101" s="146"/>
      <c r="F2101" s="80">
        <v>289.2197454</v>
      </c>
      <c r="G2101" s="142">
        <v>1.858016841</v>
      </c>
      <c r="H2101" s="143"/>
      <c r="I2101" s="143"/>
      <c r="J2101" s="143"/>
      <c r="K2101" s="143"/>
      <c r="L2101" s="143"/>
      <c r="M2101" s="143"/>
      <c r="N2101" s="144"/>
      <c r="O2101" s="144"/>
      <c r="P2101" s="144"/>
      <c r="Q2101" s="143"/>
      <c r="R2101" s="143"/>
      <c r="Y2101" s="2" t="s">
        <v>23</v>
      </c>
    </row>
    <row r="2102" ht="15.75" customHeight="1">
      <c r="B2102" s="48">
        <v>3.582977E7</v>
      </c>
      <c r="C2102" s="80" t="s">
        <v>4177</v>
      </c>
      <c r="D2102" s="140" t="s">
        <v>636</v>
      </c>
      <c r="E2102" s="146"/>
      <c r="F2102" s="80">
        <v>183.0843904</v>
      </c>
      <c r="G2102" s="142">
        <v>8.456593831</v>
      </c>
      <c r="H2102" s="143"/>
      <c r="I2102" s="143"/>
      <c r="J2102" s="143"/>
      <c r="K2102" s="143"/>
      <c r="L2102" s="143"/>
      <c r="M2102" s="143"/>
      <c r="N2102" s="144"/>
      <c r="O2102" s="144"/>
      <c r="P2102" s="144"/>
      <c r="Q2102" s="143"/>
      <c r="R2102" s="143"/>
      <c r="Y2102" s="2" t="s">
        <v>23</v>
      </c>
    </row>
    <row r="2103" ht="15.75" customHeight="1">
      <c r="B2103" s="48">
        <v>3.582977E7</v>
      </c>
      <c r="C2103" s="80" t="s">
        <v>4177</v>
      </c>
      <c r="D2103" s="140" t="s">
        <v>636</v>
      </c>
      <c r="E2103" s="146"/>
      <c r="F2103" s="80">
        <v>177.1021449</v>
      </c>
      <c r="G2103" s="142">
        <v>1.828146108</v>
      </c>
      <c r="H2103" s="143"/>
      <c r="I2103" s="143"/>
      <c r="J2103" s="143"/>
      <c r="K2103" s="143"/>
      <c r="L2103" s="143"/>
      <c r="M2103" s="143"/>
      <c r="N2103" s="144"/>
      <c r="O2103" s="144"/>
      <c r="P2103" s="144"/>
      <c r="Q2103" s="143"/>
      <c r="R2103" s="143"/>
      <c r="Y2103" s="2" t="s">
        <v>23</v>
      </c>
    </row>
    <row r="2104" ht="15.75" customHeight="1">
      <c r="B2104" s="48">
        <v>3.582977E7</v>
      </c>
      <c r="C2104" s="80" t="s">
        <v>4177</v>
      </c>
      <c r="D2104" s="140" t="s">
        <v>636</v>
      </c>
      <c r="E2104" s="146"/>
      <c r="F2104" s="80">
        <v>184.0942098</v>
      </c>
      <c r="G2104" s="142">
        <v>7.623641459</v>
      </c>
      <c r="H2104" s="143"/>
      <c r="I2104" s="143"/>
      <c r="J2104" s="143"/>
      <c r="K2104" s="143"/>
      <c r="L2104" s="143"/>
      <c r="M2104" s="143"/>
      <c r="N2104" s="144"/>
      <c r="O2104" s="144"/>
      <c r="P2104" s="144"/>
      <c r="Q2104" s="143"/>
      <c r="R2104" s="143"/>
      <c r="Y2104" s="2" t="s">
        <v>23</v>
      </c>
    </row>
    <row r="2105" ht="15.75" customHeight="1">
      <c r="B2105" s="48">
        <v>3.582977E7</v>
      </c>
      <c r="C2105" s="80" t="s">
        <v>4177</v>
      </c>
      <c r="D2105" s="140" t="s">
        <v>636</v>
      </c>
      <c r="E2105" s="146"/>
      <c r="F2105" s="80">
        <v>254.0894737</v>
      </c>
      <c r="G2105" s="142">
        <v>1.877923075</v>
      </c>
      <c r="H2105" s="143"/>
      <c r="I2105" s="143"/>
      <c r="J2105" s="143"/>
      <c r="K2105" s="143"/>
      <c r="L2105" s="143"/>
      <c r="M2105" s="143"/>
      <c r="N2105" s="144"/>
      <c r="O2105" s="144"/>
      <c r="P2105" s="144"/>
      <c r="Q2105" s="143"/>
      <c r="R2105" s="143"/>
      <c r="Y2105" s="2" t="s">
        <v>23</v>
      </c>
    </row>
    <row r="2106" ht="15.75" customHeight="1">
      <c r="B2106" s="48">
        <v>3.582977E7</v>
      </c>
      <c r="C2106" s="80" t="s">
        <v>4177</v>
      </c>
      <c r="D2106" s="140" t="s">
        <v>636</v>
      </c>
      <c r="E2106" s="146"/>
      <c r="F2106" s="80">
        <v>229.1650557</v>
      </c>
      <c r="G2106" s="142">
        <v>3.493372091</v>
      </c>
      <c r="H2106" s="143"/>
      <c r="I2106" s="143"/>
      <c r="J2106" s="143"/>
      <c r="K2106" s="143"/>
      <c r="L2106" s="143"/>
      <c r="M2106" s="143"/>
      <c r="N2106" s="144"/>
      <c r="O2106" s="144"/>
      <c r="P2106" s="144"/>
      <c r="Q2106" s="143"/>
      <c r="R2106" s="143"/>
      <c r="Y2106" s="2" t="s">
        <v>23</v>
      </c>
    </row>
    <row r="2107" ht="15.75" customHeight="1">
      <c r="B2107" s="48">
        <v>3.582977E7</v>
      </c>
      <c r="C2107" s="80" t="s">
        <v>4177</v>
      </c>
      <c r="D2107" s="140" t="s">
        <v>636</v>
      </c>
      <c r="E2107" s="146"/>
      <c r="F2107" s="80">
        <v>118.0654394</v>
      </c>
      <c r="G2107" s="142">
        <v>4.819642131</v>
      </c>
      <c r="H2107" s="143"/>
      <c r="I2107" s="143"/>
      <c r="J2107" s="143"/>
      <c r="K2107" s="143"/>
      <c r="L2107" s="143"/>
      <c r="M2107" s="143"/>
      <c r="N2107" s="144"/>
      <c r="O2107" s="144"/>
      <c r="P2107" s="144"/>
      <c r="Q2107" s="143"/>
      <c r="R2107" s="143"/>
      <c r="Y2107" s="2" t="s">
        <v>23</v>
      </c>
    </row>
    <row r="2108" ht="15.75" customHeight="1">
      <c r="B2108" s="48">
        <v>3.582977E7</v>
      </c>
      <c r="C2108" s="80" t="s">
        <v>4177</v>
      </c>
      <c r="D2108" s="140" t="s">
        <v>636</v>
      </c>
      <c r="E2108" s="146"/>
      <c r="F2108" s="80">
        <v>287.0547201</v>
      </c>
      <c r="G2108" s="142">
        <v>11.80549418</v>
      </c>
      <c r="H2108" s="143"/>
      <c r="I2108" s="143"/>
      <c r="J2108" s="143"/>
      <c r="K2108" s="143"/>
      <c r="L2108" s="143"/>
      <c r="M2108" s="143"/>
      <c r="N2108" s="144"/>
      <c r="O2108" s="144"/>
      <c r="P2108" s="144"/>
      <c r="Q2108" s="143"/>
      <c r="R2108" s="143"/>
      <c r="Y2108" s="2" t="s">
        <v>23</v>
      </c>
    </row>
    <row r="2109" ht="15.75" customHeight="1">
      <c r="B2109" s="48">
        <v>3.582977E7</v>
      </c>
      <c r="C2109" s="80" t="s">
        <v>4177</v>
      </c>
      <c r="D2109" s="140" t="s">
        <v>636</v>
      </c>
      <c r="E2109" s="146"/>
      <c r="F2109" s="80">
        <v>114.0707511</v>
      </c>
      <c r="G2109" s="142">
        <v>3.599769084</v>
      </c>
      <c r="H2109" s="143"/>
      <c r="I2109" s="143"/>
      <c r="J2109" s="143"/>
      <c r="K2109" s="143"/>
      <c r="L2109" s="143"/>
      <c r="M2109" s="143"/>
      <c r="N2109" s="144"/>
      <c r="O2109" s="144"/>
      <c r="P2109" s="144"/>
      <c r="Q2109" s="143"/>
      <c r="R2109" s="143"/>
      <c r="Y2109" s="2" t="s">
        <v>23</v>
      </c>
    </row>
    <row r="2110" ht="15.75" customHeight="1">
      <c r="B2110" s="48">
        <v>3.582977E7</v>
      </c>
      <c r="C2110" s="80" t="s">
        <v>4177</v>
      </c>
      <c r="D2110" s="140" t="s">
        <v>636</v>
      </c>
      <c r="E2110" s="146"/>
      <c r="F2110" s="80">
        <v>295.9516982</v>
      </c>
      <c r="G2110" s="142">
        <v>9.726750692</v>
      </c>
      <c r="H2110" s="143"/>
      <c r="I2110" s="143"/>
      <c r="J2110" s="143"/>
      <c r="K2110" s="143"/>
      <c r="L2110" s="143"/>
      <c r="M2110" s="143"/>
      <c r="N2110" s="144"/>
      <c r="O2110" s="144"/>
      <c r="P2110" s="144"/>
      <c r="Q2110" s="143"/>
      <c r="R2110" s="143"/>
      <c r="Y2110" s="2" t="s">
        <v>23</v>
      </c>
    </row>
    <row r="2111" ht="15.75" customHeight="1">
      <c r="B2111" s="48">
        <v>3.582977E7</v>
      </c>
      <c r="C2111" s="80" t="s">
        <v>4177</v>
      </c>
      <c r="D2111" s="140" t="s">
        <v>636</v>
      </c>
      <c r="E2111" s="146"/>
      <c r="F2111" s="80">
        <v>147.1208771</v>
      </c>
      <c r="G2111" s="142">
        <v>7.791365051</v>
      </c>
      <c r="H2111" s="143"/>
      <c r="I2111" s="143"/>
      <c r="J2111" s="143"/>
      <c r="K2111" s="143"/>
      <c r="L2111" s="143"/>
      <c r="M2111" s="143"/>
      <c r="N2111" s="144"/>
      <c r="O2111" s="144"/>
      <c r="P2111" s="144"/>
      <c r="Q2111" s="143"/>
      <c r="R2111" s="143"/>
      <c r="Y2111" s="2" t="s">
        <v>23</v>
      </c>
    </row>
    <row r="2112" ht="15.75" customHeight="1">
      <c r="B2112" s="48">
        <v>3.582977E7</v>
      </c>
      <c r="C2112" s="80" t="s">
        <v>4177</v>
      </c>
      <c r="D2112" s="140" t="s">
        <v>636</v>
      </c>
      <c r="E2112" s="146"/>
      <c r="F2112" s="80">
        <v>181.0718482</v>
      </c>
      <c r="G2112" s="142">
        <v>2.073621114</v>
      </c>
      <c r="H2112" s="143"/>
      <c r="I2112" s="143"/>
      <c r="J2112" s="143"/>
      <c r="K2112" s="143"/>
      <c r="L2112" s="143"/>
      <c r="M2112" s="143"/>
      <c r="N2112" s="144"/>
      <c r="O2112" s="144"/>
      <c r="P2112" s="144"/>
      <c r="Q2112" s="143"/>
      <c r="R2112" s="143"/>
      <c r="Y2112" s="2" t="s">
        <v>23</v>
      </c>
    </row>
    <row r="2113" ht="15.75" customHeight="1">
      <c r="B2113" s="48">
        <v>3.582977E7</v>
      </c>
      <c r="C2113" s="80" t="s">
        <v>4177</v>
      </c>
      <c r="D2113" s="140" t="s">
        <v>636</v>
      </c>
      <c r="E2113" s="146"/>
      <c r="F2113" s="80">
        <v>327.2060842</v>
      </c>
      <c r="G2113" s="142">
        <v>23.20599365</v>
      </c>
      <c r="H2113" s="143"/>
      <c r="I2113" s="143"/>
      <c r="J2113" s="143"/>
      <c r="K2113" s="143"/>
      <c r="L2113" s="143"/>
      <c r="M2113" s="143"/>
      <c r="N2113" s="144"/>
      <c r="O2113" s="144"/>
      <c r="P2113" s="144"/>
      <c r="Q2113" s="143"/>
      <c r="R2113" s="143"/>
      <c r="Y2113" s="2" t="s">
        <v>23</v>
      </c>
    </row>
    <row r="2114" ht="15.75" customHeight="1">
      <c r="B2114" s="48">
        <v>3.582977E7</v>
      </c>
      <c r="C2114" s="80" t="s">
        <v>4177</v>
      </c>
      <c r="D2114" s="140" t="s">
        <v>636</v>
      </c>
      <c r="E2114" s="146"/>
      <c r="F2114" s="80">
        <v>182.0786016</v>
      </c>
      <c r="G2114" s="142">
        <v>5.631023153</v>
      </c>
      <c r="H2114" s="143"/>
      <c r="I2114" s="143"/>
      <c r="J2114" s="143"/>
      <c r="K2114" s="143"/>
      <c r="L2114" s="143"/>
      <c r="M2114" s="143"/>
      <c r="N2114" s="144"/>
      <c r="O2114" s="144"/>
      <c r="P2114" s="144"/>
      <c r="Q2114" s="143"/>
      <c r="R2114" s="143"/>
      <c r="Y2114" s="2" t="s">
        <v>23</v>
      </c>
    </row>
    <row r="2115" ht="15.75" customHeight="1">
      <c r="B2115" s="48">
        <v>3.582977E7</v>
      </c>
      <c r="C2115" s="80" t="s">
        <v>4177</v>
      </c>
      <c r="D2115" s="140" t="s">
        <v>636</v>
      </c>
      <c r="E2115" s="146"/>
      <c r="F2115" s="80">
        <v>240.1103382</v>
      </c>
      <c r="G2115" s="142">
        <v>1.76847318</v>
      </c>
      <c r="H2115" s="143"/>
      <c r="I2115" s="143"/>
      <c r="J2115" s="143"/>
      <c r="K2115" s="143"/>
      <c r="L2115" s="143"/>
      <c r="M2115" s="143"/>
      <c r="N2115" s="144"/>
      <c r="O2115" s="144"/>
      <c r="P2115" s="144"/>
      <c r="Q2115" s="143"/>
      <c r="R2115" s="143"/>
      <c r="Y2115" s="2" t="s">
        <v>23</v>
      </c>
    </row>
    <row r="2116" ht="15.75" customHeight="1">
      <c r="B2116" s="48">
        <v>3.582977E7</v>
      </c>
      <c r="C2116" s="80" t="s">
        <v>4177</v>
      </c>
      <c r="D2116" s="140" t="s">
        <v>636</v>
      </c>
      <c r="E2116" s="146"/>
      <c r="F2116" s="80">
        <v>214.058611</v>
      </c>
      <c r="G2116" s="142">
        <v>10.72610372</v>
      </c>
      <c r="H2116" s="143"/>
      <c r="I2116" s="143"/>
      <c r="J2116" s="143"/>
      <c r="K2116" s="143"/>
      <c r="L2116" s="143"/>
      <c r="M2116" s="143"/>
      <c r="N2116" s="144"/>
      <c r="O2116" s="144"/>
      <c r="P2116" s="144"/>
      <c r="Q2116" s="143"/>
      <c r="R2116" s="143"/>
      <c r="Y2116" s="2" t="s">
        <v>23</v>
      </c>
    </row>
    <row r="2117" ht="15.75" customHeight="1">
      <c r="B2117" s="48">
        <v>3.582977E7</v>
      </c>
      <c r="C2117" s="80" t="s">
        <v>4177</v>
      </c>
      <c r="D2117" s="140" t="s">
        <v>636</v>
      </c>
      <c r="E2117" s="146"/>
      <c r="F2117" s="80">
        <v>192.0652442</v>
      </c>
      <c r="G2117" s="142">
        <v>5.370817057</v>
      </c>
      <c r="H2117" s="143"/>
      <c r="I2117" s="143"/>
      <c r="J2117" s="143"/>
      <c r="K2117" s="143"/>
      <c r="L2117" s="143"/>
      <c r="M2117" s="143"/>
      <c r="N2117" s="144"/>
      <c r="O2117" s="144"/>
      <c r="P2117" s="144"/>
      <c r="Q2117" s="143"/>
      <c r="R2117" s="143"/>
      <c r="Y2117" s="2" t="s">
        <v>23</v>
      </c>
    </row>
    <row r="2118" ht="15.75" customHeight="1">
      <c r="B2118" s="48">
        <v>3.582977E7</v>
      </c>
      <c r="C2118" s="80" t="s">
        <v>4177</v>
      </c>
      <c r="D2118" s="140" t="s">
        <v>636</v>
      </c>
      <c r="E2118" s="146"/>
      <c r="F2118" s="80">
        <v>161.080505</v>
      </c>
      <c r="G2118" s="142">
        <v>10.67897542</v>
      </c>
      <c r="H2118" s="143"/>
      <c r="I2118" s="143"/>
      <c r="J2118" s="143"/>
      <c r="K2118" s="143"/>
      <c r="L2118" s="143"/>
      <c r="M2118" s="143"/>
      <c r="N2118" s="144"/>
      <c r="O2118" s="144"/>
      <c r="P2118" s="144"/>
      <c r="Q2118" s="143"/>
      <c r="R2118" s="143"/>
      <c r="Y2118" s="2" t="s">
        <v>23</v>
      </c>
    </row>
    <row r="2119" ht="15.75" customHeight="1">
      <c r="B2119" s="48">
        <v>3.582977E7</v>
      </c>
      <c r="C2119" s="80" t="s">
        <v>4177</v>
      </c>
      <c r="D2119" s="140" t="s">
        <v>636</v>
      </c>
      <c r="E2119" s="146"/>
      <c r="F2119" s="80">
        <v>118.0609509</v>
      </c>
      <c r="G2119" s="142">
        <v>10.09067485</v>
      </c>
      <c r="H2119" s="143"/>
      <c r="I2119" s="143"/>
      <c r="J2119" s="143"/>
      <c r="K2119" s="143"/>
      <c r="L2119" s="143"/>
      <c r="M2119" s="143"/>
      <c r="N2119" s="144"/>
      <c r="O2119" s="144"/>
      <c r="P2119" s="144"/>
      <c r="Q2119" s="143"/>
      <c r="R2119" s="143"/>
      <c r="Y2119" s="2" t="s">
        <v>23</v>
      </c>
    </row>
    <row r="2120" ht="15.75" customHeight="1">
      <c r="B2120" s="48">
        <v>3.582977E7</v>
      </c>
      <c r="C2120" s="80" t="s">
        <v>4177</v>
      </c>
      <c r="D2120" s="140" t="s">
        <v>636</v>
      </c>
      <c r="E2120" s="146"/>
      <c r="F2120" s="80">
        <v>269.1084528</v>
      </c>
      <c r="G2120" s="142">
        <v>1.838091914</v>
      </c>
      <c r="H2120" s="143"/>
      <c r="I2120" s="143"/>
      <c r="J2120" s="143"/>
      <c r="K2120" s="143"/>
      <c r="L2120" s="143"/>
      <c r="M2120" s="143"/>
      <c r="N2120" s="144"/>
      <c r="O2120" s="144"/>
      <c r="P2120" s="144"/>
      <c r="Q2120" s="143"/>
      <c r="R2120" s="143"/>
      <c r="Y2120" s="2" t="s">
        <v>23</v>
      </c>
    </row>
    <row r="2121" ht="15.75" customHeight="1">
      <c r="B2121" s="48">
        <v>3.582977E7</v>
      </c>
      <c r="C2121" s="80" t="s">
        <v>4177</v>
      </c>
      <c r="D2121" s="140" t="s">
        <v>636</v>
      </c>
      <c r="E2121" s="146"/>
      <c r="F2121" s="80">
        <v>445.16438</v>
      </c>
      <c r="G2121" s="142">
        <v>9.178995768</v>
      </c>
      <c r="H2121" s="143"/>
      <c r="I2121" s="143"/>
      <c r="J2121" s="143"/>
      <c r="K2121" s="143"/>
      <c r="L2121" s="143"/>
      <c r="M2121" s="143"/>
      <c r="N2121" s="144"/>
      <c r="O2121" s="144"/>
      <c r="P2121" s="144"/>
      <c r="Q2121" s="143"/>
      <c r="R2121" s="143"/>
      <c r="Y2121" s="2" t="s">
        <v>23</v>
      </c>
    </row>
    <row r="2122" ht="15.75" customHeight="1">
      <c r="B2122" s="48">
        <v>3.582977E7</v>
      </c>
      <c r="C2122" s="80" t="s">
        <v>4177</v>
      </c>
      <c r="D2122" s="140" t="s">
        <v>636</v>
      </c>
      <c r="E2122" s="146"/>
      <c r="F2122" s="80">
        <v>170.071069</v>
      </c>
      <c r="G2122" s="142">
        <v>6.284154765</v>
      </c>
      <c r="H2122" s="143"/>
      <c r="I2122" s="143"/>
      <c r="J2122" s="143"/>
      <c r="K2122" s="143"/>
      <c r="L2122" s="143"/>
      <c r="M2122" s="143"/>
      <c r="N2122" s="144"/>
      <c r="O2122" s="144"/>
      <c r="P2122" s="144"/>
      <c r="Q2122" s="143"/>
      <c r="R2122" s="143"/>
      <c r="Y2122" s="2" t="s">
        <v>23</v>
      </c>
    </row>
    <row r="2123" ht="15.75" customHeight="1">
      <c r="B2123" s="48">
        <v>3.582977E7</v>
      </c>
      <c r="C2123" s="80" t="s">
        <v>4177</v>
      </c>
      <c r="D2123" s="140" t="s">
        <v>636</v>
      </c>
      <c r="E2123" s="146"/>
      <c r="F2123" s="80">
        <v>227.1169561</v>
      </c>
      <c r="G2123" s="142">
        <v>8.823230998</v>
      </c>
      <c r="H2123" s="143"/>
      <c r="I2123" s="143"/>
      <c r="J2123" s="143"/>
      <c r="K2123" s="143"/>
      <c r="L2123" s="143"/>
      <c r="M2123" s="143"/>
      <c r="N2123" s="144"/>
      <c r="O2123" s="144"/>
      <c r="P2123" s="144"/>
      <c r="Q2123" s="143"/>
      <c r="R2123" s="143"/>
      <c r="Y2123" s="2" t="s">
        <v>23</v>
      </c>
    </row>
    <row r="2124" ht="15.75" customHeight="1">
      <c r="B2124" s="48">
        <v>3.582977E7</v>
      </c>
      <c r="C2124" s="80" t="s">
        <v>4177</v>
      </c>
      <c r="D2124" s="140" t="s">
        <v>636</v>
      </c>
      <c r="E2124" s="146"/>
      <c r="F2124" s="80">
        <v>249.1570725</v>
      </c>
      <c r="G2124" s="142">
        <v>1.917731349</v>
      </c>
      <c r="H2124" s="143"/>
      <c r="I2124" s="143"/>
      <c r="J2124" s="143"/>
      <c r="K2124" s="143"/>
      <c r="L2124" s="143"/>
      <c r="M2124" s="143"/>
      <c r="N2124" s="144"/>
      <c r="O2124" s="144"/>
      <c r="P2124" s="144"/>
      <c r="Q2124" s="143"/>
      <c r="R2124" s="143"/>
      <c r="Y2124" s="2" t="s">
        <v>23</v>
      </c>
    </row>
    <row r="2125" ht="15.75" customHeight="1">
      <c r="B2125" s="48">
        <v>3.582977E7</v>
      </c>
      <c r="C2125" s="80" t="s">
        <v>4177</v>
      </c>
      <c r="D2125" s="140" t="s">
        <v>636</v>
      </c>
      <c r="E2125" s="146"/>
      <c r="F2125" s="80">
        <v>189.0868606</v>
      </c>
      <c r="G2125" s="142">
        <v>11.73712667</v>
      </c>
      <c r="H2125" s="143"/>
      <c r="I2125" s="143"/>
      <c r="J2125" s="143"/>
      <c r="K2125" s="143"/>
      <c r="L2125" s="143"/>
      <c r="M2125" s="143"/>
      <c r="N2125" s="144"/>
      <c r="O2125" s="144"/>
      <c r="P2125" s="144"/>
      <c r="Q2125" s="143"/>
      <c r="R2125" s="143"/>
      <c r="Y2125" s="2" t="s">
        <v>23</v>
      </c>
    </row>
    <row r="2126" ht="15.75" customHeight="1">
      <c r="B2126" s="48">
        <v>3.582977E7</v>
      </c>
      <c r="C2126" s="80" t="s">
        <v>4177</v>
      </c>
      <c r="D2126" s="140" t="s">
        <v>636</v>
      </c>
      <c r="E2126" s="146"/>
      <c r="F2126" s="80">
        <v>132.080647</v>
      </c>
      <c r="G2126" s="142">
        <v>6.238948059</v>
      </c>
      <c r="H2126" s="143"/>
      <c r="I2126" s="143"/>
      <c r="J2126" s="143"/>
      <c r="K2126" s="143"/>
      <c r="L2126" s="143"/>
      <c r="M2126" s="143"/>
      <c r="N2126" s="144"/>
      <c r="O2126" s="144"/>
      <c r="P2126" s="144"/>
      <c r="Q2126" s="143"/>
      <c r="R2126" s="143"/>
      <c r="Y2126" s="2" t="s">
        <v>23</v>
      </c>
    </row>
    <row r="2127" ht="15.75" customHeight="1">
      <c r="B2127" s="48">
        <v>3.582977E7</v>
      </c>
      <c r="C2127" s="80" t="s">
        <v>4177</v>
      </c>
      <c r="D2127" s="140" t="s">
        <v>636</v>
      </c>
      <c r="E2127" s="80" t="s">
        <v>4640</v>
      </c>
      <c r="F2127" s="80">
        <v>126.0548069</v>
      </c>
      <c r="G2127" s="142">
        <v>9.396244303</v>
      </c>
      <c r="H2127" s="143"/>
      <c r="I2127" s="143"/>
      <c r="J2127" s="143"/>
      <c r="K2127" s="143"/>
      <c r="L2127" s="143"/>
      <c r="M2127" s="143"/>
      <c r="N2127" s="80" t="s">
        <v>3112</v>
      </c>
      <c r="O2127" s="80" t="s">
        <v>4641</v>
      </c>
      <c r="P2127" s="80" t="s">
        <v>4642</v>
      </c>
      <c r="Y2127" s="2" t="s">
        <v>23</v>
      </c>
    </row>
    <row r="2128" ht="15.75" customHeight="1">
      <c r="B2128" s="48">
        <v>3.582977E7</v>
      </c>
      <c r="C2128" s="80" t="s">
        <v>4177</v>
      </c>
      <c r="D2128" s="140" t="s">
        <v>636</v>
      </c>
      <c r="E2128" s="146"/>
      <c r="F2128" s="80">
        <v>177.1061103</v>
      </c>
      <c r="G2128" s="142">
        <v>10.67897542</v>
      </c>
      <c r="H2128" s="143"/>
      <c r="I2128" s="143"/>
      <c r="J2128" s="143"/>
      <c r="K2128" s="143"/>
      <c r="L2128" s="143"/>
      <c r="M2128" s="143"/>
      <c r="N2128" s="144"/>
      <c r="O2128" s="144"/>
      <c r="P2128" s="144"/>
      <c r="Q2128" s="143"/>
      <c r="R2128" s="143"/>
      <c r="Y2128" s="2" t="s">
        <v>23</v>
      </c>
    </row>
    <row r="2129" ht="15.75" customHeight="1">
      <c r="B2129" s="48">
        <v>3.582977E7</v>
      </c>
      <c r="C2129" s="80" t="s">
        <v>4177</v>
      </c>
      <c r="D2129" s="140" t="s">
        <v>636</v>
      </c>
      <c r="E2129" s="146"/>
      <c r="F2129" s="80">
        <v>177.1021449</v>
      </c>
      <c r="G2129" s="142">
        <v>1.828146108</v>
      </c>
      <c r="H2129" s="143"/>
      <c r="I2129" s="143"/>
      <c r="J2129" s="143"/>
      <c r="K2129" s="143"/>
      <c r="L2129" s="143"/>
      <c r="M2129" s="143"/>
      <c r="N2129" s="144"/>
      <c r="O2129" s="144"/>
      <c r="P2129" s="144"/>
      <c r="Q2129" s="143"/>
      <c r="R2129" s="143"/>
      <c r="Y2129" s="2" t="s">
        <v>23</v>
      </c>
    </row>
    <row r="2130" ht="15.75" customHeight="1">
      <c r="B2130" s="48">
        <v>3.582977E7</v>
      </c>
      <c r="C2130" s="80" t="s">
        <v>4177</v>
      </c>
      <c r="D2130" s="140" t="s">
        <v>636</v>
      </c>
      <c r="E2130" s="146"/>
      <c r="F2130" s="80">
        <v>184.0942098</v>
      </c>
      <c r="G2130" s="142">
        <v>7.623641459</v>
      </c>
      <c r="H2130" s="143"/>
      <c r="I2130" s="143"/>
      <c r="J2130" s="143"/>
      <c r="K2130" s="143"/>
      <c r="L2130" s="143"/>
      <c r="M2130" s="143"/>
      <c r="N2130" s="144"/>
      <c r="O2130" s="144"/>
      <c r="P2130" s="144"/>
      <c r="Q2130" s="143"/>
      <c r="R2130" s="143"/>
      <c r="Y2130" s="2" t="s">
        <v>23</v>
      </c>
    </row>
    <row r="2131" ht="15.75" customHeight="1">
      <c r="B2131" s="48">
        <v>3.582977E7</v>
      </c>
      <c r="C2131" s="80" t="s">
        <v>4177</v>
      </c>
      <c r="D2131" s="140" t="s">
        <v>636</v>
      </c>
      <c r="E2131" s="146"/>
      <c r="F2131" s="80">
        <v>181.0718482</v>
      </c>
      <c r="G2131" s="142">
        <v>2.073621114</v>
      </c>
      <c r="H2131" s="143"/>
      <c r="I2131" s="143"/>
      <c r="J2131" s="143"/>
      <c r="K2131" s="143"/>
      <c r="L2131" s="143"/>
      <c r="M2131" s="143"/>
      <c r="N2131" s="144"/>
      <c r="O2131" s="144"/>
      <c r="P2131" s="144"/>
      <c r="Q2131" s="143"/>
      <c r="R2131" s="143"/>
      <c r="Y2131" s="2" t="s">
        <v>23</v>
      </c>
    </row>
    <row r="2132" ht="15.75" customHeight="1">
      <c r="B2132" s="48">
        <v>3.582977E7</v>
      </c>
      <c r="C2132" s="80" t="s">
        <v>4177</v>
      </c>
      <c r="D2132" s="140" t="s">
        <v>636</v>
      </c>
      <c r="E2132" s="146"/>
      <c r="F2132" s="80">
        <v>177.0999133</v>
      </c>
      <c r="G2132" s="142">
        <v>10.67897542</v>
      </c>
      <c r="H2132" s="143"/>
      <c r="I2132" s="143"/>
      <c r="J2132" s="143"/>
      <c r="K2132" s="143"/>
      <c r="L2132" s="143"/>
      <c r="M2132" s="143"/>
      <c r="N2132" s="144"/>
      <c r="O2132" s="144"/>
      <c r="P2132" s="144"/>
      <c r="Q2132" s="143"/>
      <c r="R2132" s="143"/>
      <c r="Y2132" s="2" t="s">
        <v>23</v>
      </c>
    </row>
    <row r="2133" ht="15.75" customHeight="1">
      <c r="B2133" s="48">
        <v>3.582977E7</v>
      </c>
      <c r="C2133" s="80" t="s">
        <v>4177</v>
      </c>
      <c r="D2133" s="140" t="s">
        <v>636</v>
      </c>
      <c r="E2133" s="80" t="s">
        <v>4548</v>
      </c>
      <c r="F2133" s="80">
        <v>232.1077324</v>
      </c>
      <c r="G2133" s="142">
        <v>1.867958577</v>
      </c>
      <c r="H2133" s="143"/>
      <c r="I2133" s="143"/>
      <c r="J2133" s="143"/>
      <c r="K2133" s="143"/>
      <c r="L2133" s="143"/>
      <c r="M2133" s="143"/>
      <c r="N2133" s="80" t="s">
        <v>4258</v>
      </c>
      <c r="O2133" s="80" t="s">
        <v>4549</v>
      </c>
      <c r="P2133" s="80" t="s">
        <v>4550</v>
      </c>
      <c r="Y2133" s="2" t="s">
        <v>23</v>
      </c>
    </row>
    <row r="2134" ht="15.75" customHeight="1">
      <c r="B2134" s="48">
        <v>3.582977E7</v>
      </c>
      <c r="C2134" s="80" t="s">
        <v>4177</v>
      </c>
      <c r="D2134" s="140" t="s">
        <v>636</v>
      </c>
      <c r="E2134" s="80" t="s">
        <v>4370</v>
      </c>
      <c r="F2134" s="80">
        <v>260.1639938</v>
      </c>
      <c r="G2134" s="142">
        <v>2.379331462</v>
      </c>
      <c r="H2134" s="143"/>
      <c r="I2134" s="143"/>
      <c r="J2134" s="143"/>
      <c r="K2134" s="143"/>
      <c r="L2134" s="143"/>
      <c r="M2134" s="143"/>
      <c r="N2134" s="80" t="s">
        <v>4358</v>
      </c>
      <c r="O2134" s="80" t="s">
        <v>4371</v>
      </c>
      <c r="P2134" s="80" t="s">
        <v>4372</v>
      </c>
      <c r="Y2134" s="2" t="s">
        <v>23</v>
      </c>
    </row>
    <row r="2135" ht="15.75" customHeight="1">
      <c r="B2135" s="48">
        <v>3.582977E7</v>
      </c>
      <c r="C2135" s="80" t="s">
        <v>4177</v>
      </c>
      <c r="D2135" s="140" t="s">
        <v>636</v>
      </c>
      <c r="E2135" s="80" t="s">
        <v>4643</v>
      </c>
      <c r="F2135" s="80">
        <v>261.1803084</v>
      </c>
      <c r="G2135" s="142">
        <v>4.266612752</v>
      </c>
      <c r="H2135" s="143"/>
      <c r="I2135" s="143"/>
      <c r="J2135" s="143"/>
      <c r="K2135" s="143"/>
      <c r="L2135" s="143"/>
      <c r="M2135" s="143"/>
      <c r="N2135" s="80" t="s">
        <v>4644</v>
      </c>
      <c r="O2135" s="80" t="s">
        <v>4645</v>
      </c>
      <c r="P2135" s="80" t="s">
        <v>4646</v>
      </c>
      <c r="Y2135" s="2" t="s">
        <v>23</v>
      </c>
    </row>
    <row r="2136" ht="15.75" customHeight="1">
      <c r="B2136" s="48">
        <v>3.582977E7</v>
      </c>
      <c r="C2136" s="80" t="s">
        <v>4177</v>
      </c>
      <c r="D2136" s="140" t="s">
        <v>636</v>
      </c>
      <c r="E2136" s="80" t="s">
        <v>4575</v>
      </c>
      <c r="F2136" s="80">
        <v>142.0861757</v>
      </c>
      <c r="G2136" s="142">
        <v>2.784445953</v>
      </c>
      <c r="H2136" s="143"/>
      <c r="I2136" s="143"/>
      <c r="J2136" s="143"/>
      <c r="K2136" s="143"/>
      <c r="L2136" s="143"/>
      <c r="M2136" s="143"/>
      <c r="N2136" s="80" t="s">
        <v>4576</v>
      </c>
      <c r="O2136" s="80" t="s">
        <v>4577</v>
      </c>
      <c r="P2136" s="80" t="s">
        <v>4578</v>
      </c>
      <c r="Y2136" s="2" t="s">
        <v>23</v>
      </c>
    </row>
    <row r="2137" ht="15.75" customHeight="1">
      <c r="B2137" s="48">
        <v>3.582977E7</v>
      </c>
      <c r="C2137" s="80" t="s">
        <v>4177</v>
      </c>
      <c r="D2137" s="140" t="s">
        <v>636</v>
      </c>
      <c r="E2137" s="80" t="s">
        <v>4647</v>
      </c>
      <c r="F2137" s="80">
        <v>131.1065363</v>
      </c>
      <c r="G2137" s="142">
        <v>1.635548147</v>
      </c>
      <c r="H2137" s="143"/>
      <c r="I2137" s="143"/>
      <c r="J2137" s="143"/>
      <c r="K2137" s="143"/>
      <c r="L2137" s="143"/>
      <c r="M2137" s="143"/>
      <c r="N2137" s="80" t="s">
        <v>4648</v>
      </c>
      <c r="O2137" s="80" t="s">
        <v>4649</v>
      </c>
      <c r="P2137" s="80" t="s">
        <v>4650</v>
      </c>
      <c r="Y2137" s="2" t="s">
        <v>23</v>
      </c>
    </row>
    <row r="2138" ht="15.75" customHeight="1">
      <c r="B2138" s="48">
        <v>3.582977E7</v>
      </c>
      <c r="C2138" s="80" t="s">
        <v>4177</v>
      </c>
      <c r="D2138" s="140" t="s">
        <v>636</v>
      </c>
      <c r="E2138" s="80" t="s">
        <v>4583</v>
      </c>
      <c r="F2138" s="80">
        <v>282.1597715</v>
      </c>
      <c r="G2138" s="142">
        <v>1.615546036</v>
      </c>
      <c r="H2138" s="143"/>
      <c r="I2138" s="143"/>
      <c r="J2138" s="143"/>
      <c r="K2138" s="143"/>
      <c r="L2138" s="143"/>
      <c r="M2138" s="143"/>
      <c r="N2138" s="80" t="s">
        <v>4584</v>
      </c>
      <c r="O2138" s="80" t="s">
        <v>4585</v>
      </c>
      <c r="P2138" s="80" t="s">
        <v>4586</v>
      </c>
      <c r="Y2138" s="2" t="s">
        <v>23</v>
      </c>
    </row>
    <row r="2139" ht="15.75" customHeight="1">
      <c r="B2139" s="48">
        <v>3.582977E7</v>
      </c>
      <c r="C2139" s="80" t="s">
        <v>4177</v>
      </c>
      <c r="D2139" s="140" t="s">
        <v>636</v>
      </c>
      <c r="E2139" s="80" t="s">
        <v>4139</v>
      </c>
      <c r="F2139" s="80">
        <v>152.14319</v>
      </c>
      <c r="G2139" s="142">
        <v>7.086471049</v>
      </c>
      <c r="H2139" s="143"/>
      <c r="I2139" s="143"/>
      <c r="J2139" s="143"/>
      <c r="K2139" s="143"/>
      <c r="L2139" s="143"/>
      <c r="M2139" s="143"/>
      <c r="N2139" s="80" t="s">
        <v>4140</v>
      </c>
      <c r="O2139" s="80" t="s">
        <v>4337</v>
      </c>
      <c r="P2139" s="80" t="s">
        <v>4142</v>
      </c>
      <c r="Y2139" s="2" t="s">
        <v>23</v>
      </c>
    </row>
    <row r="2140" ht="15.75" customHeight="1">
      <c r="B2140" s="48">
        <v>3.582977E7</v>
      </c>
      <c r="C2140" s="80" t="s">
        <v>4177</v>
      </c>
      <c r="D2140" s="140" t="s">
        <v>636</v>
      </c>
      <c r="E2140" s="80" t="s">
        <v>4651</v>
      </c>
      <c r="F2140" s="80">
        <v>73.06474917</v>
      </c>
      <c r="G2140" s="142">
        <v>1.645496114</v>
      </c>
      <c r="H2140" s="143"/>
      <c r="I2140" s="143"/>
      <c r="J2140" s="143"/>
      <c r="K2140" s="143"/>
      <c r="L2140" s="143"/>
      <c r="M2140" s="143"/>
      <c r="N2140" s="80" t="s">
        <v>4652</v>
      </c>
      <c r="O2140" s="80" t="s">
        <v>4653</v>
      </c>
      <c r="P2140" s="80" t="s">
        <v>4654</v>
      </c>
      <c r="Y2140" s="2" t="s">
        <v>23</v>
      </c>
    </row>
    <row r="2141" ht="15.75" customHeight="1">
      <c r="B2141" s="48">
        <v>3.582977E7</v>
      </c>
      <c r="C2141" s="80" t="s">
        <v>4177</v>
      </c>
      <c r="D2141" s="140" t="s">
        <v>636</v>
      </c>
      <c r="E2141" s="80" t="s">
        <v>4327</v>
      </c>
      <c r="F2141" s="80">
        <v>137.0456614</v>
      </c>
      <c r="G2141" s="142">
        <v>4.11541392</v>
      </c>
      <c r="H2141" s="143"/>
      <c r="I2141" s="143"/>
      <c r="J2141" s="143"/>
      <c r="K2141" s="143"/>
      <c r="L2141" s="143"/>
      <c r="M2141" s="143"/>
      <c r="N2141" s="80" t="s">
        <v>2220</v>
      </c>
      <c r="O2141" s="80" t="s">
        <v>4328</v>
      </c>
      <c r="P2141" s="80" t="s">
        <v>4329</v>
      </c>
      <c r="Y2141" s="2" t="s">
        <v>23</v>
      </c>
    </row>
    <row r="2142" ht="15.75" customHeight="1">
      <c r="B2142" s="48">
        <v>3.582977E7</v>
      </c>
      <c r="C2142" s="80" t="s">
        <v>4177</v>
      </c>
      <c r="D2142" s="140" t="s">
        <v>636</v>
      </c>
      <c r="E2142" s="80" t="s">
        <v>3999</v>
      </c>
      <c r="F2142" s="80">
        <v>130.1085959</v>
      </c>
      <c r="G2142" s="142">
        <v>7.290446472</v>
      </c>
      <c r="H2142" s="143"/>
      <c r="I2142" s="143"/>
      <c r="J2142" s="143"/>
      <c r="K2142" s="143"/>
      <c r="L2142" s="143"/>
      <c r="M2142" s="143"/>
      <c r="N2142" s="80" t="s">
        <v>4000</v>
      </c>
      <c r="O2142" s="80" t="s">
        <v>4582</v>
      </c>
      <c r="P2142" s="80" t="s">
        <v>4002</v>
      </c>
      <c r="Y2142" s="2" t="s">
        <v>23</v>
      </c>
    </row>
    <row r="2143" ht="15.75" customHeight="1">
      <c r="B2143" s="48">
        <v>3.582977E7</v>
      </c>
      <c r="C2143" s="80" t="s">
        <v>4177</v>
      </c>
      <c r="D2143" s="140" t="s">
        <v>636</v>
      </c>
      <c r="E2143" s="80" t="s">
        <v>4560</v>
      </c>
      <c r="F2143" s="80">
        <v>310.2157661</v>
      </c>
      <c r="G2143" s="142">
        <v>2.127021154</v>
      </c>
      <c r="H2143" s="143"/>
      <c r="I2143" s="143"/>
      <c r="J2143" s="143"/>
      <c r="K2143" s="143"/>
      <c r="L2143" s="143"/>
      <c r="M2143" s="143"/>
      <c r="N2143" s="80" t="s">
        <v>4561</v>
      </c>
      <c r="O2143" s="80" t="s">
        <v>4562</v>
      </c>
      <c r="P2143" s="80" t="s">
        <v>4563</v>
      </c>
      <c r="Y2143" s="2" t="s">
        <v>23</v>
      </c>
    </row>
    <row r="2144" ht="15.75" customHeight="1">
      <c r="B2144" s="48">
        <v>3.582977E7</v>
      </c>
      <c r="C2144" s="80" t="s">
        <v>4177</v>
      </c>
      <c r="D2144" s="140" t="s">
        <v>636</v>
      </c>
      <c r="E2144" s="80" t="s">
        <v>4591</v>
      </c>
      <c r="F2144" s="80">
        <v>146.092258</v>
      </c>
      <c r="G2144" s="142">
        <v>9.551999919</v>
      </c>
      <c r="H2144" s="143"/>
      <c r="I2144" s="143"/>
      <c r="J2144" s="143"/>
      <c r="K2144" s="143"/>
      <c r="L2144" s="143"/>
      <c r="M2144" s="143"/>
      <c r="N2144" s="80" t="s">
        <v>1235</v>
      </c>
      <c r="O2144" s="80" t="s">
        <v>4592</v>
      </c>
      <c r="P2144" s="80" t="s">
        <v>4593</v>
      </c>
      <c r="Y2144" s="2" t="s">
        <v>23</v>
      </c>
    </row>
    <row r="2145" ht="15.75" customHeight="1">
      <c r="B2145" s="48">
        <v>3.582977E7</v>
      </c>
      <c r="C2145" s="80" t="s">
        <v>4177</v>
      </c>
      <c r="D2145" s="140" t="s">
        <v>636</v>
      </c>
      <c r="E2145" s="80" t="s">
        <v>380</v>
      </c>
      <c r="F2145" s="80">
        <v>126.0218329</v>
      </c>
      <c r="G2145" s="142">
        <v>10.09067485</v>
      </c>
      <c r="H2145" s="143"/>
      <c r="I2145" s="143"/>
      <c r="J2145" s="143"/>
      <c r="K2145" s="143"/>
      <c r="L2145" s="143"/>
      <c r="M2145" s="143"/>
      <c r="N2145" s="80" t="s">
        <v>3300</v>
      </c>
      <c r="O2145" s="80" t="s">
        <v>4315</v>
      </c>
      <c r="P2145" s="80" t="s">
        <v>4199</v>
      </c>
      <c r="Y2145" s="2" t="s">
        <v>23</v>
      </c>
    </row>
    <row r="2146" ht="15.75" customHeight="1">
      <c r="B2146" s="48">
        <v>3.582977E7</v>
      </c>
      <c r="C2146" s="80" t="s">
        <v>4177</v>
      </c>
      <c r="D2146" s="140" t="s">
        <v>636</v>
      </c>
      <c r="E2146" s="80" t="s">
        <v>4655</v>
      </c>
      <c r="F2146" s="80">
        <v>462.2357045</v>
      </c>
      <c r="G2146" s="142">
        <v>1.959237671</v>
      </c>
      <c r="H2146" s="143"/>
      <c r="I2146" s="143"/>
      <c r="J2146" s="143"/>
      <c r="K2146" s="143"/>
      <c r="L2146" s="143"/>
      <c r="M2146" s="143"/>
      <c r="N2146" s="80" t="s">
        <v>4656</v>
      </c>
      <c r="O2146" s="80" t="s">
        <v>4657</v>
      </c>
      <c r="P2146" s="80" t="s">
        <v>4658</v>
      </c>
      <c r="Y2146" s="2" t="s">
        <v>23</v>
      </c>
    </row>
    <row r="2147" ht="15.75" customHeight="1">
      <c r="B2147" s="48">
        <v>3.582977E7</v>
      </c>
      <c r="C2147" s="80" t="s">
        <v>4177</v>
      </c>
      <c r="D2147" s="140" t="s">
        <v>636</v>
      </c>
      <c r="E2147" s="80" t="s">
        <v>4195</v>
      </c>
      <c r="F2147" s="80">
        <v>123.055135</v>
      </c>
      <c r="G2147" s="142">
        <v>2.469731649</v>
      </c>
      <c r="H2147" s="143"/>
      <c r="I2147" s="143"/>
      <c r="J2147" s="143"/>
      <c r="K2147" s="143"/>
      <c r="L2147" s="143"/>
      <c r="M2147" s="143"/>
      <c r="N2147" s="80" t="s">
        <v>2732</v>
      </c>
      <c r="O2147" s="80" t="s">
        <v>4442</v>
      </c>
      <c r="P2147" s="80" t="s">
        <v>4197</v>
      </c>
      <c r="Y2147" s="2" t="s">
        <v>23</v>
      </c>
    </row>
    <row r="2148" ht="15.75" customHeight="1">
      <c r="B2148" s="48">
        <v>3.582977E7</v>
      </c>
      <c r="C2148" s="80" t="s">
        <v>4177</v>
      </c>
      <c r="D2148" s="140" t="s">
        <v>636</v>
      </c>
      <c r="E2148" s="80" t="s">
        <v>4659</v>
      </c>
      <c r="F2148" s="80">
        <v>133.0606413</v>
      </c>
      <c r="G2148" s="142">
        <v>10.61937866</v>
      </c>
      <c r="H2148" s="143"/>
      <c r="I2148" s="143"/>
      <c r="J2148" s="143"/>
      <c r="K2148" s="143"/>
      <c r="L2148" s="143"/>
      <c r="M2148" s="143"/>
      <c r="N2148" s="80" t="s">
        <v>1216</v>
      </c>
      <c r="O2148" s="80" t="s">
        <v>4660</v>
      </c>
      <c r="P2148" s="80" t="s">
        <v>4661</v>
      </c>
      <c r="Y2148" s="2" t="s">
        <v>23</v>
      </c>
    </row>
    <row r="2149" ht="15.75" customHeight="1">
      <c r="B2149" s="48">
        <v>3.582977E7</v>
      </c>
      <c r="C2149" s="80" t="s">
        <v>4177</v>
      </c>
      <c r="D2149" s="140" t="s">
        <v>636</v>
      </c>
      <c r="E2149" s="80" t="s">
        <v>475</v>
      </c>
      <c r="F2149" s="80">
        <v>95.0491327</v>
      </c>
      <c r="G2149" s="142">
        <v>8.456593831</v>
      </c>
      <c r="H2149" s="143"/>
      <c r="I2149" s="143"/>
      <c r="J2149" s="143"/>
      <c r="K2149" s="143"/>
      <c r="L2149" s="143"/>
      <c r="M2149" s="143"/>
      <c r="N2149" s="80" t="s">
        <v>4606</v>
      </c>
      <c r="O2149" s="80" t="s">
        <v>4607</v>
      </c>
      <c r="P2149" s="80" t="s">
        <v>4608</v>
      </c>
      <c r="Y2149" s="2" t="s">
        <v>23</v>
      </c>
    </row>
    <row r="2150" ht="15.75" customHeight="1">
      <c r="B2150" s="48">
        <v>3.582977E7</v>
      </c>
      <c r="C2150" s="80" t="s">
        <v>4177</v>
      </c>
      <c r="D2150" s="140" t="s">
        <v>636</v>
      </c>
      <c r="E2150" s="80" t="s">
        <v>3559</v>
      </c>
      <c r="F2150" s="80">
        <v>61.03972995</v>
      </c>
      <c r="G2150" s="142">
        <v>4.301200277</v>
      </c>
      <c r="H2150" s="143"/>
      <c r="I2150" s="143"/>
      <c r="J2150" s="143"/>
      <c r="K2150" s="143"/>
      <c r="L2150" s="143"/>
      <c r="M2150" s="143"/>
      <c r="N2150" s="80" t="s">
        <v>3936</v>
      </c>
      <c r="O2150" s="80" t="s">
        <v>4635</v>
      </c>
      <c r="P2150" s="80" t="s">
        <v>3938</v>
      </c>
      <c r="Y2150" s="2" t="s">
        <v>23</v>
      </c>
    </row>
    <row r="2151" ht="15.75" customHeight="1">
      <c r="B2151" s="48">
        <v>3.582977E7</v>
      </c>
      <c r="C2151" s="80" t="s">
        <v>4177</v>
      </c>
      <c r="D2151" s="140" t="s">
        <v>636</v>
      </c>
      <c r="E2151" s="80" t="s">
        <v>4662</v>
      </c>
      <c r="F2151" s="80">
        <v>102.0548685</v>
      </c>
      <c r="G2151" s="142">
        <v>9.590733846</v>
      </c>
      <c r="H2151" s="143"/>
      <c r="I2151" s="143"/>
      <c r="J2151" s="143"/>
      <c r="K2151" s="143"/>
      <c r="L2151" s="143"/>
      <c r="M2151" s="143"/>
      <c r="N2151" s="80" t="s">
        <v>4444</v>
      </c>
      <c r="O2151" s="80" t="s">
        <v>4663</v>
      </c>
      <c r="P2151" s="80" t="s">
        <v>4664</v>
      </c>
      <c r="Y2151" s="2" t="s">
        <v>23</v>
      </c>
    </row>
    <row r="2152" ht="15.75" customHeight="1">
      <c r="B2152" s="48">
        <v>3.582977E7</v>
      </c>
      <c r="C2152" s="80" t="s">
        <v>4177</v>
      </c>
      <c r="D2152" s="140" t="s">
        <v>636</v>
      </c>
      <c r="E2152" s="80" t="s">
        <v>4533</v>
      </c>
      <c r="F2152" s="80">
        <v>299.1490622</v>
      </c>
      <c r="G2152" s="142">
        <v>1.726914851</v>
      </c>
      <c r="H2152" s="143"/>
      <c r="I2152" s="143"/>
      <c r="J2152" s="143"/>
      <c r="K2152" s="143"/>
      <c r="L2152" s="143"/>
      <c r="M2152" s="143"/>
      <c r="N2152" s="80" t="s">
        <v>4534</v>
      </c>
      <c r="O2152" s="80" t="s">
        <v>4535</v>
      </c>
      <c r="P2152" s="80" t="s">
        <v>4536</v>
      </c>
      <c r="Y2152" s="2" t="s">
        <v>23</v>
      </c>
    </row>
    <row r="2153" ht="15.75" customHeight="1">
      <c r="B2153" s="48">
        <v>3.582977E7</v>
      </c>
      <c r="C2153" s="80" t="s">
        <v>4177</v>
      </c>
      <c r="D2153" s="140" t="s">
        <v>636</v>
      </c>
      <c r="E2153" s="80" t="s">
        <v>4665</v>
      </c>
      <c r="F2153" s="80">
        <v>176.066503</v>
      </c>
      <c r="G2153" s="142">
        <v>12.04816895</v>
      </c>
      <c r="H2153" s="143"/>
      <c r="I2153" s="143"/>
      <c r="J2153" s="143"/>
      <c r="K2153" s="143"/>
      <c r="L2153" s="143"/>
      <c r="M2153" s="143"/>
      <c r="N2153" s="80" t="s">
        <v>2129</v>
      </c>
      <c r="O2153" s="80" t="s">
        <v>4666</v>
      </c>
      <c r="P2153" s="80" t="s">
        <v>4667</v>
      </c>
      <c r="Y2153" s="2" t="s">
        <v>23</v>
      </c>
    </row>
    <row r="2154" ht="15.75" customHeight="1">
      <c r="B2154" s="48">
        <v>3.582977E7</v>
      </c>
      <c r="C2154" s="80" t="s">
        <v>4177</v>
      </c>
      <c r="D2154" s="140" t="s">
        <v>636</v>
      </c>
      <c r="E2154" s="80" t="s">
        <v>4668</v>
      </c>
      <c r="F2154" s="80">
        <v>293.0973884</v>
      </c>
      <c r="G2154" s="142">
        <v>11.82879639</v>
      </c>
      <c r="H2154" s="143"/>
      <c r="I2154" s="143"/>
      <c r="J2154" s="143"/>
      <c r="K2154" s="143"/>
      <c r="L2154" s="143"/>
      <c r="M2154" s="143"/>
      <c r="N2154" s="80" t="s">
        <v>4669</v>
      </c>
      <c r="O2154" s="80" t="s">
        <v>4670</v>
      </c>
      <c r="P2154" s="80" t="s">
        <v>4671</v>
      </c>
      <c r="Y2154" s="2" t="s">
        <v>23</v>
      </c>
    </row>
    <row r="2155" ht="15.75" customHeight="1">
      <c r="B2155" s="48">
        <v>3.582977E7</v>
      </c>
      <c r="C2155" s="80" t="s">
        <v>4177</v>
      </c>
      <c r="D2155" s="140" t="s">
        <v>636</v>
      </c>
      <c r="E2155" s="80" t="s">
        <v>4672</v>
      </c>
      <c r="F2155" s="80">
        <v>118.0609509</v>
      </c>
      <c r="G2155" s="142">
        <v>10.09067485</v>
      </c>
      <c r="H2155" s="143"/>
      <c r="I2155" s="143"/>
      <c r="J2155" s="143"/>
      <c r="K2155" s="143"/>
      <c r="L2155" s="143"/>
      <c r="M2155" s="143"/>
      <c r="N2155" s="80" t="s">
        <v>2124</v>
      </c>
      <c r="O2155" s="80" t="s">
        <v>4673</v>
      </c>
      <c r="P2155" s="80" t="s">
        <v>4674</v>
      </c>
      <c r="Y2155" s="2" t="s">
        <v>23</v>
      </c>
    </row>
    <row r="2156" ht="15.75" customHeight="1">
      <c r="B2156" s="48">
        <v>3.582977E7</v>
      </c>
      <c r="C2156" s="80" t="s">
        <v>4177</v>
      </c>
      <c r="D2156" s="140" t="s">
        <v>636</v>
      </c>
      <c r="E2156" s="80" t="s">
        <v>4662</v>
      </c>
      <c r="F2156" s="80">
        <v>102.0547173</v>
      </c>
      <c r="G2156" s="142">
        <v>11.76657104</v>
      </c>
      <c r="H2156" s="143"/>
      <c r="I2156" s="143"/>
      <c r="J2156" s="143"/>
      <c r="K2156" s="143"/>
      <c r="L2156" s="143"/>
      <c r="M2156" s="143"/>
      <c r="N2156" s="80" t="s">
        <v>4444</v>
      </c>
      <c r="O2156" s="80" t="s">
        <v>4663</v>
      </c>
      <c r="P2156" s="80" t="s">
        <v>4664</v>
      </c>
      <c r="Y2156" s="2" t="s">
        <v>23</v>
      </c>
    </row>
    <row r="2157" ht="15.75" customHeight="1">
      <c r="B2157" s="48">
        <v>3.582977E7</v>
      </c>
      <c r="C2157" s="80" t="s">
        <v>4177</v>
      </c>
      <c r="D2157" s="140" t="s">
        <v>636</v>
      </c>
      <c r="E2157" s="80" t="s">
        <v>4114</v>
      </c>
      <c r="F2157" s="80">
        <v>307.1107179</v>
      </c>
      <c r="G2157" s="142">
        <v>1.75675443</v>
      </c>
      <c r="H2157" s="143"/>
      <c r="I2157" s="143"/>
      <c r="J2157" s="143"/>
      <c r="K2157" s="143"/>
      <c r="L2157" s="143"/>
      <c r="M2157" s="143"/>
      <c r="N2157" s="80" t="s">
        <v>4115</v>
      </c>
      <c r="O2157" s="80" t="s">
        <v>4363</v>
      </c>
      <c r="P2157" s="80" t="s">
        <v>4117</v>
      </c>
      <c r="Y2157" s="2" t="s">
        <v>23</v>
      </c>
    </row>
    <row r="2158" ht="15.75" customHeight="1">
      <c r="B2158" s="48">
        <v>3.582977E7</v>
      </c>
      <c r="C2158" s="80" t="s">
        <v>4177</v>
      </c>
      <c r="D2158" s="140" t="s">
        <v>636</v>
      </c>
      <c r="E2158" s="80" t="s">
        <v>4675</v>
      </c>
      <c r="F2158" s="80">
        <v>124.0868354</v>
      </c>
      <c r="G2158" s="142">
        <v>9.173942057</v>
      </c>
      <c r="H2158" s="143"/>
      <c r="I2158" s="143"/>
      <c r="J2158" s="143"/>
      <c r="K2158" s="143"/>
      <c r="L2158" s="143"/>
      <c r="M2158" s="143"/>
      <c r="N2158" s="80" t="s">
        <v>4676</v>
      </c>
      <c r="O2158" s="80" t="s">
        <v>4677</v>
      </c>
      <c r="P2158" s="80" t="s">
        <v>4678</v>
      </c>
      <c r="Y2158" s="2" t="s">
        <v>23</v>
      </c>
    </row>
    <row r="2159" ht="15.75" customHeight="1">
      <c r="B2159" s="48">
        <v>3.582977E7</v>
      </c>
      <c r="C2159" s="80" t="s">
        <v>4177</v>
      </c>
      <c r="D2159" s="140" t="s">
        <v>636</v>
      </c>
      <c r="E2159" s="80" t="s">
        <v>4679</v>
      </c>
      <c r="F2159" s="80">
        <v>146.0599136</v>
      </c>
      <c r="G2159" s="142">
        <v>6.204920959</v>
      </c>
      <c r="H2159" s="143"/>
      <c r="I2159" s="143"/>
      <c r="J2159" s="143"/>
      <c r="K2159" s="143"/>
      <c r="L2159" s="143"/>
      <c r="M2159" s="143"/>
      <c r="N2159" s="80" t="s">
        <v>716</v>
      </c>
      <c r="O2159" s="80" t="s">
        <v>4680</v>
      </c>
      <c r="P2159" s="80" t="s">
        <v>4681</v>
      </c>
      <c r="Y2159" s="2" t="s">
        <v>23</v>
      </c>
    </row>
    <row r="2160" ht="15.75" customHeight="1">
      <c r="B2160" s="48">
        <v>3.582977E7</v>
      </c>
      <c r="C2160" s="80" t="s">
        <v>4177</v>
      </c>
      <c r="D2160" s="140" t="s">
        <v>636</v>
      </c>
      <c r="E2160" s="80" t="s">
        <v>4682</v>
      </c>
      <c r="F2160" s="80">
        <v>180.0864551</v>
      </c>
      <c r="G2160" s="142">
        <v>9.188925171</v>
      </c>
      <c r="H2160" s="143"/>
      <c r="I2160" s="143"/>
      <c r="J2160" s="143"/>
      <c r="K2160" s="143"/>
      <c r="L2160" s="143"/>
      <c r="M2160" s="143"/>
      <c r="N2160" s="80" t="s">
        <v>4471</v>
      </c>
      <c r="O2160" s="80" t="s">
        <v>4683</v>
      </c>
      <c r="P2160" s="80" t="s">
        <v>4684</v>
      </c>
      <c r="Y2160" s="2" t="s">
        <v>23</v>
      </c>
    </row>
    <row r="2161" ht="15.75" customHeight="1">
      <c r="B2161" s="48">
        <v>3.582977E7</v>
      </c>
      <c r="C2161" s="80" t="s">
        <v>4177</v>
      </c>
      <c r="D2161" s="140" t="s">
        <v>636</v>
      </c>
      <c r="E2161" s="146"/>
      <c r="F2161" s="80">
        <v>107.0530975</v>
      </c>
      <c r="G2161" s="142">
        <v>10.65909831</v>
      </c>
      <c r="H2161" s="143"/>
      <c r="I2161" s="143"/>
      <c r="J2161" s="143"/>
      <c r="K2161" s="143"/>
      <c r="L2161" s="143"/>
      <c r="M2161" s="143"/>
      <c r="N2161" s="144"/>
      <c r="O2161" s="144"/>
      <c r="P2161" s="144"/>
      <c r="Q2161" s="143"/>
      <c r="R2161" s="143"/>
      <c r="Y2161" s="2" t="s">
        <v>23</v>
      </c>
    </row>
    <row r="2162" ht="15.75" customHeight="1">
      <c r="B2162" s="48">
        <v>3.582977E7</v>
      </c>
      <c r="C2162" s="80" t="s">
        <v>4177</v>
      </c>
      <c r="D2162" s="140" t="s">
        <v>636</v>
      </c>
      <c r="E2162" s="146"/>
      <c r="F2162" s="80">
        <v>107.0490059</v>
      </c>
      <c r="G2162" s="142">
        <v>8.461935425</v>
      </c>
      <c r="H2162" s="143"/>
      <c r="I2162" s="143"/>
      <c r="J2162" s="143"/>
      <c r="K2162" s="143"/>
      <c r="L2162" s="143"/>
      <c r="M2162" s="143"/>
      <c r="N2162" s="144"/>
      <c r="O2162" s="144"/>
      <c r="P2162" s="144"/>
      <c r="Q2162" s="143"/>
      <c r="R2162" s="143"/>
      <c r="Y2162" s="2" t="s">
        <v>23</v>
      </c>
    </row>
    <row r="2163" ht="15.75" customHeight="1">
      <c r="B2163" s="48">
        <v>3.582977E7</v>
      </c>
      <c r="C2163" s="80" t="s">
        <v>4177</v>
      </c>
      <c r="D2163" s="140" t="s">
        <v>636</v>
      </c>
      <c r="E2163" s="146"/>
      <c r="F2163" s="80">
        <v>185.1283478</v>
      </c>
      <c r="G2163" s="142">
        <v>1.867958577</v>
      </c>
      <c r="H2163" s="143"/>
      <c r="I2163" s="143"/>
      <c r="J2163" s="143"/>
      <c r="K2163" s="143"/>
      <c r="L2163" s="143"/>
      <c r="M2163" s="143"/>
      <c r="N2163" s="144"/>
      <c r="O2163" s="144"/>
      <c r="P2163" s="144"/>
      <c r="Q2163" s="143"/>
      <c r="R2163" s="143"/>
      <c r="Y2163" s="2" t="s">
        <v>23</v>
      </c>
    </row>
    <row r="2164" ht="15.75" customHeight="1">
      <c r="B2164" s="48">
        <v>3.582977E7</v>
      </c>
      <c r="C2164" s="80" t="s">
        <v>4177</v>
      </c>
      <c r="D2164" s="140" t="s">
        <v>636</v>
      </c>
      <c r="E2164" s="146"/>
      <c r="F2164" s="80">
        <v>202.086091</v>
      </c>
      <c r="G2164" s="142">
        <v>2.162424215</v>
      </c>
      <c r="H2164" s="143"/>
      <c r="I2164" s="143"/>
      <c r="J2164" s="143"/>
      <c r="K2164" s="143"/>
      <c r="L2164" s="143"/>
      <c r="M2164" s="143"/>
      <c r="N2164" s="144"/>
      <c r="O2164" s="144"/>
      <c r="P2164" s="144"/>
      <c r="Q2164" s="143"/>
      <c r="R2164" s="143"/>
      <c r="Y2164" s="2" t="s">
        <v>23</v>
      </c>
    </row>
    <row r="2165" ht="15.75" customHeight="1">
      <c r="B2165" s="48">
        <v>3.582977E7</v>
      </c>
      <c r="C2165" s="80" t="s">
        <v>4177</v>
      </c>
      <c r="D2165" s="140" t="s">
        <v>636</v>
      </c>
      <c r="E2165" s="146"/>
      <c r="F2165" s="80">
        <v>188.9992163</v>
      </c>
      <c r="G2165" s="142">
        <v>10.28910217</v>
      </c>
      <c r="H2165" s="143"/>
      <c r="I2165" s="143"/>
      <c r="J2165" s="143"/>
      <c r="K2165" s="143"/>
      <c r="L2165" s="143"/>
      <c r="M2165" s="143"/>
      <c r="N2165" s="144"/>
      <c r="O2165" s="144"/>
      <c r="P2165" s="144"/>
      <c r="Q2165" s="143"/>
      <c r="R2165" s="143"/>
      <c r="Y2165" s="2" t="s">
        <v>23</v>
      </c>
    </row>
    <row r="2166" ht="15.75" customHeight="1">
      <c r="B2166" s="48">
        <v>3.582977E7</v>
      </c>
      <c r="C2166" s="80" t="s">
        <v>4177</v>
      </c>
      <c r="D2166" s="140" t="s">
        <v>636</v>
      </c>
      <c r="E2166" s="146"/>
      <c r="F2166" s="80">
        <v>195.0877239</v>
      </c>
      <c r="G2166" s="142">
        <v>1.848021062</v>
      </c>
      <c r="H2166" s="143"/>
      <c r="I2166" s="143"/>
      <c r="J2166" s="143"/>
      <c r="K2166" s="143"/>
      <c r="L2166" s="143"/>
      <c r="M2166" s="143"/>
      <c r="N2166" s="144"/>
      <c r="O2166" s="144"/>
      <c r="P2166" s="144"/>
      <c r="Q2166" s="143"/>
      <c r="R2166" s="143"/>
      <c r="Y2166" s="2" t="s">
        <v>23</v>
      </c>
    </row>
    <row r="2167" ht="15.75" customHeight="1">
      <c r="B2167" s="48">
        <v>3.582977E7</v>
      </c>
      <c r="C2167" s="80" t="s">
        <v>4177</v>
      </c>
      <c r="D2167" s="140" t="s">
        <v>636</v>
      </c>
      <c r="E2167" s="146"/>
      <c r="F2167" s="80">
        <v>144.0806005</v>
      </c>
      <c r="G2167" s="142">
        <v>4.819642131</v>
      </c>
      <c r="H2167" s="143"/>
      <c r="I2167" s="143"/>
      <c r="J2167" s="143"/>
      <c r="K2167" s="143"/>
      <c r="L2167" s="143"/>
      <c r="M2167" s="143"/>
      <c r="N2167" s="144"/>
      <c r="O2167" s="144"/>
      <c r="P2167" s="144"/>
      <c r="Q2167" s="143"/>
      <c r="R2167" s="143"/>
      <c r="Y2167" s="2" t="s">
        <v>23</v>
      </c>
    </row>
    <row r="2168" ht="15.75" customHeight="1">
      <c r="B2168" s="48">
        <v>3.582977E7</v>
      </c>
      <c r="C2168" s="80" t="s">
        <v>4177</v>
      </c>
      <c r="D2168" s="140" t="s">
        <v>636</v>
      </c>
      <c r="E2168" s="146"/>
      <c r="F2168" s="80">
        <v>286.1432271</v>
      </c>
      <c r="G2168" s="142">
        <v>1.687112681</v>
      </c>
      <c r="H2168" s="143"/>
      <c r="I2168" s="143"/>
      <c r="J2168" s="143"/>
      <c r="K2168" s="143"/>
      <c r="L2168" s="143"/>
      <c r="M2168" s="143"/>
      <c r="N2168" s="144"/>
      <c r="O2168" s="144"/>
      <c r="P2168" s="144"/>
      <c r="Q2168" s="143"/>
      <c r="R2168" s="143"/>
      <c r="Y2168" s="2" t="s">
        <v>23</v>
      </c>
    </row>
    <row r="2169" ht="15.75" customHeight="1">
      <c r="B2169" s="48">
        <v>3.582977E7</v>
      </c>
      <c r="C2169" s="80" t="s">
        <v>4177</v>
      </c>
      <c r="D2169" s="140" t="s">
        <v>636</v>
      </c>
      <c r="E2169" s="146"/>
      <c r="F2169" s="80">
        <v>105.1102564</v>
      </c>
      <c r="G2169" s="142">
        <v>3.841439819</v>
      </c>
      <c r="H2169" s="143"/>
      <c r="I2169" s="143"/>
      <c r="J2169" s="143"/>
      <c r="K2169" s="143"/>
      <c r="L2169" s="143"/>
      <c r="M2169" s="143"/>
      <c r="N2169" s="144"/>
      <c r="O2169" s="144"/>
      <c r="P2169" s="144"/>
      <c r="Q2169" s="143"/>
      <c r="R2169" s="143"/>
      <c r="Y2169" s="2" t="s">
        <v>23</v>
      </c>
    </row>
    <row r="2170" ht="15.75" customHeight="1">
      <c r="B2170" s="48">
        <v>3.582977E7</v>
      </c>
      <c r="C2170" s="80" t="s">
        <v>4177</v>
      </c>
      <c r="D2170" s="140" t="s">
        <v>636</v>
      </c>
      <c r="E2170" s="146"/>
      <c r="F2170" s="80">
        <v>155.042584</v>
      </c>
      <c r="G2170" s="142">
        <v>10.61937866</v>
      </c>
      <c r="H2170" s="143"/>
      <c r="I2170" s="143"/>
      <c r="J2170" s="143"/>
      <c r="K2170" s="143"/>
      <c r="L2170" s="143"/>
      <c r="M2170" s="143"/>
      <c r="N2170" s="144"/>
      <c r="O2170" s="144"/>
      <c r="P2170" s="144"/>
      <c r="Q2170" s="143"/>
      <c r="R2170" s="143"/>
      <c r="Y2170" s="2" t="s">
        <v>23</v>
      </c>
    </row>
    <row r="2171" ht="15.75" customHeight="1">
      <c r="B2171" s="48">
        <v>3.582977E7</v>
      </c>
      <c r="C2171" s="80" t="s">
        <v>4177</v>
      </c>
      <c r="D2171" s="140" t="s">
        <v>636</v>
      </c>
      <c r="E2171" s="146"/>
      <c r="F2171" s="80">
        <v>211.1227694</v>
      </c>
      <c r="G2171" s="142">
        <v>6.576112366</v>
      </c>
      <c r="H2171" s="143"/>
      <c r="I2171" s="143"/>
      <c r="J2171" s="143"/>
      <c r="K2171" s="143"/>
      <c r="L2171" s="143"/>
      <c r="M2171" s="143"/>
      <c r="N2171" s="144"/>
      <c r="O2171" s="144"/>
      <c r="P2171" s="144"/>
      <c r="Q2171" s="143"/>
      <c r="R2171" s="143"/>
      <c r="Y2171" s="2" t="s">
        <v>23</v>
      </c>
    </row>
    <row r="2172" ht="15.75" customHeight="1">
      <c r="B2172" s="48">
        <v>3.582977E7</v>
      </c>
      <c r="C2172" s="80" t="s">
        <v>4177</v>
      </c>
      <c r="D2172" s="140" t="s">
        <v>636</v>
      </c>
      <c r="E2172" s="146"/>
      <c r="F2172" s="80">
        <v>148.1159278</v>
      </c>
      <c r="G2172" s="142">
        <v>12.93899638</v>
      </c>
      <c r="H2172" s="143"/>
      <c r="I2172" s="143"/>
      <c r="J2172" s="143"/>
      <c r="K2172" s="143"/>
      <c r="L2172" s="143"/>
      <c r="M2172" s="143"/>
      <c r="N2172" s="144"/>
      <c r="O2172" s="144"/>
      <c r="P2172" s="144"/>
      <c r="Q2172" s="143"/>
      <c r="R2172" s="143"/>
      <c r="Y2172" s="2" t="s">
        <v>23</v>
      </c>
    </row>
    <row r="2173" ht="15.75" customHeight="1">
      <c r="B2173" s="48">
        <v>3.582977E7</v>
      </c>
      <c r="C2173" s="80" t="s">
        <v>4177</v>
      </c>
      <c r="D2173" s="140" t="s">
        <v>636</v>
      </c>
      <c r="E2173" s="146"/>
      <c r="F2173" s="80">
        <v>276.1701064</v>
      </c>
      <c r="G2173" s="142">
        <v>1.746825155</v>
      </c>
      <c r="H2173" s="143"/>
      <c r="I2173" s="143"/>
      <c r="J2173" s="143"/>
      <c r="K2173" s="143"/>
      <c r="L2173" s="143"/>
      <c r="M2173" s="143"/>
      <c r="N2173" s="144"/>
      <c r="O2173" s="144"/>
      <c r="P2173" s="144"/>
      <c r="Q2173" s="143"/>
      <c r="R2173" s="143"/>
      <c r="Y2173" s="2" t="s">
        <v>23</v>
      </c>
    </row>
    <row r="2174" ht="15.75" customHeight="1">
      <c r="B2174" s="48">
        <v>3.582977E7</v>
      </c>
      <c r="C2174" s="80" t="s">
        <v>4177</v>
      </c>
      <c r="D2174" s="140" t="s">
        <v>636</v>
      </c>
      <c r="E2174" s="146"/>
      <c r="F2174" s="80">
        <v>134.0639758</v>
      </c>
      <c r="G2174" s="142">
        <v>10.61937866</v>
      </c>
      <c r="H2174" s="143"/>
      <c r="I2174" s="143"/>
      <c r="J2174" s="143"/>
      <c r="K2174" s="143"/>
      <c r="L2174" s="143"/>
      <c r="M2174" s="143"/>
      <c r="N2174" s="144"/>
      <c r="O2174" s="144"/>
      <c r="P2174" s="144"/>
      <c r="Q2174" s="143"/>
      <c r="R2174" s="143"/>
      <c r="Y2174" s="2" t="s">
        <v>23</v>
      </c>
    </row>
    <row r="2175" ht="15.75" customHeight="1">
      <c r="B2175" s="48">
        <v>3.582977E7</v>
      </c>
      <c r="C2175" s="80" t="s">
        <v>4177</v>
      </c>
      <c r="D2175" s="140" t="s">
        <v>636</v>
      </c>
      <c r="E2175" s="146"/>
      <c r="F2175" s="80">
        <v>202.0861068</v>
      </c>
      <c r="G2175" s="142">
        <v>2.751752218</v>
      </c>
      <c r="H2175" s="143"/>
      <c r="I2175" s="143"/>
      <c r="J2175" s="143"/>
      <c r="K2175" s="143"/>
      <c r="L2175" s="143"/>
      <c r="M2175" s="143"/>
      <c r="N2175" s="144"/>
      <c r="O2175" s="144"/>
      <c r="P2175" s="144"/>
      <c r="Q2175" s="143"/>
      <c r="R2175" s="143"/>
      <c r="Y2175" s="2" t="s">
        <v>23</v>
      </c>
    </row>
    <row r="2176" ht="15.75" customHeight="1">
      <c r="B2176" s="48">
        <v>3.582977E7</v>
      </c>
      <c r="C2176" s="80" t="s">
        <v>4177</v>
      </c>
      <c r="D2176" s="140" t="s">
        <v>636</v>
      </c>
      <c r="E2176" s="146"/>
      <c r="F2176" s="80">
        <v>129.065787</v>
      </c>
      <c r="G2176" s="142">
        <v>9.366867065</v>
      </c>
      <c r="H2176" s="143"/>
      <c r="I2176" s="143"/>
      <c r="J2176" s="143"/>
      <c r="K2176" s="143"/>
      <c r="L2176" s="143"/>
      <c r="M2176" s="143"/>
      <c r="N2176" s="144"/>
      <c r="O2176" s="144"/>
      <c r="P2176" s="144"/>
      <c r="Q2176" s="143"/>
      <c r="R2176" s="143"/>
      <c r="Y2176" s="2" t="s">
        <v>23</v>
      </c>
    </row>
    <row r="2177" ht="15.75" customHeight="1">
      <c r="B2177" s="48">
        <v>3.582977E7</v>
      </c>
      <c r="C2177" s="80" t="s">
        <v>4177</v>
      </c>
      <c r="D2177" s="140" t="s">
        <v>636</v>
      </c>
      <c r="E2177" s="146"/>
      <c r="F2177" s="80">
        <v>131.1177294</v>
      </c>
      <c r="G2177" s="142">
        <v>7.305440267</v>
      </c>
      <c r="H2177" s="143"/>
      <c r="I2177" s="143"/>
      <c r="J2177" s="143"/>
      <c r="K2177" s="143"/>
      <c r="L2177" s="143"/>
      <c r="M2177" s="143"/>
      <c r="N2177" s="144"/>
      <c r="O2177" s="144"/>
      <c r="P2177" s="144"/>
      <c r="Q2177" s="143"/>
      <c r="R2177" s="143"/>
      <c r="Y2177" s="2" t="s">
        <v>23</v>
      </c>
    </row>
    <row r="2178" ht="15.75" customHeight="1">
      <c r="B2178" s="48">
        <v>3.582977E7</v>
      </c>
      <c r="C2178" s="80" t="s">
        <v>4177</v>
      </c>
      <c r="D2178" s="140" t="s">
        <v>636</v>
      </c>
      <c r="E2178" s="146"/>
      <c r="F2178" s="80">
        <v>229.117945</v>
      </c>
      <c r="G2178" s="142">
        <v>9.178995884</v>
      </c>
      <c r="H2178" s="143"/>
      <c r="I2178" s="143"/>
      <c r="J2178" s="143"/>
      <c r="K2178" s="143"/>
      <c r="L2178" s="143"/>
      <c r="M2178" s="143"/>
      <c r="N2178" s="144"/>
      <c r="O2178" s="144"/>
      <c r="P2178" s="144"/>
      <c r="Q2178" s="143"/>
      <c r="R2178" s="143"/>
      <c r="Y2178" s="2" t="s">
        <v>23</v>
      </c>
    </row>
    <row r="2179" ht="15.75" customHeight="1">
      <c r="B2179" s="48">
        <v>3.582977E7</v>
      </c>
      <c r="C2179" s="80" t="s">
        <v>4177</v>
      </c>
      <c r="D2179" s="140" t="s">
        <v>636</v>
      </c>
      <c r="E2179" s="146"/>
      <c r="F2179" s="80">
        <v>183.0843904</v>
      </c>
      <c r="G2179" s="142">
        <v>8.456593831</v>
      </c>
      <c r="H2179" s="143"/>
      <c r="I2179" s="143"/>
      <c r="J2179" s="143"/>
      <c r="K2179" s="143"/>
      <c r="L2179" s="143"/>
      <c r="M2179" s="143"/>
      <c r="N2179" s="144"/>
      <c r="O2179" s="144"/>
      <c r="P2179" s="144"/>
      <c r="Q2179" s="143"/>
      <c r="R2179" s="143"/>
      <c r="Y2179" s="2" t="s">
        <v>23</v>
      </c>
    </row>
    <row r="2180" ht="15.75" customHeight="1">
      <c r="B2180" s="48">
        <v>3.582977E7</v>
      </c>
      <c r="C2180" s="80" t="s">
        <v>4177</v>
      </c>
      <c r="D2180" s="140" t="s">
        <v>636</v>
      </c>
      <c r="E2180" s="146"/>
      <c r="F2180" s="80">
        <v>134.0598674</v>
      </c>
      <c r="G2180" s="142">
        <v>5.091542053</v>
      </c>
      <c r="H2180" s="143"/>
      <c r="I2180" s="143"/>
      <c r="J2180" s="143"/>
      <c r="K2180" s="143"/>
      <c r="L2180" s="143"/>
      <c r="M2180" s="143"/>
      <c r="N2180" s="144"/>
      <c r="O2180" s="144"/>
      <c r="P2180" s="144"/>
      <c r="Q2180" s="143"/>
      <c r="R2180" s="143"/>
      <c r="Y2180" s="2" t="s">
        <v>23</v>
      </c>
    </row>
    <row r="2181" ht="15.75" customHeight="1">
      <c r="B2181" s="48">
        <v>3.582977E7</v>
      </c>
      <c r="C2181" s="80" t="s">
        <v>4177</v>
      </c>
      <c r="D2181" s="140" t="s">
        <v>636</v>
      </c>
      <c r="E2181" s="146"/>
      <c r="F2181" s="80">
        <v>184.0942098</v>
      </c>
      <c r="G2181" s="142">
        <v>7.623641459</v>
      </c>
      <c r="H2181" s="143"/>
      <c r="I2181" s="143"/>
      <c r="J2181" s="143"/>
      <c r="K2181" s="143"/>
      <c r="L2181" s="143"/>
      <c r="M2181" s="143"/>
      <c r="N2181" s="144"/>
      <c r="O2181" s="144"/>
      <c r="P2181" s="144"/>
      <c r="Q2181" s="143"/>
      <c r="R2181" s="143"/>
      <c r="Y2181" s="2" t="s">
        <v>23</v>
      </c>
    </row>
    <row r="2182" ht="15.75" customHeight="1">
      <c r="B2182" s="48">
        <v>3.582977E7</v>
      </c>
      <c r="C2182" s="80" t="s">
        <v>4177</v>
      </c>
      <c r="D2182" s="140" t="s">
        <v>636</v>
      </c>
      <c r="E2182" s="146"/>
      <c r="F2182" s="80">
        <v>331.0442088</v>
      </c>
      <c r="G2182" s="142">
        <v>11.80549418</v>
      </c>
      <c r="H2182" s="143"/>
      <c r="I2182" s="143"/>
      <c r="J2182" s="143"/>
      <c r="K2182" s="143"/>
      <c r="L2182" s="143"/>
      <c r="M2182" s="143"/>
      <c r="N2182" s="144"/>
      <c r="O2182" s="144"/>
      <c r="P2182" s="144"/>
      <c r="Q2182" s="143"/>
      <c r="R2182" s="143"/>
      <c r="Y2182" s="2" t="s">
        <v>23</v>
      </c>
    </row>
    <row r="2183" ht="15.75" customHeight="1">
      <c r="B2183" s="48">
        <v>3.582977E7</v>
      </c>
      <c r="C2183" s="80" t="s">
        <v>4177</v>
      </c>
      <c r="D2183" s="140" t="s">
        <v>636</v>
      </c>
      <c r="E2183" s="146"/>
      <c r="F2183" s="80">
        <v>131.1056377</v>
      </c>
      <c r="G2183" s="142">
        <v>7.290446472</v>
      </c>
      <c r="H2183" s="143"/>
      <c r="I2183" s="143"/>
      <c r="J2183" s="143"/>
      <c r="K2183" s="143"/>
      <c r="L2183" s="143"/>
      <c r="M2183" s="143"/>
      <c r="N2183" s="144"/>
      <c r="O2183" s="144"/>
      <c r="P2183" s="144"/>
      <c r="Q2183" s="143"/>
      <c r="R2183" s="143"/>
      <c r="Y2183" s="2" t="s">
        <v>23</v>
      </c>
    </row>
    <row r="2184" ht="15.75" customHeight="1">
      <c r="B2184" s="48">
        <v>3.582977E7</v>
      </c>
      <c r="C2184" s="80" t="s">
        <v>4177</v>
      </c>
      <c r="D2184" s="140" t="s">
        <v>636</v>
      </c>
      <c r="E2184" s="146"/>
      <c r="F2184" s="80">
        <v>188.0704717</v>
      </c>
      <c r="G2184" s="142">
        <v>3.037339783</v>
      </c>
      <c r="H2184" s="143"/>
      <c r="I2184" s="143"/>
      <c r="J2184" s="143"/>
      <c r="K2184" s="143"/>
      <c r="L2184" s="143"/>
      <c r="M2184" s="143"/>
      <c r="N2184" s="144"/>
      <c r="O2184" s="144"/>
      <c r="P2184" s="144"/>
      <c r="Q2184" s="143"/>
      <c r="R2184" s="143"/>
      <c r="Y2184" s="2" t="s">
        <v>23</v>
      </c>
    </row>
    <row r="2185" ht="15.75" customHeight="1">
      <c r="B2185" s="48">
        <v>3.582977E7</v>
      </c>
      <c r="C2185" s="80" t="s">
        <v>4177</v>
      </c>
      <c r="D2185" s="140" t="s">
        <v>636</v>
      </c>
      <c r="E2185" s="146"/>
      <c r="F2185" s="80">
        <v>118.0654394</v>
      </c>
      <c r="G2185" s="142">
        <v>4.819642131</v>
      </c>
      <c r="H2185" s="143"/>
      <c r="I2185" s="143"/>
      <c r="J2185" s="143"/>
      <c r="K2185" s="143"/>
      <c r="L2185" s="143"/>
      <c r="M2185" s="143"/>
      <c r="N2185" s="144"/>
      <c r="O2185" s="144"/>
      <c r="P2185" s="144"/>
      <c r="Q2185" s="143"/>
      <c r="R2185" s="143"/>
      <c r="Y2185" s="2" t="s">
        <v>23</v>
      </c>
    </row>
    <row r="2186" ht="15.75" customHeight="1">
      <c r="B2186" s="48">
        <v>3.582977E7</v>
      </c>
      <c r="C2186" s="80" t="s">
        <v>4177</v>
      </c>
      <c r="D2186" s="140" t="s">
        <v>636</v>
      </c>
      <c r="E2186" s="146"/>
      <c r="F2186" s="80">
        <v>287.0547201</v>
      </c>
      <c r="G2186" s="142">
        <v>11.80549418</v>
      </c>
      <c r="H2186" s="143"/>
      <c r="I2186" s="143"/>
      <c r="J2186" s="143"/>
      <c r="K2186" s="143"/>
      <c r="L2186" s="143"/>
      <c r="M2186" s="143"/>
      <c r="N2186" s="144"/>
      <c r="O2186" s="144"/>
      <c r="P2186" s="144"/>
      <c r="Q2186" s="143"/>
      <c r="R2186" s="143"/>
      <c r="Y2186" s="2" t="s">
        <v>23</v>
      </c>
    </row>
    <row r="2187" ht="15.75" customHeight="1">
      <c r="B2187" s="48">
        <v>3.582977E7</v>
      </c>
      <c r="C2187" s="80" t="s">
        <v>4177</v>
      </c>
      <c r="D2187" s="140" t="s">
        <v>636</v>
      </c>
      <c r="E2187" s="146"/>
      <c r="F2187" s="80">
        <v>295.9516982</v>
      </c>
      <c r="G2187" s="142">
        <v>9.726750692</v>
      </c>
      <c r="H2187" s="143"/>
      <c r="I2187" s="143"/>
      <c r="J2187" s="143"/>
      <c r="K2187" s="143"/>
      <c r="L2187" s="143"/>
      <c r="M2187" s="143"/>
      <c r="N2187" s="144"/>
      <c r="O2187" s="144"/>
      <c r="P2187" s="144"/>
      <c r="Q2187" s="143"/>
      <c r="R2187" s="143"/>
      <c r="Y2187" s="2" t="s">
        <v>23</v>
      </c>
    </row>
    <row r="2188" ht="15.75" customHeight="1">
      <c r="B2188" s="48">
        <v>3.582977E7</v>
      </c>
      <c r="C2188" s="80" t="s">
        <v>4177</v>
      </c>
      <c r="D2188" s="140" t="s">
        <v>636</v>
      </c>
      <c r="E2188" s="146"/>
      <c r="F2188" s="80">
        <v>195.0650218</v>
      </c>
      <c r="G2188" s="142">
        <v>6.963901011</v>
      </c>
      <c r="H2188" s="143"/>
      <c r="I2188" s="143"/>
      <c r="J2188" s="143"/>
      <c r="K2188" s="143"/>
      <c r="L2188" s="143"/>
      <c r="M2188" s="143"/>
      <c r="N2188" s="144"/>
      <c r="O2188" s="144"/>
      <c r="P2188" s="144"/>
      <c r="Q2188" s="143"/>
      <c r="R2188" s="143"/>
      <c r="Y2188" s="2" t="s">
        <v>23</v>
      </c>
    </row>
    <row r="2189" ht="15.75" customHeight="1">
      <c r="B2189" s="48">
        <v>3.582977E7</v>
      </c>
      <c r="C2189" s="80" t="s">
        <v>4177</v>
      </c>
      <c r="D2189" s="140" t="s">
        <v>636</v>
      </c>
      <c r="E2189" s="146"/>
      <c r="F2189" s="80">
        <v>122.0810363</v>
      </c>
      <c r="G2189" s="142">
        <v>7.903845723</v>
      </c>
      <c r="H2189" s="143"/>
      <c r="I2189" s="143"/>
      <c r="J2189" s="143"/>
      <c r="K2189" s="143"/>
      <c r="L2189" s="143"/>
      <c r="M2189" s="143"/>
      <c r="N2189" s="144"/>
      <c r="O2189" s="144"/>
      <c r="P2189" s="144"/>
      <c r="Q2189" s="143"/>
      <c r="R2189" s="143"/>
      <c r="Y2189" s="2" t="s">
        <v>23</v>
      </c>
    </row>
    <row r="2190" ht="15.75" customHeight="1">
      <c r="B2190" s="48">
        <v>3.582977E7</v>
      </c>
      <c r="C2190" s="80" t="s">
        <v>4177</v>
      </c>
      <c r="D2190" s="140" t="s">
        <v>636</v>
      </c>
      <c r="E2190" s="146"/>
      <c r="F2190" s="80">
        <v>258.1095423</v>
      </c>
      <c r="G2190" s="142">
        <v>9.250192261</v>
      </c>
      <c r="H2190" s="143"/>
      <c r="I2190" s="143"/>
      <c r="J2190" s="143"/>
      <c r="K2190" s="143"/>
      <c r="L2190" s="143"/>
      <c r="M2190" s="143"/>
      <c r="N2190" s="144"/>
      <c r="O2190" s="144"/>
      <c r="P2190" s="144"/>
      <c r="Q2190" s="143"/>
      <c r="R2190" s="143"/>
      <c r="Y2190" s="2" t="s">
        <v>23</v>
      </c>
    </row>
    <row r="2191" ht="15.75" customHeight="1">
      <c r="B2191" s="48">
        <v>3.582977E7</v>
      </c>
      <c r="C2191" s="80" t="s">
        <v>4177</v>
      </c>
      <c r="D2191" s="140" t="s">
        <v>636</v>
      </c>
      <c r="E2191" s="146"/>
      <c r="F2191" s="80">
        <v>181.0718482</v>
      </c>
      <c r="G2191" s="142">
        <v>2.073621114</v>
      </c>
      <c r="H2191" s="143"/>
      <c r="I2191" s="143"/>
      <c r="J2191" s="143"/>
      <c r="K2191" s="143"/>
      <c r="L2191" s="143"/>
      <c r="M2191" s="143"/>
      <c r="N2191" s="144"/>
      <c r="O2191" s="144"/>
      <c r="P2191" s="144"/>
      <c r="Q2191" s="143"/>
      <c r="R2191" s="143"/>
      <c r="Y2191" s="2" t="s">
        <v>23</v>
      </c>
    </row>
    <row r="2192" ht="15.75" customHeight="1">
      <c r="B2192" s="48">
        <v>3.582977E7</v>
      </c>
      <c r="C2192" s="80" t="s">
        <v>4177</v>
      </c>
      <c r="D2192" s="140" t="s">
        <v>636</v>
      </c>
      <c r="E2192" s="146"/>
      <c r="F2192" s="80">
        <v>189.1021126</v>
      </c>
      <c r="G2192" s="142">
        <v>1.808248266</v>
      </c>
      <c r="H2192" s="143"/>
      <c r="I2192" s="143"/>
      <c r="J2192" s="143"/>
      <c r="K2192" s="143"/>
      <c r="L2192" s="143"/>
      <c r="M2192" s="143"/>
      <c r="N2192" s="144"/>
      <c r="O2192" s="144"/>
      <c r="P2192" s="144"/>
      <c r="Q2192" s="143"/>
      <c r="R2192" s="143"/>
      <c r="Y2192" s="2" t="s">
        <v>23</v>
      </c>
    </row>
    <row r="2193" ht="15.75" customHeight="1">
      <c r="B2193" s="48">
        <v>3.582977E7</v>
      </c>
      <c r="C2193" s="80" t="s">
        <v>4177</v>
      </c>
      <c r="D2193" s="140" t="s">
        <v>636</v>
      </c>
      <c r="E2193" s="146"/>
      <c r="F2193" s="80">
        <v>134.059912</v>
      </c>
      <c r="G2193" s="142">
        <v>8.446664937</v>
      </c>
      <c r="H2193" s="143"/>
      <c r="I2193" s="143"/>
      <c r="J2193" s="143"/>
      <c r="K2193" s="143"/>
      <c r="L2193" s="143"/>
      <c r="M2193" s="143"/>
      <c r="N2193" s="144"/>
      <c r="O2193" s="144"/>
      <c r="P2193" s="144"/>
      <c r="Q2193" s="143"/>
      <c r="R2193" s="143"/>
      <c r="Y2193" s="2" t="s">
        <v>23</v>
      </c>
    </row>
    <row r="2194" ht="15.75" customHeight="1">
      <c r="B2194" s="48">
        <v>3.582977E7</v>
      </c>
      <c r="C2194" s="80" t="s">
        <v>4177</v>
      </c>
      <c r="D2194" s="140" t="s">
        <v>636</v>
      </c>
      <c r="E2194" s="146"/>
      <c r="F2194" s="80">
        <v>188.0705047</v>
      </c>
      <c r="G2194" s="142">
        <v>6.224946086</v>
      </c>
      <c r="H2194" s="143"/>
      <c r="I2194" s="143"/>
      <c r="J2194" s="143"/>
      <c r="K2194" s="143"/>
      <c r="L2194" s="143"/>
      <c r="M2194" s="143"/>
      <c r="N2194" s="144"/>
      <c r="O2194" s="144"/>
      <c r="P2194" s="144"/>
      <c r="Q2194" s="143"/>
      <c r="R2194" s="143"/>
      <c r="Y2194" s="2" t="s">
        <v>23</v>
      </c>
    </row>
    <row r="2195" ht="15.75" customHeight="1">
      <c r="B2195" s="48">
        <v>3.582977E7</v>
      </c>
      <c r="C2195" s="80" t="s">
        <v>4177</v>
      </c>
      <c r="D2195" s="140" t="s">
        <v>636</v>
      </c>
      <c r="E2195" s="146"/>
      <c r="F2195" s="80">
        <v>107.0490471</v>
      </c>
      <c r="G2195" s="142">
        <v>4.824760437</v>
      </c>
      <c r="H2195" s="143"/>
      <c r="I2195" s="143"/>
      <c r="J2195" s="143"/>
      <c r="K2195" s="143"/>
      <c r="L2195" s="143"/>
      <c r="M2195" s="143"/>
      <c r="N2195" s="144"/>
      <c r="O2195" s="144"/>
      <c r="P2195" s="144"/>
      <c r="Q2195" s="143"/>
      <c r="R2195" s="143"/>
      <c r="Y2195" s="2" t="s">
        <v>23</v>
      </c>
    </row>
    <row r="2196" ht="15.75" customHeight="1">
      <c r="B2196" s="48">
        <v>3.582977E7</v>
      </c>
      <c r="C2196" s="80" t="s">
        <v>4177</v>
      </c>
      <c r="D2196" s="140" t="s">
        <v>636</v>
      </c>
      <c r="E2196" s="146"/>
      <c r="F2196" s="80">
        <v>268.1050646</v>
      </c>
      <c r="G2196" s="142">
        <v>1.838091914</v>
      </c>
      <c r="H2196" s="143"/>
      <c r="I2196" s="143"/>
      <c r="J2196" s="143"/>
      <c r="K2196" s="143"/>
      <c r="L2196" s="143"/>
      <c r="M2196" s="143"/>
      <c r="N2196" s="144"/>
      <c r="O2196" s="144"/>
      <c r="P2196" s="144"/>
      <c r="Q2196" s="143"/>
      <c r="R2196" s="143"/>
      <c r="Y2196" s="2" t="s">
        <v>23</v>
      </c>
    </row>
    <row r="2197" ht="15.75" customHeight="1">
      <c r="B2197" s="48">
        <v>3.582977E7</v>
      </c>
      <c r="C2197" s="80" t="s">
        <v>4177</v>
      </c>
      <c r="D2197" s="140" t="s">
        <v>636</v>
      </c>
      <c r="E2197" s="146"/>
      <c r="F2197" s="80">
        <v>214.058611</v>
      </c>
      <c r="G2197" s="142">
        <v>10.72610372</v>
      </c>
      <c r="H2197" s="143"/>
      <c r="I2197" s="143"/>
      <c r="J2197" s="143"/>
      <c r="K2197" s="143"/>
      <c r="L2197" s="143"/>
      <c r="M2197" s="143"/>
      <c r="N2197" s="144"/>
      <c r="O2197" s="144"/>
      <c r="P2197" s="144"/>
      <c r="Q2197" s="143"/>
      <c r="R2197" s="143"/>
      <c r="Y2197" s="2" t="s">
        <v>23</v>
      </c>
    </row>
    <row r="2198" ht="15.75" customHeight="1">
      <c r="B2198" s="48">
        <v>3.582977E7</v>
      </c>
      <c r="C2198" s="80" t="s">
        <v>4177</v>
      </c>
      <c r="D2198" s="140" t="s">
        <v>636</v>
      </c>
      <c r="E2198" s="146"/>
      <c r="F2198" s="80">
        <v>140.0680283</v>
      </c>
      <c r="G2198" s="142">
        <v>4.828588104</v>
      </c>
      <c r="H2198" s="143"/>
      <c r="I2198" s="143"/>
      <c r="J2198" s="143"/>
      <c r="K2198" s="143"/>
      <c r="L2198" s="143"/>
      <c r="M2198" s="143"/>
      <c r="N2198" s="144"/>
      <c r="O2198" s="144"/>
      <c r="P2198" s="144"/>
      <c r="Q2198" s="143"/>
      <c r="R2198" s="143"/>
      <c r="Y2198" s="2" t="s">
        <v>23</v>
      </c>
    </row>
    <row r="2199" ht="15.75" customHeight="1">
      <c r="B2199" s="48">
        <v>3.582977E7</v>
      </c>
      <c r="C2199" s="80" t="s">
        <v>4177</v>
      </c>
      <c r="D2199" s="140" t="s">
        <v>636</v>
      </c>
      <c r="E2199" s="146"/>
      <c r="F2199" s="80">
        <v>128.9533061</v>
      </c>
      <c r="G2199" s="142">
        <v>10.1896464</v>
      </c>
      <c r="H2199" s="143"/>
      <c r="I2199" s="143"/>
      <c r="J2199" s="143"/>
      <c r="K2199" s="143"/>
      <c r="L2199" s="143"/>
      <c r="M2199" s="143"/>
      <c r="N2199" s="144"/>
      <c r="O2199" s="144"/>
      <c r="P2199" s="144"/>
      <c r="Q2199" s="143"/>
      <c r="R2199" s="143"/>
      <c r="Y2199" s="2" t="s">
        <v>23</v>
      </c>
    </row>
    <row r="2200" ht="15.75" customHeight="1">
      <c r="B2200" s="48">
        <v>3.582977E7</v>
      </c>
      <c r="C2200" s="80" t="s">
        <v>4177</v>
      </c>
      <c r="D2200" s="140" t="s">
        <v>636</v>
      </c>
      <c r="E2200" s="146"/>
      <c r="F2200" s="80">
        <v>335.037025</v>
      </c>
      <c r="G2200" s="142">
        <v>11.80549418</v>
      </c>
      <c r="H2200" s="143"/>
      <c r="I2200" s="143"/>
      <c r="J2200" s="143"/>
      <c r="K2200" s="143"/>
      <c r="L2200" s="143"/>
      <c r="M2200" s="143"/>
      <c r="N2200" s="144"/>
      <c r="O2200" s="144"/>
      <c r="P2200" s="144"/>
      <c r="Q2200" s="143"/>
      <c r="R2200" s="143"/>
      <c r="Y2200" s="2" t="s">
        <v>23</v>
      </c>
    </row>
    <row r="2201" ht="15.75" customHeight="1">
      <c r="B2201" s="48">
        <v>3.582977E7</v>
      </c>
      <c r="C2201" s="80" t="s">
        <v>4177</v>
      </c>
      <c r="D2201" s="140" t="s">
        <v>636</v>
      </c>
      <c r="E2201" s="146"/>
      <c r="F2201" s="80">
        <v>340.1529834</v>
      </c>
      <c r="G2201" s="142">
        <v>9.446344503</v>
      </c>
      <c r="H2201" s="143"/>
      <c r="I2201" s="143"/>
      <c r="J2201" s="143"/>
      <c r="K2201" s="143"/>
      <c r="L2201" s="143"/>
      <c r="M2201" s="143"/>
      <c r="N2201" s="144"/>
      <c r="O2201" s="144"/>
      <c r="P2201" s="144"/>
      <c r="Q2201" s="143"/>
      <c r="R2201" s="143"/>
      <c r="Y2201" s="2" t="s">
        <v>23</v>
      </c>
    </row>
    <row r="2202" ht="15.75" customHeight="1">
      <c r="B2202" s="48">
        <v>3.582977E7</v>
      </c>
      <c r="C2202" s="80" t="s">
        <v>4177</v>
      </c>
      <c r="D2202" s="140" t="s">
        <v>636</v>
      </c>
      <c r="E2202" s="146"/>
      <c r="F2202" s="80">
        <v>245.0739552</v>
      </c>
      <c r="G2202" s="142">
        <v>10.11136169</v>
      </c>
      <c r="H2202" s="143"/>
      <c r="I2202" s="143"/>
      <c r="J2202" s="143"/>
      <c r="K2202" s="143"/>
      <c r="L2202" s="143"/>
      <c r="M2202" s="143"/>
      <c r="N2202" s="144"/>
      <c r="O2202" s="144"/>
      <c r="P2202" s="144"/>
      <c r="Q2202" s="143"/>
      <c r="R2202" s="143"/>
      <c r="Y2202" s="2" t="s">
        <v>23</v>
      </c>
    </row>
    <row r="2203" ht="15.75" customHeight="1">
      <c r="B2203" s="48">
        <v>3.582977E7</v>
      </c>
      <c r="C2203" s="80" t="s">
        <v>4177</v>
      </c>
      <c r="D2203" s="140" t="s">
        <v>636</v>
      </c>
      <c r="E2203" s="146"/>
      <c r="F2203" s="80">
        <v>285.1276036</v>
      </c>
      <c r="G2203" s="142">
        <v>9.287343343</v>
      </c>
      <c r="H2203" s="143"/>
      <c r="I2203" s="143"/>
      <c r="J2203" s="143"/>
      <c r="K2203" s="143"/>
      <c r="L2203" s="143"/>
      <c r="M2203" s="143"/>
      <c r="N2203" s="144"/>
      <c r="O2203" s="144"/>
      <c r="P2203" s="144"/>
      <c r="Q2203" s="143"/>
      <c r="R2203" s="143"/>
      <c r="Y2203" s="2" t="s">
        <v>23</v>
      </c>
    </row>
    <row r="2204" ht="15.75" customHeight="1">
      <c r="B2204" s="48">
        <v>3.582977E7</v>
      </c>
      <c r="C2204" s="80" t="s">
        <v>4177</v>
      </c>
      <c r="D2204" s="140" t="s">
        <v>636</v>
      </c>
      <c r="E2204" s="146"/>
      <c r="F2204" s="80">
        <v>269.1084528</v>
      </c>
      <c r="G2204" s="142">
        <v>1.838091914</v>
      </c>
      <c r="H2204" s="143"/>
      <c r="I2204" s="143"/>
      <c r="J2204" s="143"/>
      <c r="K2204" s="143"/>
      <c r="L2204" s="143"/>
      <c r="M2204" s="143"/>
      <c r="N2204" s="144"/>
      <c r="O2204" s="144"/>
      <c r="P2204" s="144"/>
      <c r="Q2204" s="143"/>
      <c r="R2204" s="143"/>
      <c r="Y2204" s="2" t="s">
        <v>23</v>
      </c>
    </row>
    <row r="2205" ht="15.75" customHeight="1">
      <c r="B2205" s="48">
        <v>3.582977E7</v>
      </c>
      <c r="C2205" s="80" t="s">
        <v>4177</v>
      </c>
      <c r="D2205" s="140" t="s">
        <v>636</v>
      </c>
      <c r="E2205" s="146"/>
      <c r="F2205" s="80">
        <v>245.0739715</v>
      </c>
      <c r="G2205" s="142">
        <v>8.662674967</v>
      </c>
      <c r="H2205" s="143"/>
      <c r="I2205" s="143"/>
      <c r="J2205" s="143"/>
      <c r="K2205" s="143"/>
      <c r="L2205" s="143"/>
      <c r="M2205" s="143"/>
      <c r="N2205" s="144"/>
      <c r="O2205" s="144"/>
      <c r="P2205" s="144"/>
      <c r="Q2205" s="143"/>
      <c r="R2205" s="143"/>
      <c r="Y2205" s="2" t="s">
        <v>23</v>
      </c>
    </row>
    <row r="2206" ht="15.75" customHeight="1">
      <c r="B2206" s="48">
        <v>3.582977E7</v>
      </c>
      <c r="C2206" s="80" t="s">
        <v>4177</v>
      </c>
      <c r="D2206" s="140" t="s">
        <v>636</v>
      </c>
      <c r="E2206" s="146"/>
      <c r="F2206" s="80">
        <v>215.0660259</v>
      </c>
      <c r="G2206" s="142">
        <v>11.69902751</v>
      </c>
      <c r="H2206" s="143"/>
      <c r="I2206" s="143"/>
      <c r="J2206" s="143"/>
      <c r="K2206" s="143"/>
      <c r="L2206" s="143"/>
      <c r="M2206" s="143"/>
      <c r="N2206" s="144"/>
      <c r="O2206" s="144"/>
      <c r="P2206" s="144"/>
      <c r="Q2206" s="143"/>
      <c r="R2206" s="143"/>
      <c r="Y2206" s="2" t="s">
        <v>23</v>
      </c>
    </row>
    <row r="2207" ht="15.75" customHeight="1">
      <c r="B2207" s="48">
        <v>3.582977E7</v>
      </c>
      <c r="C2207" s="80" t="s">
        <v>4177</v>
      </c>
      <c r="D2207" s="140" t="s">
        <v>636</v>
      </c>
      <c r="E2207" s="146"/>
      <c r="F2207" s="80">
        <v>249.1570725</v>
      </c>
      <c r="G2207" s="142">
        <v>1.917731349</v>
      </c>
      <c r="H2207" s="143"/>
      <c r="I2207" s="143"/>
      <c r="J2207" s="143"/>
      <c r="K2207" s="143"/>
      <c r="L2207" s="143"/>
      <c r="M2207" s="143"/>
      <c r="N2207" s="144"/>
      <c r="O2207" s="144"/>
      <c r="P2207" s="144"/>
      <c r="Q2207" s="143"/>
      <c r="R2207" s="143"/>
      <c r="Y2207" s="2" t="s">
        <v>23</v>
      </c>
    </row>
    <row r="2208" ht="15.75" customHeight="1">
      <c r="B2208" s="48">
        <v>3.582977E7</v>
      </c>
      <c r="C2208" s="80" t="s">
        <v>4177</v>
      </c>
      <c r="D2208" s="140" t="s">
        <v>636</v>
      </c>
      <c r="E2208" s="146"/>
      <c r="F2208" s="80">
        <v>134.1002566</v>
      </c>
      <c r="G2208" s="142">
        <v>13.03773295</v>
      </c>
      <c r="H2208" s="143"/>
      <c r="I2208" s="143"/>
      <c r="J2208" s="143"/>
      <c r="K2208" s="143"/>
      <c r="L2208" s="143"/>
      <c r="M2208" s="143"/>
      <c r="N2208" s="144"/>
      <c r="O2208" s="144"/>
      <c r="P2208" s="144"/>
      <c r="Q2208" s="143"/>
      <c r="R2208" s="143"/>
      <c r="Y2208" s="2" t="s">
        <v>23</v>
      </c>
    </row>
    <row r="2209" ht="15.75" customHeight="1">
      <c r="B2209" s="48">
        <v>3.582977E7</v>
      </c>
      <c r="C2209" s="80" t="s">
        <v>4177</v>
      </c>
      <c r="D2209" s="140" t="s">
        <v>636</v>
      </c>
      <c r="E2209" s="146"/>
      <c r="F2209" s="80">
        <v>140.0679729</v>
      </c>
      <c r="G2209" s="142">
        <v>9.24768575</v>
      </c>
      <c r="H2209" s="143"/>
      <c r="I2209" s="143"/>
      <c r="J2209" s="143"/>
      <c r="K2209" s="143"/>
      <c r="L2209" s="143"/>
      <c r="M2209" s="143"/>
      <c r="N2209" s="144"/>
      <c r="O2209" s="144"/>
      <c r="P2209" s="144"/>
      <c r="Q2209" s="143"/>
      <c r="R2209" s="143"/>
      <c r="Y2209" s="2" t="s">
        <v>23</v>
      </c>
    </row>
    <row r="2210" ht="15.75" customHeight="1">
      <c r="B2210" s="48">
        <v>3.582977E7</v>
      </c>
      <c r="C2210" s="80" t="s">
        <v>4177</v>
      </c>
      <c r="D2210" s="140" t="s">
        <v>636</v>
      </c>
      <c r="E2210" s="146"/>
      <c r="F2210" s="80">
        <v>226.094835</v>
      </c>
      <c r="G2210" s="142">
        <v>1.831227493</v>
      </c>
      <c r="H2210" s="143"/>
      <c r="I2210" s="143"/>
      <c r="J2210" s="143"/>
      <c r="K2210" s="143"/>
      <c r="L2210" s="143"/>
      <c r="M2210" s="143"/>
      <c r="N2210" s="144"/>
      <c r="O2210" s="144"/>
      <c r="P2210" s="144"/>
      <c r="Q2210" s="143"/>
      <c r="R2210" s="143"/>
      <c r="Y2210" s="2" t="s">
        <v>23</v>
      </c>
    </row>
    <row r="2211" ht="15.75" customHeight="1">
      <c r="B2211" s="48">
        <v>3.582977E7</v>
      </c>
      <c r="C2211" s="80" t="s">
        <v>4177</v>
      </c>
      <c r="D2211" s="140" t="s">
        <v>636</v>
      </c>
      <c r="E2211" s="146"/>
      <c r="F2211" s="80">
        <v>154.0497201</v>
      </c>
      <c r="G2211" s="142">
        <v>2.463038381</v>
      </c>
      <c r="H2211" s="143"/>
      <c r="I2211" s="143"/>
      <c r="J2211" s="143"/>
      <c r="K2211" s="143"/>
      <c r="L2211" s="143"/>
      <c r="M2211" s="143"/>
      <c r="N2211" s="144"/>
      <c r="O2211" s="144"/>
      <c r="P2211" s="144"/>
      <c r="Q2211" s="143"/>
      <c r="R2211" s="143"/>
      <c r="Y2211" s="2" t="s">
        <v>23</v>
      </c>
    </row>
    <row r="2212" ht="15.75" customHeight="1">
      <c r="B2212" s="48">
        <v>3.582977E7</v>
      </c>
      <c r="C2212" s="80" t="s">
        <v>4177</v>
      </c>
      <c r="D2212" s="140" t="s">
        <v>636</v>
      </c>
      <c r="E2212" s="146"/>
      <c r="F2212" s="80">
        <v>139.094571</v>
      </c>
      <c r="G2212" s="142">
        <v>1.964204335</v>
      </c>
      <c r="H2212" s="143"/>
      <c r="I2212" s="143"/>
      <c r="J2212" s="143"/>
      <c r="K2212" s="143"/>
      <c r="L2212" s="143"/>
      <c r="M2212" s="143"/>
      <c r="N2212" s="144"/>
      <c r="O2212" s="144"/>
      <c r="P2212" s="144"/>
      <c r="Q2212" s="143"/>
      <c r="R2212" s="143"/>
      <c r="Y2212" s="2" t="s">
        <v>23</v>
      </c>
    </row>
    <row r="2213" ht="15.75" customHeight="1">
      <c r="B2213" s="48">
        <v>3.582977E7</v>
      </c>
      <c r="C2213" s="80" t="s">
        <v>4177</v>
      </c>
      <c r="D2213" s="140" t="s">
        <v>636</v>
      </c>
      <c r="E2213" s="146"/>
      <c r="F2213" s="80">
        <v>205.0817483</v>
      </c>
      <c r="G2213" s="142">
        <v>11.91147054</v>
      </c>
      <c r="H2213" s="143"/>
      <c r="I2213" s="143"/>
      <c r="J2213" s="143"/>
      <c r="K2213" s="143"/>
      <c r="L2213" s="143"/>
      <c r="M2213" s="143"/>
      <c r="N2213" s="144"/>
      <c r="O2213" s="144"/>
      <c r="P2213" s="144"/>
      <c r="Q2213" s="143"/>
      <c r="R2213" s="143"/>
      <c r="Y2213" s="2" t="s">
        <v>23</v>
      </c>
    </row>
    <row r="2214" ht="15.75" customHeight="1">
      <c r="B2214" s="48">
        <v>3.582977E7</v>
      </c>
      <c r="C2214" s="80" t="s">
        <v>4177</v>
      </c>
      <c r="D2214" s="140" t="s">
        <v>636</v>
      </c>
      <c r="E2214" s="146"/>
      <c r="F2214" s="80">
        <v>286.1068339</v>
      </c>
      <c r="G2214" s="142">
        <v>8.446664937</v>
      </c>
      <c r="H2214" s="143"/>
      <c r="I2214" s="143"/>
      <c r="J2214" s="143"/>
      <c r="K2214" s="143"/>
      <c r="L2214" s="143"/>
      <c r="M2214" s="143"/>
      <c r="N2214" s="144"/>
      <c r="O2214" s="144"/>
      <c r="P2214" s="144"/>
      <c r="Q2214" s="143"/>
      <c r="R2214" s="143"/>
      <c r="Y2214" s="2" t="s">
        <v>23</v>
      </c>
    </row>
    <row r="2215" ht="15.75" customHeight="1">
      <c r="B2215" s="48">
        <v>3.582977E7</v>
      </c>
      <c r="C2215" s="80" t="s">
        <v>4177</v>
      </c>
      <c r="D2215" s="140" t="s">
        <v>636</v>
      </c>
      <c r="E2215" s="146"/>
      <c r="F2215" s="80">
        <v>150.0384317</v>
      </c>
      <c r="G2215" s="142">
        <v>6.304997762</v>
      </c>
      <c r="H2215" s="143"/>
      <c r="I2215" s="143"/>
      <c r="J2215" s="143"/>
      <c r="K2215" s="143"/>
      <c r="L2215" s="143"/>
      <c r="M2215" s="143"/>
      <c r="N2215" s="144"/>
      <c r="O2215" s="144"/>
      <c r="P2215" s="144"/>
      <c r="Q2215" s="143"/>
      <c r="R2215" s="143"/>
      <c r="Y2215" s="2" t="s">
        <v>23</v>
      </c>
    </row>
    <row r="2216" ht="15.75" customHeight="1">
      <c r="B2216" s="48">
        <v>3.582977E7</v>
      </c>
      <c r="C2216" s="80" t="s">
        <v>4177</v>
      </c>
      <c r="D2216" s="140" t="s">
        <v>636</v>
      </c>
      <c r="E2216" s="146"/>
      <c r="F2216" s="80">
        <v>272.2004816</v>
      </c>
      <c r="G2216" s="142">
        <v>1.675366847</v>
      </c>
      <c r="H2216" s="143"/>
      <c r="I2216" s="143"/>
      <c r="J2216" s="143"/>
      <c r="K2216" s="143"/>
      <c r="L2216" s="143"/>
      <c r="M2216" s="143"/>
      <c r="N2216" s="144"/>
      <c r="O2216" s="144"/>
      <c r="P2216" s="144"/>
      <c r="Q2216" s="143"/>
      <c r="R2216" s="143"/>
      <c r="Y2216" s="2" t="s">
        <v>23</v>
      </c>
    </row>
    <row r="2217" ht="15.75" customHeight="1">
      <c r="B2217" s="48">
        <v>3.582977E7</v>
      </c>
      <c r="C2217" s="80" t="s">
        <v>4177</v>
      </c>
      <c r="D2217" s="140" t="s">
        <v>636</v>
      </c>
      <c r="E2217" s="146"/>
      <c r="F2217" s="80">
        <v>163.1155874</v>
      </c>
      <c r="G2217" s="142">
        <v>7.055048116</v>
      </c>
      <c r="H2217" s="143"/>
      <c r="I2217" s="143"/>
      <c r="J2217" s="143"/>
      <c r="K2217" s="143"/>
      <c r="L2217" s="143"/>
      <c r="M2217" s="143"/>
      <c r="N2217" s="144"/>
      <c r="O2217" s="144"/>
      <c r="P2217" s="144"/>
      <c r="Q2217" s="143"/>
      <c r="R2217" s="143"/>
      <c r="Y2217" s="2" t="s">
        <v>23</v>
      </c>
    </row>
    <row r="2218" ht="15.75" customHeight="1">
      <c r="B2218" s="48">
        <v>3.582977E7</v>
      </c>
      <c r="C2218" s="80" t="s">
        <v>4177</v>
      </c>
      <c r="D2218" s="140" t="s">
        <v>636</v>
      </c>
      <c r="E2218" s="146"/>
      <c r="F2218" s="80">
        <v>65.01915812</v>
      </c>
      <c r="G2218" s="142">
        <v>10.33851929</v>
      </c>
      <c r="H2218" s="143"/>
      <c r="I2218" s="143"/>
      <c r="J2218" s="143"/>
      <c r="K2218" s="143"/>
      <c r="L2218" s="143"/>
      <c r="M2218" s="143"/>
      <c r="N2218" s="144"/>
      <c r="O2218" s="144"/>
      <c r="P2218" s="144"/>
      <c r="Q2218" s="143"/>
      <c r="R2218" s="143"/>
      <c r="Y2218" s="2" t="s">
        <v>23</v>
      </c>
    </row>
    <row r="2219" ht="15.75" customHeight="1">
      <c r="B2219" s="48">
        <v>3.582977E7</v>
      </c>
      <c r="C2219" s="80" t="s">
        <v>4177</v>
      </c>
      <c r="D2219" s="140" t="s">
        <v>636</v>
      </c>
      <c r="E2219" s="146"/>
      <c r="F2219" s="80">
        <v>356.0091628</v>
      </c>
      <c r="G2219" s="142">
        <v>12.52378031</v>
      </c>
      <c r="H2219" s="143"/>
      <c r="I2219" s="143"/>
      <c r="J2219" s="143"/>
      <c r="K2219" s="143"/>
      <c r="L2219" s="143"/>
      <c r="M2219" s="143"/>
      <c r="N2219" s="144"/>
      <c r="O2219" s="144"/>
      <c r="P2219" s="144"/>
      <c r="Q2219" s="143"/>
      <c r="R2219" s="143"/>
      <c r="Y2219" s="2" t="s">
        <v>23</v>
      </c>
    </row>
    <row r="2220" ht="15.75" customHeight="1">
      <c r="B2220" s="48">
        <v>3.582977E7</v>
      </c>
      <c r="C2220" s="80" t="s">
        <v>4177</v>
      </c>
      <c r="D2220" s="140" t="s">
        <v>636</v>
      </c>
      <c r="E2220" s="146"/>
      <c r="F2220" s="80">
        <v>124.0473242</v>
      </c>
      <c r="G2220" s="142">
        <v>8.446664937</v>
      </c>
      <c r="H2220" s="143"/>
      <c r="I2220" s="143"/>
      <c r="J2220" s="143"/>
      <c r="K2220" s="143"/>
      <c r="L2220" s="143"/>
      <c r="M2220" s="143"/>
      <c r="N2220" s="144"/>
      <c r="O2220" s="144"/>
      <c r="P2220" s="144"/>
      <c r="Q2220" s="143"/>
      <c r="R2220" s="143"/>
      <c r="Y2220" s="2" t="s">
        <v>23</v>
      </c>
    </row>
    <row r="2221" ht="15.75" customHeight="1">
      <c r="B2221" s="48">
        <v>3.582977E7</v>
      </c>
      <c r="C2221" s="80" t="s">
        <v>4177</v>
      </c>
      <c r="D2221" s="140" t="s">
        <v>636</v>
      </c>
      <c r="E2221" s="146"/>
      <c r="F2221" s="80">
        <v>225.0478947</v>
      </c>
      <c r="G2221" s="142">
        <v>11.59097697</v>
      </c>
      <c r="H2221" s="143"/>
      <c r="I2221" s="143"/>
      <c r="J2221" s="143"/>
      <c r="K2221" s="143"/>
      <c r="L2221" s="143"/>
      <c r="M2221" s="143"/>
      <c r="N2221" s="144"/>
      <c r="O2221" s="144"/>
      <c r="P2221" s="144"/>
      <c r="Q2221" s="143"/>
      <c r="R2221" s="143"/>
      <c r="Y2221" s="2" t="s">
        <v>23</v>
      </c>
    </row>
    <row r="2222" ht="15.75" customHeight="1">
      <c r="B2222" s="48">
        <v>3.582977E7</v>
      </c>
      <c r="C2222" s="80" t="s">
        <v>4177</v>
      </c>
      <c r="D2222" s="140" t="s">
        <v>636</v>
      </c>
      <c r="E2222" s="146"/>
      <c r="F2222" s="80">
        <v>278.0248465</v>
      </c>
      <c r="G2222" s="142">
        <v>10.72610372</v>
      </c>
      <c r="H2222" s="143"/>
      <c r="I2222" s="143"/>
      <c r="J2222" s="143"/>
      <c r="K2222" s="143"/>
      <c r="L2222" s="143"/>
      <c r="M2222" s="143"/>
      <c r="N2222" s="144"/>
      <c r="O2222" s="144"/>
      <c r="P2222" s="144"/>
      <c r="Q2222" s="143"/>
      <c r="R2222" s="143"/>
      <c r="Y2222" s="2" t="s">
        <v>23</v>
      </c>
    </row>
    <row r="2223" ht="15.75" customHeight="1">
      <c r="B2223" s="48">
        <v>3.582977E7</v>
      </c>
      <c r="C2223" s="80" t="s">
        <v>4177</v>
      </c>
      <c r="D2223" s="140" t="s">
        <v>636</v>
      </c>
      <c r="E2223" s="146"/>
      <c r="F2223" s="80">
        <v>240.1590057</v>
      </c>
      <c r="G2223" s="142">
        <v>1.655477269</v>
      </c>
      <c r="H2223" s="143"/>
      <c r="I2223" s="143"/>
      <c r="J2223" s="143"/>
      <c r="K2223" s="143"/>
      <c r="L2223" s="143"/>
      <c r="M2223" s="143"/>
      <c r="N2223" s="144"/>
      <c r="O2223" s="144"/>
      <c r="P2223" s="144"/>
      <c r="Q2223" s="143"/>
      <c r="R2223" s="143"/>
      <c r="Y2223" s="2" t="s">
        <v>23</v>
      </c>
    </row>
    <row r="2224" ht="15.75" customHeight="1">
      <c r="B2224" s="48">
        <v>3.582977E7</v>
      </c>
      <c r="C2224" s="80" t="s">
        <v>4177</v>
      </c>
      <c r="D2224" s="140" t="s">
        <v>636</v>
      </c>
      <c r="E2224" s="146"/>
      <c r="F2224" s="80">
        <v>179.142917</v>
      </c>
      <c r="G2224" s="142">
        <v>1.645496107</v>
      </c>
      <c r="H2224" s="143"/>
      <c r="I2224" s="143"/>
      <c r="J2224" s="143"/>
      <c r="K2224" s="143"/>
      <c r="L2224" s="143"/>
      <c r="M2224" s="143"/>
      <c r="N2224" s="144"/>
      <c r="O2224" s="144"/>
      <c r="P2224" s="144"/>
      <c r="Q2224" s="143"/>
      <c r="R2224" s="143"/>
      <c r="Y2224" s="2" t="s">
        <v>23</v>
      </c>
    </row>
    <row r="2225" ht="15.75" customHeight="1">
      <c r="B2225" s="48">
        <v>3.582977E7</v>
      </c>
      <c r="C2225" s="80" t="s">
        <v>4177</v>
      </c>
      <c r="D2225" s="140" t="s">
        <v>636</v>
      </c>
      <c r="E2225" s="146"/>
      <c r="F2225" s="80">
        <v>268.1537918</v>
      </c>
      <c r="G2225" s="142">
        <v>6.174283854</v>
      </c>
      <c r="H2225" s="143"/>
      <c r="I2225" s="143"/>
      <c r="J2225" s="143"/>
      <c r="K2225" s="143"/>
      <c r="L2225" s="143"/>
      <c r="M2225" s="143"/>
      <c r="N2225" s="144"/>
      <c r="O2225" s="144"/>
      <c r="P2225" s="144"/>
      <c r="Q2225" s="143"/>
      <c r="R2225" s="143"/>
      <c r="Y2225" s="2" t="s">
        <v>23</v>
      </c>
    </row>
    <row r="2226" ht="15.75" customHeight="1">
      <c r="B2226" s="48">
        <v>3.582977E7</v>
      </c>
      <c r="C2226" s="80" t="s">
        <v>4177</v>
      </c>
      <c r="D2226" s="140" t="s">
        <v>636</v>
      </c>
      <c r="E2226" s="146"/>
      <c r="F2226" s="80">
        <v>237.0758316</v>
      </c>
      <c r="G2226" s="142">
        <v>9.09903361</v>
      </c>
      <c r="H2226" s="143"/>
      <c r="I2226" s="143"/>
      <c r="J2226" s="143"/>
      <c r="K2226" s="143"/>
      <c r="L2226" s="143"/>
      <c r="M2226" s="143"/>
      <c r="N2226" s="144"/>
      <c r="O2226" s="144"/>
      <c r="P2226" s="144"/>
      <c r="Q2226" s="143"/>
      <c r="R2226" s="143"/>
      <c r="Y2226" s="2" t="s">
        <v>23</v>
      </c>
    </row>
    <row r="2227" ht="15.75" customHeight="1">
      <c r="B2227" s="48">
        <v>3.582977E7</v>
      </c>
      <c r="C2227" s="80" t="s">
        <v>4177</v>
      </c>
      <c r="D2227" s="140" t="s">
        <v>636</v>
      </c>
      <c r="E2227" s="146"/>
      <c r="F2227" s="80">
        <v>169.0758424</v>
      </c>
      <c r="G2227" s="142">
        <v>6.189264933</v>
      </c>
      <c r="H2227" s="143"/>
      <c r="I2227" s="143"/>
      <c r="J2227" s="143"/>
      <c r="K2227" s="143"/>
      <c r="L2227" s="143"/>
      <c r="M2227" s="143"/>
      <c r="N2227" s="144"/>
      <c r="O2227" s="144"/>
      <c r="P2227" s="144"/>
      <c r="Q2227" s="143"/>
      <c r="R2227" s="143"/>
      <c r="Y2227" s="2" t="s">
        <v>23</v>
      </c>
    </row>
    <row r="2228" ht="15.75" customHeight="1">
      <c r="B2228" s="48">
        <v>3.582977E7</v>
      </c>
      <c r="C2228" s="80" t="s">
        <v>4177</v>
      </c>
      <c r="D2228" s="140" t="s">
        <v>636</v>
      </c>
      <c r="E2228" s="146"/>
      <c r="F2228" s="80">
        <v>161.080505</v>
      </c>
      <c r="G2228" s="142">
        <v>10.67897542</v>
      </c>
      <c r="H2228" s="143"/>
      <c r="I2228" s="143"/>
      <c r="J2228" s="143"/>
      <c r="K2228" s="143"/>
      <c r="L2228" s="143"/>
      <c r="M2228" s="143"/>
      <c r="N2228" s="144"/>
      <c r="O2228" s="144"/>
      <c r="P2228" s="144"/>
      <c r="Q2228" s="143"/>
      <c r="R2228" s="143"/>
      <c r="Y2228" s="2" t="s">
        <v>23</v>
      </c>
    </row>
    <row r="2229" ht="15.75" customHeight="1">
      <c r="B2229" s="48">
        <v>3.582977E7</v>
      </c>
      <c r="C2229" s="80" t="s">
        <v>4177</v>
      </c>
      <c r="D2229" s="140" t="s">
        <v>636</v>
      </c>
      <c r="E2229" s="146"/>
      <c r="F2229" s="80">
        <v>391.0905651</v>
      </c>
      <c r="G2229" s="142">
        <v>9.6349001</v>
      </c>
      <c r="H2229" s="143"/>
      <c r="I2229" s="143"/>
      <c r="J2229" s="143"/>
      <c r="K2229" s="143"/>
      <c r="L2229" s="143"/>
      <c r="M2229" s="143"/>
      <c r="N2229" s="144"/>
      <c r="O2229" s="144"/>
      <c r="P2229" s="144"/>
      <c r="Q2229" s="143"/>
      <c r="R2229" s="143"/>
      <c r="Y2229" s="2" t="s">
        <v>23</v>
      </c>
    </row>
    <row r="2230" ht="15.75" customHeight="1">
      <c r="B2230" s="48">
        <v>3.582977E7</v>
      </c>
      <c r="C2230" s="80" t="s">
        <v>4177</v>
      </c>
      <c r="D2230" s="140" t="s">
        <v>636</v>
      </c>
      <c r="E2230" s="146"/>
      <c r="F2230" s="80">
        <v>253.1041308</v>
      </c>
      <c r="G2230" s="142">
        <v>9.075820923</v>
      </c>
      <c r="H2230" s="143"/>
      <c r="I2230" s="143"/>
      <c r="J2230" s="143"/>
      <c r="K2230" s="143"/>
      <c r="L2230" s="143"/>
      <c r="M2230" s="143"/>
      <c r="N2230" s="144"/>
      <c r="O2230" s="144"/>
      <c r="P2230" s="144"/>
      <c r="Q2230" s="143"/>
      <c r="R2230" s="143"/>
      <c r="Y2230" s="2" t="s">
        <v>23</v>
      </c>
    </row>
    <row r="2231" ht="15.75" customHeight="1">
      <c r="B2231" s="48">
        <v>3.582977E7</v>
      </c>
      <c r="C2231" s="80" t="s">
        <v>4177</v>
      </c>
      <c r="D2231" s="140" t="s">
        <v>636</v>
      </c>
      <c r="E2231" s="146"/>
      <c r="F2231" s="80">
        <v>258.1500154</v>
      </c>
      <c r="G2231" s="142">
        <v>4.825860596</v>
      </c>
      <c r="H2231" s="143"/>
      <c r="I2231" s="143"/>
      <c r="J2231" s="143"/>
      <c r="K2231" s="143"/>
      <c r="L2231" s="143"/>
      <c r="M2231" s="143"/>
      <c r="N2231" s="144"/>
      <c r="O2231" s="144"/>
      <c r="P2231" s="144"/>
      <c r="Q2231" s="143"/>
      <c r="R2231" s="143"/>
      <c r="Y2231" s="2" t="s">
        <v>23</v>
      </c>
    </row>
    <row r="2232" ht="15.75" customHeight="1">
      <c r="B2232" s="48">
        <v>3.582977E7</v>
      </c>
      <c r="C2232" s="80" t="s">
        <v>4177</v>
      </c>
      <c r="D2232" s="140" t="s">
        <v>636</v>
      </c>
      <c r="E2232" s="146"/>
      <c r="F2232" s="80">
        <v>142.9384302</v>
      </c>
      <c r="G2232" s="142">
        <v>13.90949809</v>
      </c>
      <c r="H2232" s="143"/>
      <c r="I2232" s="143"/>
      <c r="J2232" s="143"/>
      <c r="K2232" s="143"/>
      <c r="L2232" s="143"/>
      <c r="M2232" s="143"/>
      <c r="N2232" s="144"/>
      <c r="O2232" s="144"/>
      <c r="P2232" s="144"/>
      <c r="Q2232" s="143"/>
      <c r="R2232" s="143"/>
      <c r="Y2232" s="2" t="s">
        <v>23</v>
      </c>
    </row>
    <row r="2233" ht="15.75" customHeight="1">
      <c r="B2233" s="48">
        <v>3.582977E7</v>
      </c>
      <c r="C2233" s="80" t="s">
        <v>4177</v>
      </c>
      <c r="D2233" s="140" t="s">
        <v>636</v>
      </c>
      <c r="E2233" s="146"/>
      <c r="F2233" s="80">
        <v>176.06562</v>
      </c>
      <c r="G2233" s="142">
        <v>4.916130575</v>
      </c>
      <c r="H2233" s="143"/>
      <c r="I2233" s="143"/>
      <c r="J2233" s="143"/>
      <c r="K2233" s="143"/>
      <c r="L2233" s="143"/>
      <c r="M2233" s="143"/>
      <c r="N2233" s="144"/>
      <c r="O2233" s="144"/>
      <c r="P2233" s="144"/>
      <c r="Q2233" s="143"/>
      <c r="R2233" s="143"/>
      <c r="Y2233" s="2" t="s">
        <v>23</v>
      </c>
    </row>
    <row r="2234" ht="15.75" customHeight="1">
      <c r="B2234" s="48">
        <v>3.582977E7</v>
      </c>
      <c r="C2234" s="80" t="s">
        <v>4177</v>
      </c>
      <c r="D2234" s="140" t="s">
        <v>636</v>
      </c>
      <c r="E2234" s="146"/>
      <c r="F2234" s="80">
        <v>152.0539134</v>
      </c>
      <c r="G2234" s="142">
        <v>6.321612549</v>
      </c>
      <c r="H2234" s="143"/>
      <c r="I2234" s="143"/>
      <c r="J2234" s="143"/>
      <c r="K2234" s="143"/>
      <c r="L2234" s="143"/>
      <c r="M2234" s="143"/>
      <c r="N2234" s="144"/>
      <c r="O2234" s="144"/>
      <c r="P2234" s="144"/>
      <c r="Q2234" s="143"/>
      <c r="R2234" s="143"/>
      <c r="Y2234" s="2" t="s">
        <v>23</v>
      </c>
    </row>
    <row r="2235" ht="15.75" customHeight="1">
      <c r="B2235" s="48">
        <v>3.582977E7</v>
      </c>
      <c r="C2235" s="80" t="s">
        <v>4177</v>
      </c>
      <c r="D2235" s="140" t="s">
        <v>636</v>
      </c>
      <c r="E2235" s="146"/>
      <c r="F2235" s="80">
        <v>201.0656717</v>
      </c>
      <c r="G2235" s="142">
        <v>6.246583557</v>
      </c>
      <c r="H2235" s="143"/>
      <c r="I2235" s="143"/>
      <c r="J2235" s="143"/>
      <c r="K2235" s="143"/>
      <c r="L2235" s="143"/>
      <c r="M2235" s="143"/>
      <c r="N2235" s="144"/>
      <c r="O2235" s="144"/>
      <c r="P2235" s="144"/>
      <c r="Q2235" s="143"/>
      <c r="R2235" s="143"/>
      <c r="Y2235" s="2" t="s">
        <v>23</v>
      </c>
    </row>
    <row r="2236" ht="15.75" customHeight="1">
      <c r="B2236" s="48">
        <v>3.582977E7</v>
      </c>
      <c r="C2236" s="80" t="s">
        <v>4177</v>
      </c>
      <c r="D2236" s="140" t="s">
        <v>636</v>
      </c>
      <c r="E2236" s="146"/>
      <c r="F2236" s="80">
        <v>356.0141703</v>
      </c>
      <c r="G2236" s="142">
        <v>12.29165446</v>
      </c>
      <c r="H2236" s="143"/>
      <c r="I2236" s="143"/>
      <c r="J2236" s="143"/>
      <c r="K2236" s="143"/>
      <c r="L2236" s="143"/>
      <c r="M2236" s="143"/>
      <c r="N2236" s="144"/>
      <c r="O2236" s="144"/>
      <c r="P2236" s="144"/>
      <c r="Q2236" s="143"/>
      <c r="R2236" s="143"/>
      <c r="Y2236" s="2" t="s">
        <v>23</v>
      </c>
    </row>
    <row r="2237" ht="15.75" customHeight="1">
      <c r="B2237" s="48">
        <v>3.582977E7</v>
      </c>
      <c r="C2237" s="80" t="s">
        <v>4177</v>
      </c>
      <c r="D2237" s="140" t="s">
        <v>636</v>
      </c>
      <c r="E2237" s="146"/>
      <c r="F2237" s="80">
        <v>171.0277101</v>
      </c>
      <c r="G2237" s="142">
        <v>5.269983419</v>
      </c>
      <c r="H2237" s="143"/>
      <c r="I2237" s="143"/>
      <c r="J2237" s="143"/>
      <c r="K2237" s="143"/>
      <c r="L2237" s="143"/>
      <c r="M2237" s="143"/>
      <c r="N2237" s="144"/>
      <c r="O2237" s="144"/>
      <c r="P2237" s="144"/>
      <c r="Q2237" s="143"/>
      <c r="R2237" s="143"/>
      <c r="Y2237" s="2" t="s">
        <v>23</v>
      </c>
    </row>
    <row r="2238" ht="15.75" customHeight="1">
      <c r="B2238" s="48">
        <v>3.582977E7</v>
      </c>
      <c r="C2238" s="80" t="s">
        <v>4177</v>
      </c>
      <c r="D2238" s="140" t="s">
        <v>636</v>
      </c>
      <c r="E2238" s="146"/>
      <c r="F2238" s="80">
        <v>170.071069</v>
      </c>
      <c r="G2238" s="142">
        <v>6.284154765</v>
      </c>
      <c r="H2238" s="143"/>
      <c r="I2238" s="143"/>
      <c r="J2238" s="143"/>
      <c r="K2238" s="143"/>
      <c r="L2238" s="143"/>
      <c r="M2238" s="143"/>
      <c r="N2238" s="144"/>
      <c r="O2238" s="144"/>
      <c r="P2238" s="144"/>
      <c r="Q2238" s="143"/>
      <c r="R2238" s="143"/>
      <c r="Y2238" s="2" t="s">
        <v>23</v>
      </c>
    </row>
    <row r="2239" ht="15.75" customHeight="1">
      <c r="B2239" s="48">
        <v>3.582977E7</v>
      </c>
      <c r="C2239" s="80" t="s">
        <v>4177</v>
      </c>
      <c r="D2239" s="140" t="s">
        <v>636</v>
      </c>
      <c r="E2239" s="146"/>
      <c r="F2239" s="80">
        <v>193.0945793</v>
      </c>
      <c r="G2239" s="142">
        <v>9.11803182</v>
      </c>
      <c r="H2239" s="143"/>
      <c r="I2239" s="143"/>
      <c r="J2239" s="143"/>
      <c r="K2239" s="143"/>
      <c r="L2239" s="143"/>
      <c r="M2239" s="143"/>
      <c r="N2239" s="144"/>
      <c r="O2239" s="144"/>
      <c r="P2239" s="144"/>
      <c r="Q2239" s="143"/>
      <c r="R2239" s="143"/>
      <c r="Y2239" s="2" t="s">
        <v>23</v>
      </c>
    </row>
    <row r="2240" ht="15.75" customHeight="1">
      <c r="B2240" s="48">
        <v>3.582977E7</v>
      </c>
      <c r="C2240" s="80" t="s">
        <v>4177</v>
      </c>
      <c r="D2240" s="140" t="s">
        <v>636</v>
      </c>
      <c r="E2240" s="146"/>
      <c r="F2240" s="80">
        <v>257.1281298</v>
      </c>
      <c r="G2240" s="142">
        <v>6.542937469</v>
      </c>
      <c r="H2240" s="143"/>
      <c r="I2240" s="143"/>
      <c r="J2240" s="143"/>
      <c r="K2240" s="143"/>
      <c r="L2240" s="143"/>
      <c r="M2240" s="143"/>
      <c r="N2240" s="144"/>
      <c r="O2240" s="144"/>
      <c r="P2240" s="144"/>
      <c r="Q2240" s="143"/>
      <c r="R2240" s="143"/>
      <c r="Y2240" s="2" t="s">
        <v>23</v>
      </c>
    </row>
    <row r="2241" ht="15.75" customHeight="1">
      <c r="B2241" s="48">
        <v>3.582977E7</v>
      </c>
      <c r="C2241" s="80" t="s">
        <v>4177</v>
      </c>
      <c r="D2241" s="140" t="s">
        <v>636</v>
      </c>
      <c r="E2241" s="146"/>
      <c r="F2241" s="80">
        <v>276.1548843</v>
      </c>
      <c r="G2241" s="142">
        <v>12.36673991</v>
      </c>
      <c r="H2241" s="143"/>
      <c r="I2241" s="143"/>
      <c r="J2241" s="143"/>
      <c r="K2241" s="143"/>
      <c r="L2241" s="143"/>
      <c r="M2241" s="143"/>
      <c r="N2241" s="144"/>
      <c r="O2241" s="144"/>
      <c r="P2241" s="144"/>
      <c r="Q2241" s="143"/>
      <c r="R2241" s="143"/>
      <c r="Y2241" s="2" t="s">
        <v>23</v>
      </c>
    </row>
    <row r="2242" ht="15.75" customHeight="1">
      <c r="B2242" s="48">
        <v>3.582977E7</v>
      </c>
      <c r="C2242" s="80" t="s">
        <v>4177</v>
      </c>
      <c r="D2242" s="140" t="s">
        <v>636</v>
      </c>
      <c r="E2242" s="146"/>
      <c r="F2242" s="80">
        <v>219.1085113</v>
      </c>
      <c r="G2242" s="142">
        <v>1.867958577</v>
      </c>
      <c r="H2242" s="143"/>
      <c r="I2242" s="143"/>
      <c r="J2242" s="143"/>
      <c r="K2242" s="143"/>
      <c r="L2242" s="143"/>
      <c r="M2242" s="143"/>
      <c r="N2242" s="144"/>
      <c r="O2242" s="144"/>
      <c r="P2242" s="144"/>
      <c r="Q2242" s="143"/>
      <c r="R2242" s="143"/>
      <c r="Y2242" s="2" t="s">
        <v>23</v>
      </c>
    </row>
    <row r="2243" ht="15.75" customHeight="1">
      <c r="B2243" s="48">
        <v>3.582977E7</v>
      </c>
      <c r="C2243" s="80" t="s">
        <v>4177</v>
      </c>
      <c r="D2243" s="140" t="s">
        <v>636</v>
      </c>
      <c r="E2243" s="146"/>
      <c r="F2243" s="80">
        <v>148.1138978</v>
      </c>
      <c r="G2243" s="142">
        <v>7.159825643</v>
      </c>
      <c r="H2243" s="143"/>
      <c r="I2243" s="143"/>
      <c r="J2243" s="143"/>
      <c r="K2243" s="143"/>
      <c r="L2243" s="143"/>
      <c r="M2243" s="143"/>
      <c r="N2243" s="144"/>
      <c r="O2243" s="144"/>
      <c r="P2243" s="144"/>
      <c r="Q2243" s="143"/>
      <c r="R2243" s="143"/>
      <c r="Y2243" s="2" t="s">
        <v>23</v>
      </c>
    </row>
    <row r="2244" ht="15.75" customHeight="1">
      <c r="B2244" s="48">
        <v>3.582977E7</v>
      </c>
      <c r="C2244" s="80" t="s">
        <v>4177</v>
      </c>
      <c r="D2244" s="140" t="s">
        <v>636</v>
      </c>
      <c r="E2244" s="146"/>
      <c r="F2244" s="80">
        <v>177.1424425</v>
      </c>
      <c r="G2244" s="142">
        <v>4.884969076</v>
      </c>
      <c r="H2244" s="143"/>
      <c r="I2244" s="143"/>
      <c r="J2244" s="143"/>
      <c r="K2244" s="143"/>
      <c r="L2244" s="143"/>
      <c r="M2244" s="143"/>
      <c r="N2244" s="144"/>
      <c r="O2244" s="144"/>
      <c r="P2244" s="144"/>
      <c r="Q2244" s="143"/>
      <c r="R2244" s="143"/>
      <c r="Y2244" s="2" t="s">
        <v>23</v>
      </c>
    </row>
    <row r="2245" ht="15.75" customHeight="1">
      <c r="B2245" s="48">
        <v>3.582977E7</v>
      </c>
      <c r="C2245" s="80" t="s">
        <v>4177</v>
      </c>
      <c r="D2245" s="140" t="s">
        <v>636</v>
      </c>
      <c r="E2245" s="146"/>
      <c r="F2245" s="80">
        <v>136.0391649</v>
      </c>
      <c r="G2245" s="142">
        <v>2.38</v>
      </c>
      <c r="H2245" s="143"/>
      <c r="I2245" s="143"/>
      <c r="J2245" s="143"/>
      <c r="K2245" s="143"/>
      <c r="L2245" s="143"/>
      <c r="M2245" s="143"/>
      <c r="N2245" s="144"/>
      <c r="O2245" s="144"/>
      <c r="P2245" s="144"/>
      <c r="Q2245" s="143"/>
      <c r="R2245" s="143"/>
      <c r="Y2245" s="2" t="s">
        <v>23</v>
      </c>
    </row>
    <row r="2246" ht="15.75" customHeight="1">
      <c r="B2246" s="48">
        <v>3.582977E7</v>
      </c>
      <c r="C2246" s="80" t="s">
        <v>4177</v>
      </c>
      <c r="D2246" s="140" t="s">
        <v>636</v>
      </c>
      <c r="E2246" s="146"/>
      <c r="F2246" s="80">
        <v>170.0836757</v>
      </c>
      <c r="G2246" s="142">
        <v>9.127514648</v>
      </c>
      <c r="H2246" s="143"/>
      <c r="I2246" s="143"/>
      <c r="J2246" s="143"/>
      <c r="K2246" s="143"/>
      <c r="L2246" s="143"/>
      <c r="M2246" s="143"/>
      <c r="N2246" s="144"/>
      <c r="O2246" s="144"/>
      <c r="P2246" s="144"/>
      <c r="Q2246" s="143"/>
      <c r="R2246" s="143"/>
      <c r="Y2246" s="2" t="s">
        <v>23</v>
      </c>
    </row>
    <row r="2247" ht="15.75" customHeight="1">
      <c r="B2247" s="48">
        <v>3.582977E7</v>
      </c>
      <c r="C2247" s="80" t="s">
        <v>3911</v>
      </c>
      <c r="D2247" s="140" t="s">
        <v>626</v>
      </c>
      <c r="E2247" s="80" t="s">
        <v>4230</v>
      </c>
      <c r="F2247" s="80">
        <v>146.04584</v>
      </c>
      <c r="G2247" s="142">
        <v>2.077</v>
      </c>
      <c r="H2247" s="143"/>
      <c r="I2247" s="143"/>
      <c r="J2247" s="143"/>
      <c r="K2247" s="143"/>
      <c r="L2247" s="143"/>
      <c r="M2247" s="143"/>
      <c r="N2247" s="80" t="s">
        <v>2032</v>
      </c>
      <c r="O2247" s="80" t="s">
        <v>4231</v>
      </c>
      <c r="P2247" s="80" t="s">
        <v>4232</v>
      </c>
      <c r="Y2247" s="2" t="s">
        <v>23</v>
      </c>
    </row>
    <row r="2248" ht="15.75" customHeight="1">
      <c r="B2248" s="48">
        <v>3.582977E7</v>
      </c>
      <c r="C2248" s="80" t="s">
        <v>3911</v>
      </c>
      <c r="D2248" s="140" t="s">
        <v>626</v>
      </c>
      <c r="E2248" s="80" t="s">
        <v>4685</v>
      </c>
      <c r="F2248" s="80">
        <v>265.1478</v>
      </c>
      <c r="G2248" s="142">
        <v>22.904</v>
      </c>
      <c r="H2248" s="143"/>
      <c r="I2248" s="143"/>
      <c r="J2248" s="143"/>
      <c r="K2248" s="143"/>
      <c r="L2248" s="143"/>
      <c r="M2248" s="143"/>
      <c r="N2248" s="80" t="s">
        <v>4686</v>
      </c>
      <c r="O2248" s="80" t="s">
        <v>4687</v>
      </c>
      <c r="P2248" s="80" t="s">
        <v>4688</v>
      </c>
      <c r="Y2248" s="2" t="s">
        <v>23</v>
      </c>
    </row>
    <row r="2249" ht="15.75" customHeight="1">
      <c r="B2249" s="48">
        <v>3.582977E7</v>
      </c>
      <c r="C2249" s="80" t="s">
        <v>3911</v>
      </c>
      <c r="D2249" s="140" t="s">
        <v>626</v>
      </c>
      <c r="E2249" s="80" t="s">
        <v>4689</v>
      </c>
      <c r="F2249" s="80">
        <v>116.03537</v>
      </c>
      <c r="G2249" s="142">
        <v>2.277</v>
      </c>
      <c r="H2249" s="143"/>
      <c r="I2249" s="143"/>
      <c r="J2249" s="143"/>
      <c r="K2249" s="143"/>
      <c r="L2249" s="143"/>
      <c r="M2249" s="143"/>
      <c r="N2249" s="80" t="s">
        <v>2602</v>
      </c>
      <c r="O2249" s="80" t="s">
        <v>4690</v>
      </c>
      <c r="P2249" s="80" t="s">
        <v>4691</v>
      </c>
      <c r="Y2249" s="2" t="s">
        <v>23</v>
      </c>
    </row>
    <row r="2250" ht="15.75" customHeight="1">
      <c r="B2250" s="48">
        <v>3.582977E7</v>
      </c>
      <c r="C2250" s="80" t="s">
        <v>3911</v>
      </c>
      <c r="D2250" s="140" t="s">
        <v>626</v>
      </c>
      <c r="E2250" s="80" t="s">
        <v>4692</v>
      </c>
      <c r="F2250" s="80">
        <v>128.03539</v>
      </c>
      <c r="G2250" s="142">
        <v>2.626</v>
      </c>
      <c r="H2250" s="143"/>
      <c r="I2250" s="143"/>
      <c r="J2250" s="143"/>
      <c r="K2250" s="143"/>
      <c r="L2250" s="143"/>
      <c r="M2250" s="143"/>
      <c r="N2250" s="80" t="s">
        <v>1358</v>
      </c>
      <c r="O2250" s="80" t="s">
        <v>4693</v>
      </c>
      <c r="P2250" s="80" t="s">
        <v>4694</v>
      </c>
      <c r="Y2250" s="2" t="s">
        <v>23</v>
      </c>
    </row>
    <row r="2251" ht="15.75" customHeight="1">
      <c r="B2251" s="48">
        <v>3.582977E7</v>
      </c>
      <c r="C2251" s="80" t="s">
        <v>3911</v>
      </c>
      <c r="D2251" s="140" t="s">
        <v>626</v>
      </c>
      <c r="E2251" s="80" t="s">
        <v>140</v>
      </c>
      <c r="F2251" s="80">
        <v>164.07178</v>
      </c>
      <c r="G2251" s="142">
        <v>5.496</v>
      </c>
      <c r="H2251" s="143"/>
      <c r="I2251" s="143"/>
      <c r="J2251" s="143"/>
      <c r="K2251" s="143"/>
      <c r="L2251" s="143"/>
      <c r="M2251" s="143"/>
      <c r="N2251" s="80" t="s">
        <v>2983</v>
      </c>
      <c r="O2251" s="80" t="s">
        <v>4695</v>
      </c>
      <c r="P2251" s="80" t="s">
        <v>4053</v>
      </c>
      <c r="Y2251" s="2" t="s">
        <v>23</v>
      </c>
    </row>
    <row r="2252" ht="15.75" customHeight="1">
      <c r="B2252" s="48">
        <v>3.582977E7</v>
      </c>
      <c r="C2252" s="80" t="s">
        <v>3911</v>
      </c>
      <c r="D2252" s="140" t="s">
        <v>626</v>
      </c>
      <c r="E2252" s="80" t="s">
        <v>417</v>
      </c>
      <c r="F2252" s="80">
        <v>151.02614</v>
      </c>
      <c r="G2252" s="142">
        <v>2.796</v>
      </c>
      <c r="H2252" s="143"/>
      <c r="I2252" s="143"/>
      <c r="J2252" s="143"/>
      <c r="K2252" s="143"/>
      <c r="L2252" s="143"/>
      <c r="M2252" s="143"/>
      <c r="N2252" s="80" t="s">
        <v>3496</v>
      </c>
      <c r="O2252" s="80" t="s">
        <v>4696</v>
      </c>
      <c r="P2252" s="80" t="s">
        <v>3948</v>
      </c>
      <c r="Y2252" s="2" t="s">
        <v>23</v>
      </c>
    </row>
    <row r="2253" ht="15.75" customHeight="1">
      <c r="B2253" s="48">
        <v>3.582977E7</v>
      </c>
      <c r="C2253" s="80" t="s">
        <v>3911</v>
      </c>
      <c r="D2253" s="140" t="s">
        <v>626</v>
      </c>
      <c r="E2253" s="80" t="s">
        <v>4697</v>
      </c>
      <c r="F2253" s="80">
        <v>195.05095</v>
      </c>
      <c r="G2253" s="142">
        <v>2.055</v>
      </c>
      <c r="H2253" s="143"/>
      <c r="I2253" s="143"/>
      <c r="J2253" s="143"/>
      <c r="K2253" s="143"/>
      <c r="L2253" s="143"/>
      <c r="M2253" s="143"/>
      <c r="N2253" s="80" t="s">
        <v>1968</v>
      </c>
      <c r="O2253" s="80" t="s">
        <v>4698</v>
      </c>
      <c r="P2253" s="80" t="s">
        <v>4699</v>
      </c>
      <c r="Y2253" s="2" t="s">
        <v>23</v>
      </c>
    </row>
    <row r="2254" ht="15.75" customHeight="1">
      <c r="B2254" s="48">
        <v>3.582977E7</v>
      </c>
      <c r="C2254" s="80" t="s">
        <v>3911</v>
      </c>
      <c r="D2254" s="140" t="s">
        <v>626</v>
      </c>
      <c r="E2254" s="80" t="s">
        <v>4700</v>
      </c>
      <c r="F2254" s="80">
        <v>464.30148</v>
      </c>
      <c r="G2254" s="142">
        <v>18.023</v>
      </c>
      <c r="H2254" s="143"/>
      <c r="I2254" s="143"/>
      <c r="J2254" s="143"/>
      <c r="K2254" s="143"/>
      <c r="L2254" s="143"/>
      <c r="M2254" s="143"/>
      <c r="N2254" s="80" t="s">
        <v>2095</v>
      </c>
      <c r="O2254" s="80" t="s">
        <v>4701</v>
      </c>
      <c r="P2254" s="80" t="s">
        <v>4702</v>
      </c>
      <c r="Y2254" s="2" t="s">
        <v>23</v>
      </c>
    </row>
    <row r="2255" ht="15.75" customHeight="1">
      <c r="B2255" s="48">
        <v>3.582977E7</v>
      </c>
      <c r="C2255" s="80" t="s">
        <v>3911</v>
      </c>
      <c r="D2255" s="140" t="s">
        <v>626</v>
      </c>
      <c r="E2255" s="80" t="s">
        <v>380</v>
      </c>
      <c r="F2255" s="80">
        <v>124.00741</v>
      </c>
      <c r="G2255" s="142">
        <v>2.051</v>
      </c>
      <c r="H2255" s="143"/>
      <c r="I2255" s="143"/>
      <c r="J2255" s="143"/>
      <c r="K2255" s="143"/>
      <c r="L2255" s="143"/>
      <c r="M2255" s="143"/>
      <c r="N2255" s="80" t="s">
        <v>3300</v>
      </c>
      <c r="O2255" s="80" t="s">
        <v>4703</v>
      </c>
      <c r="P2255" s="80" t="s">
        <v>4199</v>
      </c>
      <c r="Y2255" s="2" t="s">
        <v>23</v>
      </c>
    </row>
    <row r="2256" ht="15.75" customHeight="1">
      <c r="B2256" s="48">
        <v>3.582977E7</v>
      </c>
      <c r="C2256" s="80" t="s">
        <v>3911</v>
      </c>
      <c r="D2256" s="140" t="s">
        <v>626</v>
      </c>
      <c r="E2256" s="80" t="s">
        <v>4704</v>
      </c>
      <c r="F2256" s="80">
        <v>159.06645</v>
      </c>
      <c r="G2256" s="142">
        <v>11.348</v>
      </c>
      <c r="H2256" s="143"/>
      <c r="I2256" s="143"/>
      <c r="J2256" s="143"/>
      <c r="K2256" s="143"/>
      <c r="L2256" s="143"/>
      <c r="M2256" s="143"/>
      <c r="N2256" s="80" t="s">
        <v>4705</v>
      </c>
      <c r="O2256" s="80" t="s">
        <v>4706</v>
      </c>
      <c r="P2256" s="80" t="s">
        <v>4707</v>
      </c>
      <c r="Y2256" s="2" t="s">
        <v>23</v>
      </c>
    </row>
    <row r="2257" ht="15.75" customHeight="1">
      <c r="B2257" s="48">
        <v>3.582977E7</v>
      </c>
      <c r="C2257" s="80" t="s">
        <v>3911</v>
      </c>
      <c r="D2257" s="140" t="s">
        <v>626</v>
      </c>
      <c r="E2257" s="80" t="s">
        <v>417</v>
      </c>
      <c r="F2257" s="80">
        <v>151.02621</v>
      </c>
      <c r="G2257" s="142">
        <v>2.6</v>
      </c>
      <c r="H2257" s="143"/>
      <c r="I2257" s="143"/>
      <c r="J2257" s="143"/>
      <c r="K2257" s="143"/>
      <c r="L2257" s="143"/>
      <c r="M2257" s="143"/>
      <c r="N2257" s="80" t="s">
        <v>3496</v>
      </c>
      <c r="O2257" s="80" t="s">
        <v>4696</v>
      </c>
      <c r="P2257" s="80" t="s">
        <v>3948</v>
      </c>
      <c r="Y2257" s="2" t="s">
        <v>23</v>
      </c>
    </row>
    <row r="2258" ht="15.75" customHeight="1">
      <c r="B2258" s="48">
        <v>3.582977E7</v>
      </c>
      <c r="C2258" s="80" t="s">
        <v>3911</v>
      </c>
      <c r="D2258" s="140" t="s">
        <v>626</v>
      </c>
      <c r="E2258" s="80" t="s">
        <v>4708</v>
      </c>
      <c r="F2258" s="80">
        <v>239.06738</v>
      </c>
      <c r="G2258" s="142">
        <v>18.688</v>
      </c>
      <c r="H2258" s="143"/>
      <c r="I2258" s="143"/>
      <c r="J2258" s="143"/>
      <c r="K2258" s="143"/>
      <c r="L2258" s="143"/>
      <c r="M2258" s="143"/>
      <c r="N2258" s="80" t="s">
        <v>4709</v>
      </c>
      <c r="O2258" s="80" t="s">
        <v>4710</v>
      </c>
      <c r="P2258" s="80" t="s">
        <v>4711</v>
      </c>
      <c r="Y2258" s="2" t="s">
        <v>23</v>
      </c>
    </row>
    <row r="2259" ht="15.75" customHeight="1">
      <c r="B2259" s="48">
        <v>3.582977E7</v>
      </c>
      <c r="C2259" s="80" t="s">
        <v>3911</v>
      </c>
      <c r="D2259" s="140" t="s">
        <v>626</v>
      </c>
      <c r="E2259" s="80" t="s">
        <v>327</v>
      </c>
      <c r="F2259" s="80">
        <v>179.05757</v>
      </c>
      <c r="G2259" s="142">
        <v>9.407</v>
      </c>
      <c r="H2259" s="143"/>
      <c r="I2259" s="143"/>
      <c r="J2259" s="143"/>
      <c r="K2259" s="143"/>
      <c r="L2259" s="143"/>
      <c r="M2259" s="143"/>
      <c r="N2259" s="80" t="s">
        <v>4066</v>
      </c>
      <c r="O2259" s="80" t="s">
        <v>4712</v>
      </c>
      <c r="P2259" s="80" t="s">
        <v>4087</v>
      </c>
      <c r="Y2259" s="2" t="s">
        <v>23</v>
      </c>
    </row>
    <row r="2260" ht="15.75" customHeight="1">
      <c r="B2260" s="48">
        <v>3.582977E7</v>
      </c>
      <c r="C2260" s="80" t="s">
        <v>3911</v>
      </c>
      <c r="D2260" s="140" t="s">
        <v>626</v>
      </c>
      <c r="E2260" s="80" t="s">
        <v>331</v>
      </c>
      <c r="F2260" s="80">
        <v>137.02449</v>
      </c>
      <c r="G2260" s="142">
        <v>14.27</v>
      </c>
      <c r="H2260" s="143"/>
      <c r="I2260" s="143"/>
      <c r="J2260" s="143"/>
      <c r="K2260" s="143"/>
      <c r="L2260" s="143"/>
      <c r="M2260" s="143"/>
      <c r="N2260" s="80" t="s">
        <v>1240</v>
      </c>
      <c r="O2260" s="80" t="s">
        <v>4157</v>
      </c>
      <c r="P2260" s="80" t="s">
        <v>4158</v>
      </c>
      <c r="Y2260" s="2" t="s">
        <v>23</v>
      </c>
    </row>
    <row r="2261" ht="15.75" customHeight="1">
      <c r="B2261" s="48">
        <v>3.582977E7</v>
      </c>
      <c r="C2261" s="80" t="s">
        <v>3911</v>
      </c>
      <c r="D2261" s="140" t="s">
        <v>626</v>
      </c>
      <c r="E2261" s="80" t="s">
        <v>4713</v>
      </c>
      <c r="F2261" s="80">
        <v>195.05238</v>
      </c>
      <c r="G2261" s="142">
        <v>8.987</v>
      </c>
      <c r="H2261" s="143"/>
      <c r="I2261" s="143"/>
      <c r="J2261" s="143"/>
      <c r="K2261" s="143"/>
      <c r="L2261" s="143"/>
      <c r="M2261" s="143"/>
      <c r="N2261" s="80" t="s">
        <v>4410</v>
      </c>
      <c r="O2261" s="80" t="s">
        <v>4714</v>
      </c>
      <c r="P2261" s="80" t="s">
        <v>4715</v>
      </c>
      <c r="Y2261" s="2" t="s">
        <v>23</v>
      </c>
    </row>
    <row r="2262" ht="15.75" customHeight="1">
      <c r="B2262" s="48">
        <v>3.582977E7</v>
      </c>
      <c r="C2262" s="80" t="s">
        <v>3911</v>
      </c>
      <c r="D2262" s="140" t="s">
        <v>626</v>
      </c>
      <c r="E2262" s="80" t="s">
        <v>4716</v>
      </c>
      <c r="F2262" s="80">
        <v>165.05576</v>
      </c>
      <c r="G2262" s="142">
        <v>12.603</v>
      </c>
      <c r="H2262" s="143"/>
      <c r="I2262" s="143"/>
      <c r="J2262" s="143"/>
      <c r="K2262" s="143"/>
      <c r="L2262" s="143"/>
      <c r="M2262" s="143"/>
      <c r="N2262" s="80" t="s">
        <v>883</v>
      </c>
      <c r="O2262" s="80" t="s">
        <v>4717</v>
      </c>
      <c r="P2262" s="80" t="s">
        <v>4718</v>
      </c>
      <c r="Y2262" s="2" t="s">
        <v>23</v>
      </c>
    </row>
    <row r="2263" ht="15.75" customHeight="1">
      <c r="B2263" s="48">
        <v>3.582977E7</v>
      </c>
      <c r="C2263" s="80" t="s">
        <v>3911</v>
      </c>
      <c r="D2263" s="140" t="s">
        <v>626</v>
      </c>
      <c r="E2263" s="80" t="s">
        <v>4719</v>
      </c>
      <c r="F2263" s="80">
        <v>187.13414</v>
      </c>
      <c r="G2263" s="142">
        <v>15.716</v>
      </c>
      <c r="H2263" s="143"/>
      <c r="I2263" s="143"/>
      <c r="J2263" s="143"/>
      <c r="K2263" s="143"/>
      <c r="L2263" s="143"/>
      <c r="M2263" s="143"/>
      <c r="N2263" s="80" t="s">
        <v>675</v>
      </c>
      <c r="O2263" s="80" t="s">
        <v>4720</v>
      </c>
      <c r="P2263" s="80" t="s">
        <v>4721</v>
      </c>
      <c r="Y2263" s="2" t="s">
        <v>23</v>
      </c>
    </row>
    <row r="2264" ht="15.75" customHeight="1">
      <c r="B2264" s="48">
        <v>3.582977E7</v>
      </c>
      <c r="C2264" s="80" t="s">
        <v>3911</v>
      </c>
      <c r="D2264" s="140" t="s">
        <v>626</v>
      </c>
      <c r="E2264" s="80" t="s">
        <v>4722</v>
      </c>
      <c r="F2264" s="80">
        <v>165.05574</v>
      </c>
      <c r="G2264" s="142">
        <v>12.729</v>
      </c>
      <c r="H2264" s="143"/>
      <c r="I2264" s="143"/>
      <c r="J2264" s="143"/>
      <c r="K2264" s="143"/>
      <c r="L2264" s="143"/>
      <c r="M2264" s="143"/>
      <c r="N2264" s="80" t="s">
        <v>883</v>
      </c>
      <c r="O2264" s="80" t="s">
        <v>4723</v>
      </c>
      <c r="P2264" s="80" t="s">
        <v>4724</v>
      </c>
      <c r="Y2264" s="2" t="s">
        <v>23</v>
      </c>
    </row>
    <row r="2265" ht="15.75" customHeight="1">
      <c r="B2265" s="48">
        <v>3.582977E7</v>
      </c>
      <c r="C2265" s="80" t="s">
        <v>3911</v>
      </c>
      <c r="D2265" s="140" t="s">
        <v>626</v>
      </c>
      <c r="E2265" s="80" t="s">
        <v>4725</v>
      </c>
      <c r="F2265" s="80">
        <v>178.05441</v>
      </c>
      <c r="G2265" s="142">
        <v>9.874</v>
      </c>
      <c r="H2265" s="143"/>
      <c r="I2265" s="143"/>
      <c r="J2265" s="143"/>
      <c r="K2265" s="143"/>
      <c r="L2265" s="143"/>
      <c r="M2265" s="143"/>
      <c r="N2265" s="80" t="s">
        <v>4726</v>
      </c>
      <c r="O2265" s="80" t="s">
        <v>4727</v>
      </c>
      <c r="P2265" s="80" t="s">
        <v>4728</v>
      </c>
      <c r="Y2265" s="2" t="s">
        <v>23</v>
      </c>
    </row>
    <row r="2266" ht="15.75" customHeight="1">
      <c r="B2266" s="48">
        <v>3.582977E7</v>
      </c>
      <c r="C2266" s="80" t="s">
        <v>3911</v>
      </c>
      <c r="D2266" s="140" t="s">
        <v>626</v>
      </c>
      <c r="E2266" s="80" t="s">
        <v>4729</v>
      </c>
      <c r="F2266" s="80">
        <v>173.11842</v>
      </c>
      <c r="G2266" s="142">
        <v>14.666</v>
      </c>
      <c r="H2266" s="143"/>
      <c r="I2266" s="143"/>
      <c r="J2266" s="143"/>
      <c r="K2266" s="143"/>
      <c r="L2266" s="143"/>
      <c r="M2266" s="143"/>
      <c r="N2266" s="80" t="s">
        <v>4730</v>
      </c>
      <c r="O2266" s="80" t="s">
        <v>4731</v>
      </c>
      <c r="P2266" s="80" t="s">
        <v>4732</v>
      </c>
      <c r="Y2266" s="2" t="s">
        <v>23</v>
      </c>
    </row>
    <row r="2267" ht="15.75" customHeight="1">
      <c r="B2267" s="48">
        <v>3.582977E7</v>
      </c>
      <c r="C2267" s="80" t="s">
        <v>3911</v>
      </c>
      <c r="D2267" s="140" t="s">
        <v>626</v>
      </c>
      <c r="E2267" s="80" t="s">
        <v>4733</v>
      </c>
      <c r="F2267" s="80">
        <v>241.14467</v>
      </c>
      <c r="G2267" s="142">
        <v>14.9</v>
      </c>
      <c r="H2267" s="143"/>
      <c r="I2267" s="143"/>
      <c r="J2267" s="143"/>
      <c r="K2267" s="143"/>
      <c r="L2267" s="143"/>
      <c r="M2267" s="143"/>
      <c r="N2267" s="80" t="s">
        <v>4734</v>
      </c>
      <c r="O2267" s="80" t="s">
        <v>4735</v>
      </c>
      <c r="P2267" s="80" t="s">
        <v>4736</v>
      </c>
      <c r="Y2267" s="2" t="s">
        <v>23</v>
      </c>
    </row>
    <row r="2268" ht="15.75" customHeight="1">
      <c r="B2268" s="48">
        <v>3.582977E7</v>
      </c>
      <c r="C2268" s="80" t="s">
        <v>3911</v>
      </c>
      <c r="D2268" s="140" t="s">
        <v>626</v>
      </c>
      <c r="E2268" s="80" t="s">
        <v>4737</v>
      </c>
      <c r="F2268" s="80">
        <v>163.04005</v>
      </c>
      <c r="G2268" s="142">
        <v>11.504</v>
      </c>
      <c r="H2268" s="143"/>
      <c r="I2268" s="143"/>
      <c r="J2268" s="143"/>
      <c r="K2268" s="143"/>
      <c r="L2268" s="143"/>
      <c r="M2268" s="143"/>
      <c r="N2268" s="80" t="s">
        <v>1108</v>
      </c>
      <c r="O2268" s="80" t="s">
        <v>4738</v>
      </c>
      <c r="P2268" s="80" t="s">
        <v>4392</v>
      </c>
      <c r="Y2268" s="2" t="s">
        <v>23</v>
      </c>
    </row>
    <row r="2269" ht="15.75" customHeight="1">
      <c r="B2269" s="48">
        <v>3.582977E7</v>
      </c>
      <c r="C2269" s="80" t="s">
        <v>3911</v>
      </c>
      <c r="D2269" s="140" t="s">
        <v>626</v>
      </c>
      <c r="E2269" s="80" t="s">
        <v>3939</v>
      </c>
      <c r="F2269" s="80">
        <v>150.05603</v>
      </c>
      <c r="G2269" s="142">
        <v>11.894</v>
      </c>
      <c r="H2269" s="143"/>
      <c r="I2269" s="143"/>
      <c r="J2269" s="143"/>
      <c r="K2269" s="143"/>
      <c r="L2269" s="143"/>
      <c r="M2269" s="143"/>
      <c r="N2269" s="80" t="s">
        <v>3940</v>
      </c>
      <c r="O2269" s="80" t="s">
        <v>3941</v>
      </c>
      <c r="P2269" s="80" t="s">
        <v>3942</v>
      </c>
      <c r="Y2269" s="2" t="s">
        <v>23</v>
      </c>
    </row>
    <row r="2270" ht="15.75" customHeight="1">
      <c r="B2270" s="48">
        <v>3.582977E7</v>
      </c>
      <c r="C2270" s="80" t="s">
        <v>3911</v>
      </c>
      <c r="D2270" s="140" t="s">
        <v>626</v>
      </c>
      <c r="E2270" s="80" t="s">
        <v>4739</v>
      </c>
      <c r="F2270" s="80">
        <v>407.28036</v>
      </c>
      <c r="G2270" s="142">
        <v>18.765</v>
      </c>
      <c r="H2270" s="143"/>
      <c r="I2270" s="143"/>
      <c r="J2270" s="143"/>
      <c r="K2270" s="143"/>
      <c r="L2270" s="143"/>
      <c r="M2270" s="143"/>
      <c r="N2270" s="80" t="s">
        <v>1668</v>
      </c>
      <c r="O2270" s="80" t="s">
        <v>4740</v>
      </c>
      <c r="P2270" s="80" t="s">
        <v>4741</v>
      </c>
      <c r="Y2270" s="2" t="s">
        <v>23</v>
      </c>
    </row>
    <row r="2271" ht="15.75" customHeight="1">
      <c r="B2271" s="48">
        <v>3.582977E7</v>
      </c>
      <c r="C2271" s="80" t="s">
        <v>3911</v>
      </c>
      <c r="D2271" s="140" t="s">
        <v>626</v>
      </c>
      <c r="E2271" s="80" t="s">
        <v>4742</v>
      </c>
      <c r="F2271" s="80">
        <v>448.3071</v>
      </c>
      <c r="G2271" s="142">
        <v>18.721</v>
      </c>
      <c r="H2271" s="143"/>
      <c r="I2271" s="143"/>
      <c r="J2271" s="143"/>
      <c r="K2271" s="143"/>
      <c r="L2271" s="143"/>
      <c r="M2271" s="143"/>
      <c r="N2271" s="80" t="s">
        <v>2086</v>
      </c>
      <c r="O2271" s="80" t="s">
        <v>4743</v>
      </c>
      <c r="P2271" s="80" t="s">
        <v>4744</v>
      </c>
      <c r="Y2271" s="2" t="s">
        <v>23</v>
      </c>
    </row>
    <row r="2272" ht="15.75" customHeight="1">
      <c r="B2272" s="48">
        <v>3.582977E7</v>
      </c>
      <c r="C2272" s="80" t="s">
        <v>3911</v>
      </c>
      <c r="D2272" s="140" t="s">
        <v>626</v>
      </c>
      <c r="E2272" s="80" t="s">
        <v>4745</v>
      </c>
      <c r="F2272" s="80">
        <v>131.03508</v>
      </c>
      <c r="G2272" s="142">
        <v>4.498</v>
      </c>
      <c r="H2272" s="143"/>
      <c r="I2272" s="143"/>
      <c r="J2272" s="143"/>
      <c r="K2272" s="143"/>
      <c r="L2272" s="143"/>
      <c r="M2272" s="143"/>
      <c r="N2272" s="80" t="s">
        <v>1843</v>
      </c>
      <c r="O2272" s="144"/>
      <c r="P2272" s="144"/>
      <c r="Q2272" s="143"/>
      <c r="R2272" s="143"/>
      <c r="S2272" s="143"/>
      <c r="Y2272" s="2" t="s">
        <v>23</v>
      </c>
    </row>
    <row r="2273" ht="15.75" customHeight="1">
      <c r="B2273" s="48">
        <v>3.582977E7</v>
      </c>
      <c r="C2273" s="80" t="s">
        <v>3911</v>
      </c>
      <c r="D2273" s="140" t="s">
        <v>626</v>
      </c>
      <c r="E2273" s="80" t="s">
        <v>4746</v>
      </c>
      <c r="F2273" s="80">
        <v>229.14447</v>
      </c>
      <c r="G2273" s="142">
        <v>17.115</v>
      </c>
      <c r="H2273" s="143"/>
      <c r="I2273" s="143"/>
      <c r="J2273" s="143"/>
      <c r="K2273" s="143"/>
      <c r="L2273" s="143"/>
      <c r="M2273" s="143"/>
      <c r="N2273" s="80" t="s">
        <v>4747</v>
      </c>
      <c r="O2273" s="144"/>
      <c r="P2273" s="144"/>
      <c r="Q2273" s="143"/>
      <c r="R2273" s="143"/>
      <c r="S2273" s="143"/>
      <c r="Y2273" s="2" t="s">
        <v>23</v>
      </c>
    </row>
    <row r="2274" ht="15.75" customHeight="1">
      <c r="B2274" s="48">
        <v>3.582977E7</v>
      </c>
      <c r="C2274" s="80" t="s">
        <v>3911</v>
      </c>
      <c r="D2274" s="140" t="s">
        <v>626</v>
      </c>
      <c r="E2274" s="80" t="s">
        <v>4748</v>
      </c>
      <c r="F2274" s="80">
        <v>157.08711</v>
      </c>
      <c r="G2274" s="142">
        <v>12.219</v>
      </c>
      <c r="H2274" s="143"/>
      <c r="I2274" s="143"/>
      <c r="J2274" s="143"/>
      <c r="K2274" s="143"/>
      <c r="L2274" s="143"/>
      <c r="M2274" s="143"/>
      <c r="N2274" s="80" t="s">
        <v>4749</v>
      </c>
      <c r="O2274" s="144"/>
      <c r="P2274" s="144"/>
      <c r="Q2274" s="143"/>
      <c r="R2274" s="143"/>
      <c r="S2274" s="143"/>
      <c r="Y2274" s="2" t="s">
        <v>23</v>
      </c>
    </row>
    <row r="2275" ht="15.75" customHeight="1">
      <c r="B2275" s="48">
        <v>3.582977E7</v>
      </c>
      <c r="C2275" s="80" t="s">
        <v>3911</v>
      </c>
      <c r="D2275" s="140" t="s">
        <v>626</v>
      </c>
      <c r="E2275" s="80" t="s">
        <v>4750</v>
      </c>
      <c r="F2275" s="80">
        <v>175.0976</v>
      </c>
      <c r="G2275" s="142">
        <v>13.65</v>
      </c>
      <c r="H2275" s="143"/>
      <c r="I2275" s="143"/>
      <c r="J2275" s="143"/>
      <c r="K2275" s="143"/>
      <c r="L2275" s="143"/>
      <c r="M2275" s="143"/>
      <c r="N2275" s="80" t="s">
        <v>4751</v>
      </c>
      <c r="O2275" s="144"/>
      <c r="P2275" s="144"/>
      <c r="Q2275" s="143"/>
      <c r="R2275" s="143"/>
      <c r="S2275" s="143"/>
      <c r="Y2275" s="2" t="s">
        <v>23</v>
      </c>
    </row>
    <row r="2276" ht="15.75" customHeight="1">
      <c r="B2276" s="48">
        <v>3.582977E7</v>
      </c>
      <c r="C2276" s="80" t="s">
        <v>3911</v>
      </c>
      <c r="D2276" s="140" t="s">
        <v>626</v>
      </c>
      <c r="E2276" s="80" t="s">
        <v>4745</v>
      </c>
      <c r="F2276" s="80">
        <v>131.03499</v>
      </c>
      <c r="G2276" s="142">
        <v>6.333</v>
      </c>
      <c r="H2276" s="143"/>
      <c r="I2276" s="143"/>
      <c r="J2276" s="143"/>
      <c r="K2276" s="143"/>
      <c r="L2276" s="143"/>
      <c r="M2276" s="143"/>
      <c r="N2276" s="80" t="s">
        <v>1843</v>
      </c>
      <c r="O2276" s="144"/>
      <c r="P2276" s="144"/>
      <c r="Q2276" s="143"/>
      <c r="R2276" s="143"/>
      <c r="S2276" s="143"/>
      <c r="Y2276" s="2" t="s">
        <v>23</v>
      </c>
    </row>
    <row r="2277" ht="15.75" customHeight="1">
      <c r="B2277" s="48">
        <v>3.582977E7</v>
      </c>
      <c r="C2277" s="80" t="s">
        <v>3911</v>
      </c>
      <c r="D2277" s="140" t="s">
        <v>626</v>
      </c>
      <c r="E2277" s="80" t="s">
        <v>4752</v>
      </c>
      <c r="F2277" s="80">
        <v>171.10275</v>
      </c>
      <c r="G2277" s="142">
        <v>13.706</v>
      </c>
      <c r="H2277" s="143"/>
      <c r="I2277" s="143"/>
      <c r="J2277" s="143"/>
      <c r="K2277" s="143"/>
      <c r="L2277" s="143"/>
      <c r="M2277" s="143"/>
      <c r="N2277" s="80" t="s">
        <v>4753</v>
      </c>
      <c r="O2277" s="144"/>
      <c r="P2277" s="144"/>
      <c r="Q2277" s="143"/>
      <c r="R2277" s="143"/>
      <c r="S2277" s="143"/>
      <c r="Y2277" s="2" t="s">
        <v>23</v>
      </c>
    </row>
    <row r="2278" ht="15.75" customHeight="1">
      <c r="B2278" s="48">
        <v>3.582977E7</v>
      </c>
      <c r="C2278" s="80" t="s">
        <v>4177</v>
      </c>
      <c r="D2278" s="140" t="s">
        <v>626</v>
      </c>
      <c r="E2278" s="80" t="s">
        <v>4754</v>
      </c>
      <c r="F2278" s="80">
        <v>227.20152</v>
      </c>
      <c r="G2278" s="142">
        <v>1.658</v>
      </c>
      <c r="H2278" s="143"/>
      <c r="I2278" s="143"/>
      <c r="J2278" s="143"/>
      <c r="K2278" s="143"/>
      <c r="L2278" s="143"/>
      <c r="M2278" s="143"/>
      <c r="N2278" s="80" t="s">
        <v>3813</v>
      </c>
      <c r="O2278" s="80" t="s">
        <v>4755</v>
      </c>
      <c r="P2278" s="80" t="s">
        <v>4756</v>
      </c>
      <c r="Y2278" s="2" t="s">
        <v>23</v>
      </c>
    </row>
    <row r="2279" ht="15.75" customHeight="1">
      <c r="B2279" s="48">
        <v>3.582977E7</v>
      </c>
      <c r="C2279" s="80" t="s">
        <v>4177</v>
      </c>
      <c r="D2279" s="140" t="s">
        <v>626</v>
      </c>
      <c r="E2279" s="80" t="s">
        <v>4757</v>
      </c>
      <c r="F2279" s="80">
        <v>241.21692</v>
      </c>
      <c r="G2279" s="142">
        <v>1.631</v>
      </c>
      <c r="H2279" s="143"/>
      <c r="I2279" s="143"/>
      <c r="J2279" s="143"/>
      <c r="K2279" s="143"/>
      <c r="L2279" s="143"/>
      <c r="M2279" s="143"/>
      <c r="N2279" s="80" t="s">
        <v>4758</v>
      </c>
      <c r="O2279" s="80" t="s">
        <v>4759</v>
      </c>
      <c r="P2279" s="80" t="s">
        <v>4760</v>
      </c>
      <c r="Y2279" s="2" t="s">
        <v>23</v>
      </c>
    </row>
    <row r="2280" ht="15.75" customHeight="1">
      <c r="B2280" s="48">
        <v>3.582977E7</v>
      </c>
      <c r="C2280" s="80" t="s">
        <v>4177</v>
      </c>
      <c r="D2280" s="140" t="s">
        <v>626</v>
      </c>
      <c r="E2280" s="80" t="s">
        <v>4761</v>
      </c>
      <c r="F2280" s="80">
        <v>255.23282</v>
      </c>
      <c r="G2280" s="142">
        <v>1.618</v>
      </c>
      <c r="H2280" s="143"/>
      <c r="I2280" s="143"/>
      <c r="J2280" s="143"/>
      <c r="K2280" s="143"/>
      <c r="L2280" s="143"/>
      <c r="M2280" s="143"/>
      <c r="N2280" s="80" t="s">
        <v>632</v>
      </c>
      <c r="O2280" s="80" t="s">
        <v>4762</v>
      </c>
      <c r="P2280" s="80" t="s">
        <v>4763</v>
      </c>
      <c r="Y2280" s="2" t="s">
        <v>23</v>
      </c>
    </row>
    <row r="2281" ht="15.75" customHeight="1">
      <c r="B2281" s="48">
        <v>3.582977E7</v>
      </c>
      <c r="C2281" s="80" t="s">
        <v>4177</v>
      </c>
      <c r="D2281" s="140" t="s">
        <v>626</v>
      </c>
      <c r="E2281" s="80" t="s">
        <v>3545</v>
      </c>
      <c r="F2281" s="80">
        <v>281.24841</v>
      </c>
      <c r="G2281" s="142">
        <v>1.588</v>
      </c>
      <c r="H2281" s="143"/>
      <c r="I2281" s="143"/>
      <c r="J2281" s="143"/>
      <c r="K2281" s="143"/>
      <c r="L2281" s="143"/>
      <c r="M2281" s="143"/>
      <c r="N2281" s="80" t="s">
        <v>4764</v>
      </c>
      <c r="O2281" s="80" t="s">
        <v>4765</v>
      </c>
      <c r="P2281" s="80" t="s">
        <v>4766</v>
      </c>
      <c r="Y2281" s="2" t="s">
        <v>23</v>
      </c>
    </row>
    <row r="2282" ht="15.75" customHeight="1">
      <c r="B2282" s="48">
        <v>3.582977E7</v>
      </c>
      <c r="C2282" s="80" t="s">
        <v>3911</v>
      </c>
      <c r="D2282" s="140" t="s">
        <v>626</v>
      </c>
      <c r="E2282" s="80" t="s">
        <v>417</v>
      </c>
      <c r="F2282" s="80">
        <v>151.0261347</v>
      </c>
      <c r="G2282" s="142">
        <v>2.596885935</v>
      </c>
      <c r="H2282" s="143"/>
      <c r="I2282" s="143"/>
      <c r="J2282" s="143"/>
      <c r="K2282" s="143"/>
      <c r="L2282" s="143"/>
      <c r="M2282" s="143"/>
      <c r="N2282" s="80" t="s">
        <v>3496</v>
      </c>
      <c r="O2282" s="80" t="s">
        <v>4767</v>
      </c>
      <c r="P2282" s="80" t="s">
        <v>3948</v>
      </c>
      <c r="Y2282" s="2" t="s">
        <v>23</v>
      </c>
    </row>
    <row r="2283" ht="15.75" customHeight="1">
      <c r="B2283" s="48">
        <v>3.582977E7</v>
      </c>
      <c r="C2283" s="80" t="s">
        <v>3911</v>
      </c>
      <c r="D2283" s="140" t="s">
        <v>626</v>
      </c>
      <c r="E2283" s="80" t="s">
        <v>417</v>
      </c>
      <c r="F2283" s="80">
        <v>151.0261347</v>
      </c>
      <c r="G2283" s="142">
        <v>2.596885935</v>
      </c>
      <c r="H2283" s="143"/>
      <c r="I2283" s="143"/>
      <c r="J2283" s="143"/>
      <c r="K2283" s="143"/>
      <c r="L2283" s="143"/>
      <c r="M2283" s="143"/>
      <c r="N2283" s="80" t="s">
        <v>3496</v>
      </c>
      <c r="O2283" s="80" t="s">
        <v>4767</v>
      </c>
      <c r="P2283" s="80" t="s">
        <v>3948</v>
      </c>
      <c r="Y2283" s="2" t="s">
        <v>23</v>
      </c>
    </row>
    <row r="2284" ht="15.75" customHeight="1">
      <c r="B2284" s="48">
        <v>3.582977E7</v>
      </c>
      <c r="C2284" s="80" t="s">
        <v>3911</v>
      </c>
      <c r="D2284" s="140" t="s">
        <v>626</v>
      </c>
      <c r="E2284" s="80" t="s">
        <v>315</v>
      </c>
      <c r="F2284" s="80">
        <v>165.0417219</v>
      </c>
      <c r="G2284" s="142">
        <v>4.09084905</v>
      </c>
      <c r="H2284" s="143"/>
      <c r="I2284" s="143"/>
      <c r="J2284" s="143"/>
      <c r="K2284" s="143"/>
      <c r="L2284" s="143"/>
      <c r="M2284" s="143"/>
      <c r="N2284" s="80" t="s">
        <v>775</v>
      </c>
      <c r="O2284" s="80" t="s">
        <v>4340</v>
      </c>
      <c r="P2284" s="80" t="s">
        <v>4005</v>
      </c>
      <c r="Y2284" s="2" t="s">
        <v>23</v>
      </c>
    </row>
    <row r="2285" ht="15.75" customHeight="1">
      <c r="B2285" s="48">
        <v>3.582977E7</v>
      </c>
      <c r="C2285" s="80" t="s">
        <v>3911</v>
      </c>
      <c r="D2285" s="140" t="s">
        <v>626</v>
      </c>
      <c r="E2285" s="80" t="s">
        <v>333</v>
      </c>
      <c r="F2285" s="80">
        <v>167.0349174</v>
      </c>
      <c r="G2285" s="142">
        <v>13.30794881</v>
      </c>
      <c r="H2285" s="143"/>
      <c r="I2285" s="143"/>
      <c r="J2285" s="143"/>
      <c r="K2285" s="143"/>
      <c r="L2285" s="143"/>
      <c r="M2285" s="143"/>
      <c r="N2285" s="80" t="s">
        <v>1069</v>
      </c>
      <c r="O2285" s="80" t="s">
        <v>4768</v>
      </c>
      <c r="P2285" s="80" t="s">
        <v>4769</v>
      </c>
      <c r="Y2285" s="2" t="s">
        <v>23</v>
      </c>
    </row>
    <row r="2286" ht="15.75" customHeight="1">
      <c r="B2286" s="48">
        <v>3.582977E7</v>
      </c>
      <c r="C2286" s="80" t="s">
        <v>3911</v>
      </c>
      <c r="D2286" s="140" t="s">
        <v>626</v>
      </c>
      <c r="E2286" s="80" t="s">
        <v>4770</v>
      </c>
      <c r="F2286" s="80">
        <v>212.0023221</v>
      </c>
      <c r="G2286" s="142">
        <v>9.40136617</v>
      </c>
      <c r="H2286" s="143"/>
      <c r="I2286" s="143"/>
      <c r="J2286" s="143"/>
      <c r="K2286" s="143"/>
      <c r="L2286" s="143"/>
      <c r="M2286" s="143"/>
      <c r="N2286" s="80" t="s">
        <v>1173</v>
      </c>
      <c r="O2286" s="80" t="s">
        <v>4771</v>
      </c>
      <c r="P2286" s="80" t="s">
        <v>4772</v>
      </c>
      <c r="Y2286" s="2" t="s">
        <v>23</v>
      </c>
    </row>
    <row r="2287" ht="15.75" customHeight="1">
      <c r="B2287" s="48">
        <v>3.582977E7</v>
      </c>
      <c r="C2287" s="80" t="s">
        <v>3911</v>
      </c>
      <c r="D2287" s="140" t="s">
        <v>626</v>
      </c>
      <c r="E2287" s="80" t="s">
        <v>4114</v>
      </c>
      <c r="F2287" s="80">
        <v>305.0966163</v>
      </c>
      <c r="G2287" s="142">
        <v>12.65466817</v>
      </c>
      <c r="H2287" s="143"/>
      <c r="I2287" s="143"/>
      <c r="J2287" s="143"/>
      <c r="K2287" s="143"/>
      <c r="L2287" s="143"/>
      <c r="M2287" s="143"/>
      <c r="N2287" s="80" t="s">
        <v>4115</v>
      </c>
      <c r="O2287" s="80" t="s">
        <v>4363</v>
      </c>
      <c r="P2287" s="80" t="s">
        <v>4117</v>
      </c>
      <c r="Y2287" s="2" t="s">
        <v>23</v>
      </c>
    </row>
    <row r="2288" ht="15.75" customHeight="1">
      <c r="B2288" s="48">
        <v>3.582977E7</v>
      </c>
      <c r="C2288" s="80" t="s">
        <v>3911</v>
      </c>
      <c r="D2288" s="140" t="s">
        <v>626</v>
      </c>
      <c r="E2288" s="80" t="s">
        <v>333</v>
      </c>
      <c r="F2288" s="80">
        <v>167.0349174</v>
      </c>
      <c r="G2288" s="142">
        <v>13.30794881</v>
      </c>
      <c r="H2288" s="143"/>
      <c r="I2288" s="143"/>
      <c r="J2288" s="143"/>
      <c r="K2288" s="143"/>
      <c r="L2288" s="143"/>
      <c r="M2288" s="143"/>
      <c r="N2288" s="80" t="s">
        <v>1069</v>
      </c>
      <c r="O2288" s="80" t="s">
        <v>4768</v>
      </c>
      <c r="P2288" s="80" t="s">
        <v>4769</v>
      </c>
      <c r="Y2288" s="2" t="s">
        <v>23</v>
      </c>
    </row>
    <row r="2289" ht="15.75" customHeight="1">
      <c r="B2289" s="48">
        <v>3.582977E7</v>
      </c>
      <c r="C2289" s="80" t="s">
        <v>3911</v>
      </c>
      <c r="D2289" s="140" t="s">
        <v>626</v>
      </c>
      <c r="E2289" s="80" t="s">
        <v>4770</v>
      </c>
      <c r="F2289" s="80">
        <v>212.0023221</v>
      </c>
      <c r="G2289" s="142">
        <v>9.40136617</v>
      </c>
      <c r="H2289" s="143"/>
      <c r="I2289" s="143"/>
      <c r="J2289" s="143"/>
      <c r="K2289" s="143"/>
      <c r="L2289" s="143"/>
      <c r="M2289" s="143"/>
      <c r="N2289" s="80" t="s">
        <v>1173</v>
      </c>
      <c r="O2289" s="80" t="s">
        <v>4771</v>
      </c>
      <c r="P2289" s="80" t="s">
        <v>4772</v>
      </c>
      <c r="Y2289" s="2" t="s">
        <v>23</v>
      </c>
    </row>
    <row r="2290" ht="15.75" customHeight="1">
      <c r="B2290" s="48">
        <v>3.582977E7</v>
      </c>
      <c r="C2290" s="80" t="s">
        <v>3911</v>
      </c>
      <c r="D2290" s="140" t="s">
        <v>626</v>
      </c>
      <c r="E2290" s="80" t="s">
        <v>4114</v>
      </c>
      <c r="F2290" s="80">
        <v>305.0966163</v>
      </c>
      <c r="G2290" s="142">
        <v>12.65466817</v>
      </c>
      <c r="H2290" s="143"/>
      <c r="I2290" s="143"/>
      <c r="J2290" s="143"/>
      <c r="K2290" s="143"/>
      <c r="L2290" s="143"/>
      <c r="M2290" s="143"/>
      <c r="N2290" s="80" t="s">
        <v>4115</v>
      </c>
      <c r="O2290" s="80" t="s">
        <v>4363</v>
      </c>
      <c r="P2290" s="80" t="s">
        <v>4117</v>
      </c>
      <c r="Y2290" s="2" t="s">
        <v>23</v>
      </c>
    </row>
    <row r="2291" ht="15.75" customHeight="1">
      <c r="B2291" s="48">
        <v>3.582977E7</v>
      </c>
      <c r="C2291" s="80" t="s">
        <v>3911</v>
      </c>
      <c r="D2291" s="140" t="s">
        <v>626</v>
      </c>
      <c r="E2291" s="80" t="s">
        <v>417</v>
      </c>
      <c r="F2291" s="80">
        <v>151.0261347</v>
      </c>
      <c r="G2291" s="142">
        <v>2.596885935</v>
      </c>
      <c r="H2291" s="143"/>
      <c r="I2291" s="143"/>
      <c r="J2291" s="143"/>
      <c r="K2291" s="143"/>
      <c r="L2291" s="143"/>
      <c r="M2291" s="143"/>
      <c r="N2291" s="80" t="s">
        <v>3496</v>
      </c>
      <c r="O2291" s="145" t="s">
        <v>4767</v>
      </c>
      <c r="P2291" s="80" t="s">
        <v>3948</v>
      </c>
      <c r="Y2291" s="2" t="s">
        <v>23</v>
      </c>
    </row>
    <row r="2292" ht="15.75" customHeight="1">
      <c r="B2292" s="48">
        <v>3.582977E7</v>
      </c>
      <c r="C2292" s="80" t="s">
        <v>3911</v>
      </c>
      <c r="D2292" s="140" t="s">
        <v>626</v>
      </c>
      <c r="E2292" s="80" t="s">
        <v>315</v>
      </c>
      <c r="F2292" s="80">
        <v>165.0417219</v>
      </c>
      <c r="G2292" s="142">
        <v>4.09084905</v>
      </c>
      <c r="H2292" s="143"/>
      <c r="I2292" s="143"/>
      <c r="J2292" s="143"/>
      <c r="K2292" s="143"/>
      <c r="L2292" s="143"/>
      <c r="M2292" s="143"/>
      <c r="N2292" s="80" t="s">
        <v>775</v>
      </c>
      <c r="O2292" s="145" t="s">
        <v>4340</v>
      </c>
      <c r="P2292" s="80" t="s">
        <v>4005</v>
      </c>
      <c r="Y2292" s="2" t="s">
        <v>23</v>
      </c>
    </row>
    <row r="2293" ht="15.75" customHeight="1">
      <c r="B2293" s="48">
        <v>3.582977E7</v>
      </c>
      <c r="C2293" s="80" t="s">
        <v>3911</v>
      </c>
      <c r="D2293" s="140" t="s">
        <v>626</v>
      </c>
      <c r="E2293" s="80" t="s">
        <v>3953</v>
      </c>
      <c r="F2293" s="80">
        <v>151.0261347</v>
      </c>
      <c r="G2293" s="142">
        <v>2.596885935</v>
      </c>
      <c r="H2293" s="143"/>
      <c r="I2293" s="143"/>
      <c r="J2293" s="143"/>
      <c r="K2293" s="143"/>
      <c r="L2293" s="143"/>
      <c r="M2293" s="143"/>
      <c r="N2293" s="80" t="s">
        <v>3496</v>
      </c>
      <c r="O2293" s="80" t="s">
        <v>4386</v>
      </c>
      <c r="P2293" s="80" t="s">
        <v>3955</v>
      </c>
      <c r="Y2293" s="2" t="s">
        <v>23</v>
      </c>
    </row>
    <row r="2294" ht="15.75" customHeight="1">
      <c r="B2294" s="48">
        <v>3.582977E7</v>
      </c>
      <c r="C2294" s="80" t="s">
        <v>3911</v>
      </c>
      <c r="D2294" s="140" t="s">
        <v>626</v>
      </c>
      <c r="E2294" s="80" t="s">
        <v>315</v>
      </c>
      <c r="F2294" s="80">
        <v>165.0417219</v>
      </c>
      <c r="G2294" s="142">
        <v>4.09084905</v>
      </c>
      <c r="H2294" s="143"/>
      <c r="I2294" s="143"/>
      <c r="J2294" s="143"/>
      <c r="K2294" s="143"/>
      <c r="L2294" s="143"/>
      <c r="M2294" s="143"/>
      <c r="N2294" s="80" t="s">
        <v>775</v>
      </c>
      <c r="O2294" s="80" t="s">
        <v>4340</v>
      </c>
      <c r="P2294" s="80" t="s">
        <v>4005</v>
      </c>
      <c r="Y2294" s="2" t="s">
        <v>23</v>
      </c>
    </row>
    <row r="2295" ht="15.75" customHeight="1">
      <c r="B2295" s="48">
        <v>3.582977E7</v>
      </c>
      <c r="C2295" s="80" t="s">
        <v>3911</v>
      </c>
      <c r="D2295" s="140" t="s">
        <v>626</v>
      </c>
      <c r="E2295" s="80" t="s">
        <v>333</v>
      </c>
      <c r="F2295" s="80">
        <v>167.0349174</v>
      </c>
      <c r="G2295" s="142">
        <v>13.30794881</v>
      </c>
      <c r="H2295" s="143"/>
      <c r="I2295" s="143"/>
      <c r="J2295" s="143"/>
      <c r="K2295" s="143"/>
      <c r="L2295" s="143"/>
      <c r="M2295" s="143"/>
      <c r="N2295" s="80" t="s">
        <v>1069</v>
      </c>
      <c r="O2295" s="80" t="s">
        <v>4768</v>
      </c>
      <c r="P2295" s="80" t="s">
        <v>4769</v>
      </c>
      <c r="Y2295" s="2" t="s">
        <v>23</v>
      </c>
    </row>
    <row r="2296" ht="15.75" customHeight="1">
      <c r="B2296" s="48">
        <v>3.582977E7</v>
      </c>
      <c r="C2296" s="80" t="s">
        <v>3911</v>
      </c>
      <c r="D2296" s="140" t="s">
        <v>626</v>
      </c>
      <c r="E2296" s="80" t="s">
        <v>4770</v>
      </c>
      <c r="F2296" s="80">
        <v>212.0023221</v>
      </c>
      <c r="G2296" s="142">
        <v>9.40136617</v>
      </c>
      <c r="H2296" s="143"/>
      <c r="I2296" s="143"/>
      <c r="J2296" s="143"/>
      <c r="K2296" s="143"/>
      <c r="L2296" s="143"/>
      <c r="M2296" s="143"/>
      <c r="N2296" s="80" t="s">
        <v>1173</v>
      </c>
      <c r="O2296" s="80" t="s">
        <v>4771</v>
      </c>
      <c r="P2296" s="80" t="s">
        <v>4772</v>
      </c>
      <c r="Y2296" s="2" t="s">
        <v>23</v>
      </c>
    </row>
    <row r="2297" ht="15.75" customHeight="1">
      <c r="B2297" s="48">
        <v>3.582977E7</v>
      </c>
      <c r="C2297" s="80" t="s">
        <v>3911</v>
      </c>
      <c r="D2297" s="140" t="s">
        <v>626</v>
      </c>
      <c r="E2297" s="80" t="s">
        <v>4114</v>
      </c>
      <c r="F2297" s="80">
        <v>305.0966163</v>
      </c>
      <c r="G2297" s="142">
        <v>12.65466817</v>
      </c>
      <c r="H2297" s="143"/>
      <c r="I2297" s="143"/>
      <c r="J2297" s="143"/>
      <c r="K2297" s="143"/>
      <c r="L2297" s="143"/>
      <c r="M2297" s="143"/>
      <c r="N2297" s="80" t="s">
        <v>4115</v>
      </c>
      <c r="O2297" s="80" t="s">
        <v>4363</v>
      </c>
      <c r="P2297" s="80" t="s">
        <v>4117</v>
      </c>
      <c r="Y2297" s="2" t="s">
        <v>23</v>
      </c>
    </row>
    <row r="2298" ht="15.75" customHeight="1">
      <c r="B2298" s="48">
        <v>3.582977E7</v>
      </c>
      <c r="C2298" s="80" t="s">
        <v>3911</v>
      </c>
      <c r="D2298" s="140" t="s">
        <v>626</v>
      </c>
      <c r="E2298" s="80" t="s">
        <v>3495</v>
      </c>
      <c r="F2298" s="80">
        <v>151.0261347</v>
      </c>
      <c r="G2298" s="142">
        <v>2.596885935</v>
      </c>
      <c r="H2298" s="143"/>
      <c r="I2298" s="143"/>
      <c r="J2298" s="143"/>
      <c r="K2298" s="143"/>
      <c r="L2298" s="143"/>
      <c r="M2298" s="143"/>
      <c r="N2298" s="80" t="s">
        <v>3496</v>
      </c>
      <c r="O2298" s="80" t="s">
        <v>4767</v>
      </c>
      <c r="P2298" s="80" t="s">
        <v>3948</v>
      </c>
      <c r="Y2298" s="2" t="s">
        <v>23</v>
      </c>
    </row>
    <row r="2299" ht="15.75" customHeight="1">
      <c r="B2299" s="48">
        <v>3.582977E7</v>
      </c>
      <c r="C2299" s="80" t="s">
        <v>3911</v>
      </c>
      <c r="D2299" s="140" t="s">
        <v>626</v>
      </c>
      <c r="E2299" s="80" t="s">
        <v>315</v>
      </c>
      <c r="F2299" s="80">
        <v>165.0417219</v>
      </c>
      <c r="G2299" s="142">
        <v>4.09084905</v>
      </c>
      <c r="H2299" s="143"/>
      <c r="I2299" s="143"/>
      <c r="J2299" s="143"/>
      <c r="K2299" s="143"/>
      <c r="L2299" s="143"/>
      <c r="M2299" s="143"/>
      <c r="N2299" s="80" t="s">
        <v>775</v>
      </c>
      <c r="O2299" s="80" t="s">
        <v>4340</v>
      </c>
      <c r="P2299" s="80" t="s">
        <v>4005</v>
      </c>
      <c r="Y2299" s="2" t="s">
        <v>23</v>
      </c>
    </row>
    <row r="2300" ht="15.75" customHeight="1">
      <c r="B2300" s="48">
        <v>3.582977E7</v>
      </c>
      <c r="C2300" s="80" t="s">
        <v>3911</v>
      </c>
      <c r="D2300" s="140" t="s">
        <v>626</v>
      </c>
      <c r="E2300" s="80" t="s">
        <v>333</v>
      </c>
      <c r="F2300" s="80">
        <v>167.0349174</v>
      </c>
      <c r="G2300" s="142">
        <v>13.30794881</v>
      </c>
      <c r="H2300" s="143"/>
      <c r="I2300" s="143"/>
      <c r="J2300" s="143"/>
      <c r="K2300" s="143"/>
      <c r="L2300" s="143"/>
      <c r="M2300" s="143"/>
      <c r="N2300" s="80" t="s">
        <v>1069</v>
      </c>
      <c r="O2300" s="80" t="s">
        <v>4768</v>
      </c>
      <c r="P2300" s="80" t="s">
        <v>4769</v>
      </c>
      <c r="Y2300" s="2" t="s">
        <v>23</v>
      </c>
    </row>
    <row r="2301" ht="15.75" customHeight="1">
      <c r="B2301" s="48">
        <v>3.582977E7</v>
      </c>
      <c r="C2301" s="80" t="s">
        <v>3911</v>
      </c>
      <c r="D2301" s="140" t="s">
        <v>626</v>
      </c>
      <c r="E2301" s="80" t="s">
        <v>4770</v>
      </c>
      <c r="F2301" s="80">
        <v>212.0023221</v>
      </c>
      <c r="G2301" s="142">
        <v>9.40136617</v>
      </c>
      <c r="H2301" s="143"/>
      <c r="I2301" s="143"/>
      <c r="J2301" s="143"/>
      <c r="K2301" s="143"/>
      <c r="L2301" s="143"/>
      <c r="M2301" s="143"/>
      <c r="N2301" s="80" t="s">
        <v>1173</v>
      </c>
      <c r="O2301" s="80" t="s">
        <v>4771</v>
      </c>
      <c r="P2301" s="80" t="s">
        <v>4772</v>
      </c>
      <c r="Y2301" s="2" t="s">
        <v>23</v>
      </c>
    </row>
    <row r="2302" ht="15.75" customHeight="1">
      <c r="B2302" s="48">
        <v>3.582977E7</v>
      </c>
      <c r="C2302" s="80" t="s">
        <v>3911</v>
      </c>
      <c r="D2302" s="140" t="s">
        <v>626</v>
      </c>
      <c r="E2302" s="80" t="s">
        <v>4433</v>
      </c>
      <c r="F2302" s="80">
        <v>305.0966163</v>
      </c>
      <c r="G2302" s="142">
        <v>12.65466817</v>
      </c>
      <c r="H2302" s="143"/>
      <c r="I2302" s="143"/>
      <c r="J2302" s="143"/>
      <c r="K2302" s="143"/>
      <c r="L2302" s="143"/>
      <c r="M2302" s="143"/>
      <c r="N2302" s="80" t="s">
        <v>4115</v>
      </c>
      <c r="O2302" s="80" t="s">
        <v>4363</v>
      </c>
      <c r="P2302" s="80" t="s">
        <v>4117</v>
      </c>
      <c r="Y2302" s="2" t="s">
        <v>23</v>
      </c>
    </row>
    <row r="2303" ht="15.75" customHeight="1">
      <c r="B2303" s="48">
        <v>3.582977E7</v>
      </c>
      <c r="C2303" s="80" t="s">
        <v>3911</v>
      </c>
      <c r="D2303" s="140" t="s">
        <v>626</v>
      </c>
      <c r="E2303" s="80" t="s">
        <v>3535</v>
      </c>
      <c r="F2303" s="80">
        <v>89.02443401</v>
      </c>
      <c r="G2303" s="142">
        <v>1.895587921</v>
      </c>
      <c r="H2303" s="143"/>
      <c r="I2303" s="143"/>
      <c r="J2303" s="143"/>
      <c r="K2303" s="143"/>
      <c r="L2303" s="143"/>
      <c r="M2303" s="143"/>
      <c r="N2303" s="80" t="s">
        <v>1145</v>
      </c>
      <c r="O2303" s="80" t="s">
        <v>4773</v>
      </c>
      <c r="P2303" s="80" t="s">
        <v>4774</v>
      </c>
      <c r="Y2303" s="2" t="s">
        <v>23</v>
      </c>
    </row>
    <row r="2304" ht="15.75" customHeight="1">
      <c r="B2304" s="48">
        <v>3.582977E7</v>
      </c>
      <c r="C2304" s="80" t="s">
        <v>3911</v>
      </c>
      <c r="D2304" s="140" t="s">
        <v>626</v>
      </c>
      <c r="E2304" s="80" t="s">
        <v>4775</v>
      </c>
      <c r="F2304" s="80">
        <v>206.0821574</v>
      </c>
      <c r="G2304" s="142">
        <v>12.88006388</v>
      </c>
      <c r="H2304" s="143"/>
      <c r="I2304" s="143"/>
      <c r="J2304" s="143"/>
      <c r="K2304" s="143"/>
      <c r="L2304" s="143"/>
      <c r="M2304" s="143"/>
      <c r="N2304" s="80" t="s">
        <v>2648</v>
      </c>
      <c r="O2304" s="80" t="s">
        <v>4776</v>
      </c>
      <c r="P2304" s="80" t="s">
        <v>4777</v>
      </c>
      <c r="Y2304" s="2" t="s">
        <v>23</v>
      </c>
    </row>
    <row r="2305" ht="15.75" customHeight="1">
      <c r="B2305" s="48">
        <v>3.582977E7</v>
      </c>
      <c r="C2305" s="80" t="s">
        <v>3911</v>
      </c>
      <c r="D2305" s="140" t="s">
        <v>626</v>
      </c>
      <c r="E2305" s="80" t="s">
        <v>4778</v>
      </c>
      <c r="F2305" s="80">
        <v>407.280259</v>
      </c>
      <c r="G2305" s="142">
        <v>18.78673299</v>
      </c>
      <c r="H2305" s="143"/>
      <c r="I2305" s="143"/>
      <c r="J2305" s="143"/>
      <c r="K2305" s="143"/>
      <c r="L2305" s="143"/>
      <c r="M2305" s="143"/>
      <c r="N2305" s="80" t="s">
        <v>1668</v>
      </c>
      <c r="O2305" s="80" t="s">
        <v>4779</v>
      </c>
      <c r="P2305" s="80" t="s">
        <v>4780</v>
      </c>
      <c r="Y2305" s="2" t="s">
        <v>23</v>
      </c>
    </row>
    <row r="2306" ht="15.75" customHeight="1">
      <c r="B2306" s="48">
        <v>3.582977E7</v>
      </c>
      <c r="C2306" s="80" t="s">
        <v>3911</v>
      </c>
      <c r="D2306" s="140" t="s">
        <v>626</v>
      </c>
      <c r="E2306" s="146"/>
      <c r="F2306" s="80">
        <v>298.129476</v>
      </c>
      <c r="G2306" s="142">
        <v>16.03009949</v>
      </c>
      <c r="H2306" s="143"/>
      <c r="I2306" s="143"/>
      <c r="J2306" s="143"/>
      <c r="K2306" s="143"/>
      <c r="L2306" s="143"/>
      <c r="M2306" s="143"/>
      <c r="N2306" s="144"/>
      <c r="O2306" s="144"/>
      <c r="P2306" s="144"/>
      <c r="Q2306" s="143"/>
      <c r="R2306" s="143"/>
      <c r="S2306" s="143"/>
      <c r="Y2306" s="2" t="s">
        <v>23</v>
      </c>
    </row>
    <row r="2307" ht="15.75" customHeight="1">
      <c r="B2307" s="48">
        <v>3.582977E7</v>
      </c>
      <c r="C2307" s="80" t="s">
        <v>3911</v>
      </c>
      <c r="D2307" s="140" t="s">
        <v>626</v>
      </c>
      <c r="E2307" s="146"/>
      <c r="F2307" s="80">
        <v>382.1588313</v>
      </c>
      <c r="G2307" s="142">
        <v>17.2586853</v>
      </c>
      <c r="H2307" s="143"/>
      <c r="I2307" s="143"/>
      <c r="J2307" s="143"/>
      <c r="K2307" s="143"/>
      <c r="L2307" s="143"/>
      <c r="M2307" s="143"/>
      <c r="N2307" s="144"/>
      <c r="O2307" s="144"/>
      <c r="P2307" s="144"/>
      <c r="Q2307" s="143"/>
      <c r="R2307" s="143"/>
      <c r="S2307" s="143"/>
      <c r="Y2307" s="2" t="s">
        <v>23</v>
      </c>
    </row>
    <row r="2308" ht="15.75" customHeight="1">
      <c r="B2308" s="48">
        <v>3.582977E7</v>
      </c>
      <c r="C2308" s="80" t="s">
        <v>3911</v>
      </c>
      <c r="D2308" s="140" t="s">
        <v>626</v>
      </c>
      <c r="E2308" s="146"/>
      <c r="F2308" s="80">
        <v>196.0556448</v>
      </c>
      <c r="G2308" s="142">
        <v>8.998399862</v>
      </c>
      <c r="H2308" s="143"/>
      <c r="I2308" s="143"/>
      <c r="J2308" s="143"/>
      <c r="K2308" s="143"/>
      <c r="L2308" s="143"/>
      <c r="M2308" s="143"/>
      <c r="N2308" s="144"/>
      <c r="O2308" s="144"/>
      <c r="P2308" s="144"/>
      <c r="Q2308" s="143"/>
      <c r="R2308" s="143"/>
      <c r="S2308" s="143"/>
      <c r="Y2308" s="2" t="s">
        <v>23</v>
      </c>
    </row>
    <row r="2309" ht="15.75" customHeight="1">
      <c r="B2309" s="48">
        <v>3.582977E7</v>
      </c>
      <c r="C2309" s="80" t="s">
        <v>3911</v>
      </c>
      <c r="D2309" s="140" t="s">
        <v>626</v>
      </c>
      <c r="E2309" s="146"/>
      <c r="F2309" s="80">
        <v>347.0900318</v>
      </c>
      <c r="G2309" s="142">
        <v>17.71675212</v>
      </c>
      <c r="H2309" s="143"/>
      <c r="I2309" s="143"/>
      <c r="J2309" s="143"/>
      <c r="K2309" s="143"/>
      <c r="L2309" s="143"/>
      <c r="M2309" s="143"/>
      <c r="N2309" s="144"/>
      <c r="O2309" s="144"/>
      <c r="P2309" s="144"/>
      <c r="Q2309" s="143"/>
      <c r="R2309" s="143"/>
      <c r="S2309" s="143"/>
      <c r="Y2309" s="2" t="s">
        <v>23</v>
      </c>
    </row>
    <row r="2310" ht="15.75" customHeight="1">
      <c r="B2310" s="48">
        <v>3.582977E7</v>
      </c>
      <c r="C2310" s="80" t="s">
        <v>3911</v>
      </c>
      <c r="D2310" s="140" t="s">
        <v>626</v>
      </c>
      <c r="E2310" s="80" t="s">
        <v>4114</v>
      </c>
      <c r="F2310" s="80">
        <v>305.0966163</v>
      </c>
      <c r="G2310" s="142">
        <v>12.72801412</v>
      </c>
      <c r="H2310" s="143"/>
      <c r="I2310" s="143"/>
      <c r="J2310" s="143"/>
      <c r="K2310" s="143"/>
      <c r="L2310" s="143"/>
      <c r="M2310" s="143"/>
      <c r="N2310" s="80" t="s">
        <v>4115</v>
      </c>
      <c r="O2310" s="80" t="s">
        <v>4363</v>
      </c>
      <c r="P2310" s="80" t="s">
        <v>4117</v>
      </c>
      <c r="Y2310" s="2" t="s">
        <v>23</v>
      </c>
    </row>
    <row r="2311" ht="15.75" customHeight="1">
      <c r="B2311" s="48">
        <v>3.582977E7</v>
      </c>
      <c r="C2311" s="80" t="s">
        <v>3911</v>
      </c>
      <c r="D2311" s="140" t="s">
        <v>626</v>
      </c>
      <c r="E2311" s="80" t="s">
        <v>4594</v>
      </c>
      <c r="F2311" s="80">
        <v>279.102655</v>
      </c>
      <c r="G2311" s="142">
        <v>17.71675212</v>
      </c>
      <c r="H2311" s="143"/>
      <c r="I2311" s="143"/>
      <c r="J2311" s="143"/>
      <c r="K2311" s="143"/>
      <c r="L2311" s="143"/>
      <c r="M2311" s="143"/>
      <c r="N2311" s="80" t="s">
        <v>4595</v>
      </c>
      <c r="O2311" s="80" t="s">
        <v>4596</v>
      </c>
      <c r="P2311" s="80" t="s">
        <v>4597</v>
      </c>
      <c r="Y2311" s="2" t="s">
        <v>23</v>
      </c>
    </row>
    <row r="2312" ht="15.75" customHeight="1">
      <c r="B2312" s="48">
        <v>3.582977E7</v>
      </c>
      <c r="C2312" s="80" t="s">
        <v>3911</v>
      </c>
      <c r="D2312" s="140" t="s">
        <v>626</v>
      </c>
      <c r="E2312" s="80" t="s">
        <v>4781</v>
      </c>
      <c r="F2312" s="80">
        <v>296.1008035</v>
      </c>
      <c r="G2312" s="142">
        <v>17.27671509</v>
      </c>
      <c r="H2312" s="143"/>
      <c r="I2312" s="143"/>
      <c r="J2312" s="143"/>
      <c r="K2312" s="143"/>
      <c r="L2312" s="143"/>
      <c r="M2312" s="143"/>
      <c r="N2312" s="80" t="s">
        <v>4782</v>
      </c>
      <c r="O2312" s="80" t="s">
        <v>4783</v>
      </c>
      <c r="P2312" s="80" t="s">
        <v>4784</v>
      </c>
      <c r="Y2312" s="2" t="s">
        <v>23</v>
      </c>
    </row>
    <row r="2313" ht="15.75" customHeight="1">
      <c r="B2313" s="48">
        <v>3.582977E7</v>
      </c>
      <c r="C2313" s="80" t="s">
        <v>3911</v>
      </c>
      <c r="D2313" s="140" t="s">
        <v>626</v>
      </c>
      <c r="E2313" s="80" t="s">
        <v>4785</v>
      </c>
      <c r="F2313" s="80">
        <v>152.0353035</v>
      </c>
      <c r="G2313" s="142">
        <v>15.24328003</v>
      </c>
      <c r="H2313" s="143"/>
      <c r="I2313" s="143"/>
      <c r="J2313" s="143"/>
      <c r="K2313" s="143"/>
      <c r="L2313" s="143"/>
      <c r="M2313" s="143"/>
      <c r="N2313" s="80" t="s">
        <v>4786</v>
      </c>
      <c r="O2313" s="80" t="s">
        <v>4787</v>
      </c>
      <c r="P2313" s="80" t="s">
        <v>4788</v>
      </c>
      <c r="Y2313" s="2" t="s">
        <v>23</v>
      </c>
    </row>
    <row r="2314" ht="15.75" customHeight="1">
      <c r="B2314" s="48">
        <v>3.582977E7</v>
      </c>
      <c r="C2314" s="80" t="s">
        <v>3911</v>
      </c>
      <c r="D2314" s="140" t="s">
        <v>626</v>
      </c>
      <c r="E2314" s="80" t="s">
        <v>475</v>
      </c>
      <c r="F2314" s="80">
        <v>93.0346271</v>
      </c>
      <c r="G2314" s="142">
        <v>13.18256022</v>
      </c>
      <c r="H2314" s="143"/>
      <c r="I2314" s="143"/>
      <c r="J2314" s="143"/>
      <c r="K2314" s="143"/>
      <c r="L2314" s="143"/>
      <c r="M2314" s="143"/>
      <c r="N2314" s="80" t="s">
        <v>4606</v>
      </c>
      <c r="O2314" s="80" t="s">
        <v>4607</v>
      </c>
      <c r="P2314" s="80" t="s">
        <v>4608</v>
      </c>
      <c r="Y2314" s="2" t="s">
        <v>23</v>
      </c>
    </row>
    <row r="2315" ht="15.75" customHeight="1">
      <c r="B2315" s="48">
        <v>3.582977E7</v>
      </c>
      <c r="C2315" s="80" t="s">
        <v>3911</v>
      </c>
      <c r="D2315" s="140" t="s">
        <v>626</v>
      </c>
      <c r="E2315" s="80" t="s">
        <v>4594</v>
      </c>
      <c r="F2315" s="80">
        <v>279.1025772</v>
      </c>
      <c r="G2315" s="142">
        <v>18.19783122</v>
      </c>
      <c r="H2315" s="143"/>
      <c r="I2315" s="143"/>
      <c r="J2315" s="143"/>
      <c r="K2315" s="143"/>
      <c r="L2315" s="143"/>
      <c r="M2315" s="143"/>
      <c r="N2315" s="80" t="s">
        <v>4595</v>
      </c>
      <c r="O2315" s="80" t="s">
        <v>4596</v>
      </c>
      <c r="P2315" s="80" t="s">
        <v>4597</v>
      </c>
      <c r="Y2315" s="2" t="s">
        <v>23</v>
      </c>
    </row>
    <row r="2316" ht="15.75" customHeight="1">
      <c r="B2316" s="48">
        <v>3.582977E7</v>
      </c>
      <c r="C2316" s="80" t="s">
        <v>3911</v>
      </c>
      <c r="D2316" s="140" t="s">
        <v>626</v>
      </c>
      <c r="E2316" s="80" t="s">
        <v>4789</v>
      </c>
      <c r="F2316" s="80">
        <v>107.0502781</v>
      </c>
      <c r="G2316" s="142">
        <v>13.18256022</v>
      </c>
      <c r="H2316" s="143"/>
      <c r="I2316" s="143"/>
      <c r="J2316" s="143"/>
      <c r="K2316" s="143"/>
      <c r="L2316" s="143"/>
      <c r="M2316" s="143"/>
      <c r="N2316" s="80" t="s">
        <v>2940</v>
      </c>
      <c r="O2316" s="80" t="s">
        <v>4790</v>
      </c>
      <c r="P2316" s="80" t="s">
        <v>4791</v>
      </c>
      <c r="Y2316" s="2" t="s">
        <v>23</v>
      </c>
    </row>
    <row r="2317" ht="15.75" customHeight="1">
      <c r="B2317" s="48">
        <v>3.582977E7</v>
      </c>
      <c r="C2317" s="80" t="s">
        <v>3911</v>
      </c>
      <c r="D2317" s="140" t="s">
        <v>626</v>
      </c>
      <c r="E2317" s="146"/>
      <c r="F2317" s="80">
        <v>295.097516</v>
      </c>
      <c r="G2317" s="142">
        <v>17.27671509</v>
      </c>
      <c r="H2317" s="143"/>
      <c r="I2317" s="143"/>
      <c r="J2317" s="143"/>
      <c r="K2317" s="143"/>
      <c r="L2317" s="143"/>
      <c r="M2317" s="143"/>
      <c r="N2317" s="144"/>
      <c r="O2317" s="144"/>
      <c r="P2317" s="144"/>
      <c r="Q2317" s="143"/>
      <c r="R2317" s="143"/>
      <c r="S2317" s="143"/>
      <c r="Y2317" s="2" t="s">
        <v>23</v>
      </c>
    </row>
    <row r="2318" ht="15.75" customHeight="1">
      <c r="B2318" s="48">
        <v>3.582977E7</v>
      </c>
      <c r="C2318" s="80" t="s">
        <v>3911</v>
      </c>
      <c r="D2318" s="140" t="s">
        <v>626</v>
      </c>
      <c r="E2318" s="146"/>
      <c r="F2318" s="80">
        <v>298.129476</v>
      </c>
      <c r="G2318" s="142">
        <v>16.03009949</v>
      </c>
      <c r="H2318" s="143"/>
      <c r="I2318" s="143"/>
      <c r="J2318" s="143"/>
      <c r="K2318" s="143"/>
      <c r="L2318" s="143"/>
      <c r="M2318" s="143"/>
      <c r="N2318" s="144"/>
      <c r="O2318" s="144"/>
      <c r="P2318" s="144"/>
      <c r="Q2318" s="143"/>
      <c r="R2318" s="143"/>
      <c r="S2318" s="143"/>
      <c r="Y2318" s="2" t="s">
        <v>23</v>
      </c>
    </row>
    <row r="2319" ht="15.75" customHeight="1">
      <c r="B2319" s="48">
        <v>3.582977E7</v>
      </c>
      <c r="C2319" s="80" t="s">
        <v>3911</v>
      </c>
      <c r="D2319" s="140" t="s">
        <v>626</v>
      </c>
      <c r="E2319" s="146"/>
      <c r="F2319" s="80">
        <v>382.1588313</v>
      </c>
      <c r="G2319" s="142">
        <v>17.2586853</v>
      </c>
      <c r="H2319" s="143"/>
      <c r="I2319" s="143"/>
      <c r="J2319" s="143"/>
      <c r="K2319" s="143"/>
      <c r="L2319" s="143"/>
      <c r="M2319" s="143"/>
      <c r="N2319" s="144"/>
      <c r="O2319" s="144"/>
      <c r="P2319" s="144"/>
      <c r="Q2319" s="143"/>
      <c r="R2319" s="143"/>
      <c r="S2319" s="143"/>
      <c r="Y2319" s="2" t="s">
        <v>23</v>
      </c>
    </row>
    <row r="2320" ht="15.75" customHeight="1">
      <c r="B2320" s="48">
        <v>3.582977E7</v>
      </c>
      <c r="C2320" s="80" t="s">
        <v>3911</v>
      </c>
      <c r="D2320" s="140" t="s">
        <v>626</v>
      </c>
      <c r="E2320" s="146"/>
      <c r="F2320" s="80">
        <v>187.0070773</v>
      </c>
      <c r="G2320" s="142">
        <v>11.64900106</v>
      </c>
      <c r="H2320" s="143"/>
      <c r="I2320" s="143"/>
      <c r="J2320" s="143"/>
      <c r="K2320" s="143"/>
      <c r="L2320" s="143"/>
      <c r="M2320" s="143"/>
      <c r="N2320" s="144"/>
      <c r="O2320" s="144"/>
      <c r="P2320" s="144"/>
      <c r="Q2320" s="143"/>
      <c r="R2320" s="143"/>
      <c r="S2320" s="143"/>
      <c r="Y2320" s="2" t="s">
        <v>23</v>
      </c>
    </row>
    <row r="2321" ht="15.75" customHeight="1">
      <c r="B2321" s="48">
        <v>3.582977E7</v>
      </c>
      <c r="C2321" s="80" t="s">
        <v>3911</v>
      </c>
      <c r="D2321" s="140" t="s">
        <v>626</v>
      </c>
      <c r="E2321" s="146"/>
      <c r="F2321" s="80">
        <v>356.0728148</v>
      </c>
      <c r="G2321" s="142">
        <v>18.96817424</v>
      </c>
      <c r="H2321" s="143"/>
      <c r="I2321" s="143"/>
      <c r="J2321" s="143"/>
      <c r="K2321" s="143"/>
      <c r="L2321" s="143"/>
      <c r="M2321" s="143"/>
      <c r="N2321" s="144"/>
      <c r="O2321" s="144"/>
      <c r="P2321" s="144"/>
      <c r="Q2321" s="143"/>
      <c r="R2321" s="143"/>
      <c r="S2321" s="143"/>
      <c r="Y2321" s="2" t="s">
        <v>23</v>
      </c>
    </row>
    <row r="2322" ht="15.75" customHeight="1">
      <c r="B2322" s="48">
        <v>3.582977E7</v>
      </c>
      <c r="C2322" s="80" t="s">
        <v>3911</v>
      </c>
      <c r="D2322" s="140" t="s">
        <v>626</v>
      </c>
      <c r="E2322" s="146"/>
      <c r="F2322" s="80">
        <v>210.085192</v>
      </c>
      <c r="G2322" s="142">
        <v>15.1473821</v>
      </c>
      <c r="H2322" s="143"/>
      <c r="I2322" s="143"/>
      <c r="J2322" s="143"/>
      <c r="K2322" s="143"/>
      <c r="L2322" s="143"/>
      <c r="M2322" s="143"/>
      <c r="N2322" s="144"/>
      <c r="O2322" s="144"/>
      <c r="P2322" s="144"/>
      <c r="Q2322" s="143"/>
      <c r="R2322" s="143"/>
      <c r="S2322" s="143"/>
      <c r="Y2322" s="2" t="s">
        <v>23</v>
      </c>
    </row>
    <row r="2323" ht="15.75" customHeight="1">
      <c r="B2323" s="48">
        <v>3.582977E7</v>
      </c>
      <c r="C2323" s="80" t="s">
        <v>3911</v>
      </c>
      <c r="D2323" s="140" t="s">
        <v>626</v>
      </c>
      <c r="E2323" s="146"/>
      <c r="F2323" s="80">
        <v>205.1232544</v>
      </c>
      <c r="G2323" s="142">
        <v>18.49935099</v>
      </c>
      <c r="H2323" s="143"/>
      <c r="I2323" s="143"/>
      <c r="J2323" s="143"/>
      <c r="K2323" s="143"/>
      <c r="L2323" s="143"/>
      <c r="M2323" s="143"/>
      <c r="N2323" s="144"/>
      <c r="O2323" s="144"/>
      <c r="P2323" s="144"/>
      <c r="Q2323" s="143"/>
      <c r="R2323" s="143"/>
      <c r="S2323" s="143"/>
      <c r="Y2323" s="2" t="s">
        <v>23</v>
      </c>
    </row>
    <row r="2324" ht="15.75" customHeight="1">
      <c r="B2324" s="48">
        <v>3.582977E7</v>
      </c>
      <c r="C2324" s="80" t="s">
        <v>3911</v>
      </c>
      <c r="D2324" s="140" t="s">
        <v>626</v>
      </c>
      <c r="E2324" s="146"/>
      <c r="F2324" s="80">
        <v>244.0613325</v>
      </c>
      <c r="G2324" s="142">
        <v>17.2586853</v>
      </c>
      <c r="H2324" s="143"/>
      <c r="I2324" s="143"/>
      <c r="J2324" s="143"/>
      <c r="K2324" s="143"/>
      <c r="L2324" s="143"/>
      <c r="M2324" s="143"/>
      <c r="N2324" s="144"/>
      <c r="O2324" s="144"/>
      <c r="P2324" s="144"/>
      <c r="Q2324" s="143"/>
      <c r="R2324" s="143"/>
      <c r="S2324" s="143"/>
      <c r="Y2324" s="2" t="s">
        <v>23</v>
      </c>
    </row>
    <row r="2325" ht="15.75" customHeight="1">
      <c r="B2325" s="48">
        <v>3.582977E7</v>
      </c>
      <c r="C2325" s="80" t="s">
        <v>3911</v>
      </c>
      <c r="D2325" s="140" t="s">
        <v>626</v>
      </c>
      <c r="E2325" s="146"/>
      <c r="F2325" s="80">
        <v>212.0023236</v>
      </c>
      <c r="G2325" s="142">
        <v>9.420406087</v>
      </c>
      <c r="H2325" s="143"/>
      <c r="I2325" s="143"/>
      <c r="J2325" s="143"/>
      <c r="K2325" s="143"/>
      <c r="L2325" s="143"/>
      <c r="M2325" s="143"/>
      <c r="N2325" s="144"/>
      <c r="O2325" s="144"/>
      <c r="P2325" s="144"/>
      <c r="Q2325" s="143"/>
      <c r="R2325" s="143"/>
      <c r="S2325" s="143"/>
      <c r="Y2325" s="2" t="s">
        <v>23</v>
      </c>
    </row>
    <row r="2326" ht="15.75" customHeight="1">
      <c r="B2326" s="48">
        <v>3.582977E7</v>
      </c>
      <c r="C2326" s="80" t="s">
        <v>3911</v>
      </c>
      <c r="D2326" s="140" t="s">
        <v>626</v>
      </c>
      <c r="E2326" s="146"/>
      <c r="F2326" s="80">
        <v>99.0451927</v>
      </c>
      <c r="G2326" s="142">
        <v>9.506228638</v>
      </c>
      <c r="H2326" s="143"/>
      <c r="I2326" s="143"/>
      <c r="J2326" s="143"/>
      <c r="K2326" s="143"/>
      <c r="L2326" s="143"/>
      <c r="M2326" s="143"/>
      <c r="N2326" s="144"/>
      <c r="O2326" s="144"/>
      <c r="P2326" s="144"/>
      <c r="Q2326" s="143"/>
      <c r="R2326" s="143"/>
      <c r="S2326" s="143"/>
      <c r="Y2326" s="2" t="s">
        <v>23</v>
      </c>
    </row>
    <row r="2327" ht="15.75" customHeight="1">
      <c r="B2327" s="48">
        <v>3.582977E7</v>
      </c>
      <c r="C2327" s="80" t="s">
        <v>3911</v>
      </c>
      <c r="D2327" s="140" t="s">
        <v>626</v>
      </c>
      <c r="E2327" s="146"/>
      <c r="F2327" s="80">
        <v>231.0773885</v>
      </c>
      <c r="G2327" s="142">
        <v>13.78309631</v>
      </c>
      <c r="H2327" s="143"/>
      <c r="I2327" s="143"/>
      <c r="J2327" s="143"/>
      <c r="K2327" s="143"/>
      <c r="L2327" s="143"/>
      <c r="M2327" s="143"/>
      <c r="N2327" s="144"/>
      <c r="O2327" s="144"/>
      <c r="P2327" s="144"/>
      <c r="Q2327" s="143"/>
      <c r="R2327" s="143"/>
      <c r="S2327" s="143"/>
      <c r="Y2327" s="2" t="s">
        <v>23</v>
      </c>
    </row>
    <row r="2328" ht="15.75" customHeight="1">
      <c r="B2328" s="48">
        <v>3.582977E7</v>
      </c>
      <c r="C2328" s="80" t="s">
        <v>3911</v>
      </c>
      <c r="D2328" s="140" t="s">
        <v>626</v>
      </c>
      <c r="E2328" s="146"/>
      <c r="F2328" s="80">
        <v>293.1734838</v>
      </c>
      <c r="G2328" s="142">
        <v>18.80712687</v>
      </c>
      <c r="H2328" s="143"/>
      <c r="I2328" s="143"/>
      <c r="J2328" s="143"/>
      <c r="K2328" s="143"/>
      <c r="L2328" s="143"/>
      <c r="M2328" s="143"/>
      <c r="N2328" s="144"/>
      <c r="O2328" s="144"/>
      <c r="P2328" s="144"/>
      <c r="Q2328" s="143"/>
      <c r="R2328" s="143"/>
      <c r="S2328" s="143"/>
      <c r="Y2328" s="2" t="s">
        <v>23</v>
      </c>
    </row>
    <row r="2329" ht="15.75" customHeight="1">
      <c r="B2329" s="48">
        <v>3.582977E7</v>
      </c>
      <c r="C2329" s="80" t="s">
        <v>3911</v>
      </c>
      <c r="D2329" s="140" t="s">
        <v>626</v>
      </c>
      <c r="E2329" s="146"/>
      <c r="F2329" s="80">
        <v>245.012333</v>
      </c>
      <c r="G2329" s="142">
        <v>13.23693136</v>
      </c>
      <c r="H2329" s="143"/>
      <c r="I2329" s="143"/>
      <c r="J2329" s="143"/>
      <c r="K2329" s="143"/>
      <c r="L2329" s="143"/>
      <c r="M2329" s="143"/>
      <c r="N2329" s="144"/>
      <c r="O2329" s="144"/>
      <c r="P2329" s="144"/>
      <c r="Q2329" s="143"/>
      <c r="R2329" s="143"/>
      <c r="S2329" s="143"/>
      <c r="Y2329" s="2" t="s">
        <v>23</v>
      </c>
    </row>
    <row r="2330" ht="15.75" customHeight="1">
      <c r="B2330" s="48">
        <v>3.582977E7</v>
      </c>
      <c r="C2330" s="80" t="s">
        <v>3911</v>
      </c>
      <c r="D2330" s="140" t="s">
        <v>626</v>
      </c>
      <c r="E2330" s="146"/>
      <c r="F2330" s="80">
        <v>287.0230205</v>
      </c>
      <c r="G2330" s="142">
        <v>10.25545654</v>
      </c>
      <c r="H2330" s="143"/>
      <c r="I2330" s="143"/>
      <c r="J2330" s="143"/>
      <c r="K2330" s="143"/>
      <c r="L2330" s="143"/>
      <c r="M2330" s="143"/>
      <c r="N2330" s="144"/>
      <c r="O2330" s="144"/>
      <c r="P2330" s="144"/>
      <c r="Q2330" s="143"/>
      <c r="R2330" s="143"/>
      <c r="S2330" s="143"/>
      <c r="Y2330" s="2" t="s">
        <v>23</v>
      </c>
    </row>
    <row r="2331" ht="15.75" customHeight="1">
      <c r="B2331" s="48">
        <v>3.582977E7</v>
      </c>
      <c r="C2331" s="80" t="s">
        <v>3911</v>
      </c>
      <c r="D2331" s="140" t="s">
        <v>626</v>
      </c>
      <c r="E2331" s="80" t="s">
        <v>4613</v>
      </c>
      <c r="F2331" s="80">
        <v>210.0771057</v>
      </c>
      <c r="G2331" s="142">
        <v>3.746852239</v>
      </c>
      <c r="H2331" s="143"/>
      <c r="I2331" s="143"/>
      <c r="J2331" s="143"/>
      <c r="K2331" s="143"/>
      <c r="L2331" s="143"/>
      <c r="M2331" s="143"/>
      <c r="N2331" s="80" t="s">
        <v>4614</v>
      </c>
      <c r="O2331" s="80" t="s">
        <v>4615</v>
      </c>
      <c r="P2331" s="80" t="s">
        <v>4616</v>
      </c>
      <c r="Y2331" s="2" t="s">
        <v>23</v>
      </c>
    </row>
    <row r="2332" ht="15.75" customHeight="1">
      <c r="B2332" s="48">
        <v>3.582977E7</v>
      </c>
      <c r="C2332" s="80" t="s">
        <v>3911</v>
      </c>
      <c r="D2332" s="140" t="s">
        <v>626</v>
      </c>
      <c r="E2332" s="146"/>
      <c r="F2332" s="80">
        <v>239.0853354</v>
      </c>
      <c r="G2332" s="142">
        <v>239.0853354</v>
      </c>
      <c r="H2332" s="143"/>
      <c r="I2332" s="143"/>
      <c r="J2332" s="143"/>
      <c r="K2332" s="143"/>
      <c r="L2332" s="143"/>
      <c r="M2332" s="143"/>
      <c r="N2332" s="144"/>
      <c r="O2332" s="144"/>
      <c r="P2332" s="144"/>
      <c r="Q2332" s="143"/>
      <c r="R2332" s="143"/>
      <c r="S2332" s="143"/>
      <c r="Y2332" s="2" t="s">
        <v>23</v>
      </c>
    </row>
    <row r="2333" ht="15.75" customHeight="1">
      <c r="B2333" s="48">
        <v>3.582977E7</v>
      </c>
      <c r="C2333" s="80" t="s">
        <v>3911</v>
      </c>
      <c r="D2333" s="140" t="s">
        <v>626</v>
      </c>
      <c r="E2333" s="146"/>
      <c r="F2333" s="80">
        <v>298.129476</v>
      </c>
      <c r="G2333" s="142">
        <v>298.129476</v>
      </c>
      <c r="H2333" s="143"/>
      <c r="I2333" s="143"/>
      <c r="J2333" s="143"/>
      <c r="K2333" s="143"/>
      <c r="L2333" s="143"/>
      <c r="M2333" s="143"/>
      <c r="N2333" s="144"/>
      <c r="O2333" s="144"/>
      <c r="P2333" s="144"/>
      <c r="Q2333" s="143"/>
      <c r="R2333" s="143"/>
      <c r="S2333" s="143"/>
      <c r="Y2333" s="2" t="s">
        <v>23</v>
      </c>
    </row>
    <row r="2334" ht="15.75" customHeight="1">
      <c r="B2334" s="48">
        <v>3.582977E7</v>
      </c>
      <c r="C2334" s="80" t="s">
        <v>3911</v>
      </c>
      <c r="D2334" s="140" t="s">
        <v>626</v>
      </c>
      <c r="E2334" s="146"/>
      <c r="F2334" s="80">
        <v>382.1588313</v>
      </c>
      <c r="G2334" s="142">
        <v>382.1588313</v>
      </c>
      <c r="H2334" s="143"/>
      <c r="I2334" s="143"/>
      <c r="J2334" s="143"/>
      <c r="K2334" s="143"/>
      <c r="L2334" s="143"/>
      <c r="M2334" s="143"/>
      <c r="N2334" s="144"/>
      <c r="O2334" s="144"/>
      <c r="P2334" s="144"/>
      <c r="Q2334" s="143"/>
      <c r="R2334" s="143"/>
      <c r="S2334" s="143"/>
      <c r="Y2334" s="2" t="s">
        <v>23</v>
      </c>
    </row>
    <row r="2335" ht="15.75" customHeight="1">
      <c r="B2335" s="48">
        <v>3.582977E7</v>
      </c>
      <c r="C2335" s="80" t="s">
        <v>3911</v>
      </c>
      <c r="D2335" s="140" t="s">
        <v>626</v>
      </c>
      <c r="E2335" s="146"/>
      <c r="F2335" s="80">
        <v>356.0728148</v>
      </c>
      <c r="G2335" s="142">
        <v>356.0728148</v>
      </c>
      <c r="H2335" s="143"/>
      <c r="I2335" s="143"/>
      <c r="J2335" s="143"/>
      <c r="K2335" s="143"/>
      <c r="L2335" s="143"/>
      <c r="M2335" s="143"/>
      <c r="N2335" s="144"/>
      <c r="O2335" s="144"/>
      <c r="P2335" s="144"/>
      <c r="Q2335" s="143"/>
      <c r="R2335" s="143"/>
      <c r="S2335" s="143"/>
      <c r="Y2335" s="2" t="s">
        <v>23</v>
      </c>
    </row>
    <row r="2336" ht="15.75" customHeight="1">
      <c r="B2336" s="48">
        <v>3.582977E7</v>
      </c>
      <c r="C2336" s="80" t="s">
        <v>3911</v>
      </c>
      <c r="D2336" s="140" t="s">
        <v>626</v>
      </c>
      <c r="E2336" s="146"/>
      <c r="F2336" s="80">
        <v>93.0346271</v>
      </c>
      <c r="G2336" s="142">
        <v>93.0346271</v>
      </c>
      <c r="H2336" s="143"/>
      <c r="I2336" s="143"/>
      <c r="J2336" s="143"/>
      <c r="K2336" s="143"/>
      <c r="L2336" s="143"/>
      <c r="M2336" s="143"/>
      <c r="N2336" s="144"/>
      <c r="O2336" s="144"/>
      <c r="P2336" s="144"/>
      <c r="Q2336" s="143"/>
      <c r="R2336" s="143"/>
      <c r="S2336" s="143"/>
      <c r="Y2336" s="2" t="s">
        <v>23</v>
      </c>
    </row>
    <row r="2337" ht="15.75" customHeight="1">
      <c r="B2337" s="48">
        <v>3.582977E7</v>
      </c>
      <c r="C2337" s="80" t="s">
        <v>3911</v>
      </c>
      <c r="D2337" s="140" t="s">
        <v>626</v>
      </c>
      <c r="E2337" s="146"/>
      <c r="F2337" s="80">
        <v>196.0556448</v>
      </c>
      <c r="G2337" s="142">
        <v>196.0556448</v>
      </c>
      <c r="H2337" s="143"/>
      <c r="I2337" s="143"/>
      <c r="J2337" s="143"/>
      <c r="K2337" s="143"/>
      <c r="L2337" s="143"/>
      <c r="M2337" s="143"/>
      <c r="N2337" s="144"/>
      <c r="O2337" s="144"/>
      <c r="P2337" s="144"/>
      <c r="Q2337" s="143"/>
      <c r="R2337" s="143"/>
      <c r="S2337" s="143"/>
      <c r="Y2337" s="2" t="s">
        <v>23</v>
      </c>
    </row>
    <row r="2338" ht="15.75" customHeight="1">
      <c r="A2338" s="2" t="s">
        <v>44</v>
      </c>
      <c r="B2338" s="2" t="s">
        <v>47</v>
      </c>
      <c r="C2338" s="2" t="s">
        <v>4792</v>
      </c>
      <c r="D2338" s="2" t="s">
        <v>4793</v>
      </c>
      <c r="E2338" s="140" t="s">
        <v>4794</v>
      </c>
      <c r="F2338" s="147">
        <v>102.06</v>
      </c>
      <c r="G2338" s="148">
        <v>29.53</v>
      </c>
      <c r="H2338" s="140">
        <v>277.0</v>
      </c>
      <c r="I2338" s="103">
        <v>23.40702</v>
      </c>
      <c r="J2338" s="103">
        <v>23.41487</v>
      </c>
      <c r="K2338" s="103">
        <v>277.0</v>
      </c>
      <c r="L2338" s="103">
        <v>23.18068</v>
      </c>
      <c r="M2338" s="103">
        <v>23.26967</v>
      </c>
      <c r="N2338" s="144"/>
      <c r="Y2338" s="2" t="s">
        <v>39</v>
      </c>
    </row>
    <row r="2339" ht="15.75" customHeight="1">
      <c r="A2339" s="2" t="s">
        <v>44</v>
      </c>
      <c r="B2339" s="2" t="s">
        <v>47</v>
      </c>
      <c r="C2339" s="2" t="s">
        <v>4792</v>
      </c>
      <c r="D2339" s="2" t="s">
        <v>4793</v>
      </c>
      <c r="E2339" s="140" t="s">
        <v>4496</v>
      </c>
      <c r="F2339" s="147">
        <v>104.04</v>
      </c>
      <c r="G2339" s="148">
        <v>30.1</v>
      </c>
      <c r="H2339" s="140">
        <v>277.0</v>
      </c>
      <c r="I2339" s="103">
        <v>24.47978</v>
      </c>
      <c r="J2339" s="103">
        <v>24.49087</v>
      </c>
      <c r="K2339" s="103">
        <v>277.0</v>
      </c>
      <c r="L2339" s="103">
        <v>24.39318</v>
      </c>
      <c r="M2339" s="103">
        <v>24.40343</v>
      </c>
      <c r="N2339" s="144"/>
      <c r="Y2339" s="2" t="s">
        <v>39</v>
      </c>
    </row>
    <row r="2340" ht="15.75" customHeight="1">
      <c r="A2340" s="2" t="s">
        <v>44</v>
      </c>
      <c r="B2340" s="2" t="s">
        <v>47</v>
      </c>
      <c r="C2340" s="2" t="s">
        <v>4792</v>
      </c>
      <c r="D2340" s="2" t="s">
        <v>4793</v>
      </c>
      <c r="E2340" s="149" t="s">
        <v>4795</v>
      </c>
      <c r="F2340" s="147">
        <v>107.05</v>
      </c>
      <c r="G2340" s="148">
        <v>34.54</v>
      </c>
      <c r="H2340" s="140">
        <v>277.0</v>
      </c>
      <c r="I2340" s="103">
        <v>25.20047</v>
      </c>
      <c r="J2340" s="103">
        <v>25.38815</v>
      </c>
      <c r="K2340" s="103">
        <v>277.0</v>
      </c>
      <c r="L2340" s="103">
        <v>24.69256</v>
      </c>
      <c r="M2340" s="103">
        <v>24.85226</v>
      </c>
      <c r="N2340" s="144"/>
      <c r="Y2340" s="2" t="s">
        <v>39</v>
      </c>
    </row>
    <row r="2341" ht="15.75" customHeight="1">
      <c r="A2341" s="2" t="s">
        <v>44</v>
      </c>
      <c r="B2341" s="2" t="s">
        <v>47</v>
      </c>
      <c r="C2341" s="2" t="s">
        <v>4792</v>
      </c>
      <c r="D2341" s="2" t="s">
        <v>4793</v>
      </c>
      <c r="E2341" s="140" t="s">
        <v>400</v>
      </c>
      <c r="F2341" s="147">
        <v>118.05</v>
      </c>
      <c r="G2341" s="148">
        <v>31.33</v>
      </c>
      <c r="H2341" s="140">
        <v>277.0</v>
      </c>
      <c r="I2341" s="103">
        <v>24.95951</v>
      </c>
      <c r="J2341" s="103">
        <v>24.95493</v>
      </c>
      <c r="K2341" s="103">
        <v>277.0</v>
      </c>
      <c r="L2341" s="103">
        <v>24.84329</v>
      </c>
      <c r="M2341" s="103">
        <v>24.85192</v>
      </c>
      <c r="N2341" s="144"/>
      <c r="Y2341" s="2" t="s">
        <v>39</v>
      </c>
    </row>
    <row r="2342" ht="15.75" customHeight="1">
      <c r="A2342" s="2" t="s">
        <v>44</v>
      </c>
      <c r="B2342" s="2" t="s">
        <v>47</v>
      </c>
      <c r="C2342" s="2" t="s">
        <v>4792</v>
      </c>
      <c r="D2342" s="2" t="s">
        <v>4793</v>
      </c>
      <c r="E2342" s="149" t="s">
        <v>4796</v>
      </c>
      <c r="F2342" s="147">
        <v>128.04</v>
      </c>
      <c r="G2342" s="148">
        <v>30.63</v>
      </c>
      <c r="H2342" s="140">
        <v>277.0</v>
      </c>
      <c r="I2342" s="103">
        <v>27.33096</v>
      </c>
      <c r="J2342" s="103">
        <v>27.32351</v>
      </c>
      <c r="K2342" s="103">
        <v>277.0</v>
      </c>
      <c r="L2342" s="103">
        <v>26.95888</v>
      </c>
      <c r="M2342" s="103">
        <v>27.05659</v>
      </c>
      <c r="N2342" s="144"/>
      <c r="Y2342" s="2" t="s">
        <v>39</v>
      </c>
    </row>
    <row r="2343" ht="15.75" customHeight="1">
      <c r="A2343" s="2" t="s">
        <v>44</v>
      </c>
      <c r="B2343" s="2" t="s">
        <v>47</v>
      </c>
      <c r="C2343" s="2" t="s">
        <v>4792</v>
      </c>
      <c r="D2343" s="2" t="s">
        <v>4793</v>
      </c>
      <c r="E2343" s="149" t="s">
        <v>4797</v>
      </c>
      <c r="F2343" s="147">
        <v>129.02</v>
      </c>
      <c r="G2343" s="148">
        <v>33.82</v>
      </c>
      <c r="H2343" s="140">
        <v>277.0</v>
      </c>
      <c r="I2343" s="103">
        <v>23.60062</v>
      </c>
      <c r="J2343" s="103">
        <v>23.52076</v>
      </c>
      <c r="K2343" s="103">
        <v>277.0</v>
      </c>
      <c r="L2343" s="103">
        <v>23.94454</v>
      </c>
      <c r="M2343" s="103">
        <v>23.78095</v>
      </c>
      <c r="N2343" s="144"/>
      <c r="Y2343" s="2" t="s">
        <v>39</v>
      </c>
    </row>
    <row r="2344" ht="15.75" customHeight="1">
      <c r="A2344" s="2" t="s">
        <v>44</v>
      </c>
      <c r="B2344" s="2" t="s">
        <v>47</v>
      </c>
      <c r="C2344" s="2" t="s">
        <v>4792</v>
      </c>
      <c r="D2344" s="2" t="s">
        <v>4793</v>
      </c>
      <c r="E2344" s="149" t="s">
        <v>4798</v>
      </c>
      <c r="F2344" s="147">
        <v>145.01</v>
      </c>
      <c r="G2344" s="148">
        <v>28.16</v>
      </c>
      <c r="H2344" s="140">
        <v>277.0</v>
      </c>
      <c r="I2344" s="103">
        <v>24.67572</v>
      </c>
      <c r="J2344" s="103">
        <v>24.68945</v>
      </c>
      <c r="K2344" s="103">
        <v>277.0</v>
      </c>
      <c r="L2344" s="103">
        <v>24.33824</v>
      </c>
      <c r="M2344" s="103">
        <v>24.38637</v>
      </c>
      <c r="N2344" s="144"/>
      <c r="Y2344" s="2" t="s">
        <v>39</v>
      </c>
    </row>
    <row r="2345" ht="15.75" customHeight="1">
      <c r="A2345" s="2" t="s">
        <v>44</v>
      </c>
      <c r="B2345" s="2" t="s">
        <v>47</v>
      </c>
      <c r="C2345" s="2" t="s">
        <v>4792</v>
      </c>
      <c r="D2345" s="2" t="s">
        <v>4793</v>
      </c>
      <c r="E2345" s="149" t="s">
        <v>4799</v>
      </c>
      <c r="F2345" s="147">
        <v>146.05</v>
      </c>
      <c r="G2345" s="148">
        <v>29.48</v>
      </c>
      <c r="H2345" s="140">
        <v>277.0</v>
      </c>
      <c r="I2345" s="103">
        <v>27.12</v>
      </c>
      <c r="J2345" s="103">
        <v>27.09168</v>
      </c>
      <c r="K2345" s="103">
        <v>277.0</v>
      </c>
      <c r="L2345" s="103">
        <v>26.7892</v>
      </c>
      <c r="M2345" s="103">
        <v>26.84373</v>
      </c>
      <c r="N2345" s="144"/>
      <c r="Y2345" s="2" t="s">
        <v>39</v>
      </c>
    </row>
    <row r="2346" ht="15.75" customHeight="1">
      <c r="A2346" s="2" t="s">
        <v>44</v>
      </c>
      <c r="B2346" s="2" t="s">
        <v>47</v>
      </c>
      <c r="C2346" s="2" t="s">
        <v>4792</v>
      </c>
      <c r="D2346" s="2" t="s">
        <v>4793</v>
      </c>
      <c r="E2346" s="149" t="s">
        <v>4800</v>
      </c>
      <c r="F2346" s="147">
        <v>148.04</v>
      </c>
      <c r="G2346" s="148">
        <v>31.51</v>
      </c>
      <c r="H2346" s="140">
        <v>277.0</v>
      </c>
      <c r="I2346" s="103">
        <v>19.898</v>
      </c>
      <c r="J2346" s="103">
        <v>19.25982</v>
      </c>
      <c r="K2346" s="103">
        <v>277.0</v>
      </c>
      <c r="L2346" s="103">
        <v>19.44221</v>
      </c>
      <c r="M2346" s="103">
        <v>19.03464</v>
      </c>
      <c r="N2346" s="144"/>
      <c r="Y2346" s="2" t="s">
        <v>39</v>
      </c>
    </row>
    <row r="2347" ht="15.75" customHeight="1">
      <c r="A2347" s="2" t="s">
        <v>44</v>
      </c>
      <c r="B2347" s="2" t="s">
        <v>47</v>
      </c>
      <c r="C2347" s="2" t="s">
        <v>4792</v>
      </c>
      <c r="D2347" s="2" t="s">
        <v>4793</v>
      </c>
      <c r="E2347" s="149" t="s">
        <v>4801</v>
      </c>
      <c r="F2347" s="147">
        <v>151.05</v>
      </c>
      <c r="G2347" s="148">
        <v>33.61</v>
      </c>
      <c r="H2347" s="140">
        <v>277.0</v>
      </c>
      <c r="I2347" s="103">
        <v>20.37886</v>
      </c>
      <c r="J2347" s="103">
        <v>20.41218</v>
      </c>
      <c r="K2347" s="103">
        <v>277.0</v>
      </c>
      <c r="L2347" s="103">
        <v>20.85537</v>
      </c>
      <c r="M2347" s="103">
        <v>21.31641</v>
      </c>
      <c r="N2347" s="144"/>
      <c r="Y2347" s="2" t="s">
        <v>39</v>
      </c>
    </row>
    <row r="2348" ht="15.75" customHeight="1">
      <c r="A2348" s="2" t="s">
        <v>44</v>
      </c>
      <c r="B2348" s="2" t="s">
        <v>47</v>
      </c>
      <c r="C2348" s="2" t="s">
        <v>4792</v>
      </c>
      <c r="D2348" s="2" t="s">
        <v>4793</v>
      </c>
      <c r="E2348" s="149" t="s">
        <v>4802</v>
      </c>
      <c r="F2348" s="147">
        <v>172.99</v>
      </c>
      <c r="G2348" s="148">
        <v>34.18</v>
      </c>
      <c r="H2348" s="140">
        <v>277.0</v>
      </c>
      <c r="I2348" s="103">
        <v>27.69014</v>
      </c>
      <c r="J2348" s="103">
        <v>27.47133</v>
      </c>
      <c r="K2348" s="103">
        <v>277.0</v>
      </c>
      <c r="L2348" s="103">
        <v>27.97458</v>
      </c>
      <c r="M2348" s="103">
        <v>27.85116</v>
      </c>
      <c r="N2348" s="144"/>
      <c r="Y2348" s="2" t="s">
        <v>39</v>
      </c>
    </row>
    <row r="2349" ht="15.75" customHeight="1">
      <c r="A2349" s="2" t="s">
        <v>44</v>
      </c>
      <c r="B2349" s="2" t="s">
        <v>47</v>
      </c>
      <c r="C2349" s="2" t="s">
        <v>4792</v>
      </c>
      <c r="D2349" s="2" t="s">
        <v>4793</v>
      </c>
      <c r="E2349" s="150" t="s">
        <v>260</v>
      </c>
      <c r="F2349" s="147">
        <v>173.0</v>
      </c>
      <c r="G2349" s="148">
        <v>27.72</v>
      </c>
      <c r="H2349" s="140">
        <v>277.0</v>
      </c>
      <c r="I2349" s="103">
        <v>21.3271</v>
      </c>
      <c r="J2349" s="103">
        <v>21.89607</v>
      </c>
      <c r="K2349" s="103">
        <v>277.0</v>
      </c>
      <c r="L2349" s="103">
        <v>21.2783</v>
      </c>
      <c r="M2349" s="103">
        <v>21.81768</v>
      </c>
      <c r="N2349" s="144"/>
      <c r="Y2349" s="2" t="s">
        <v>39</v>
      </c>
    </row>
    <row r="2350" ht="15.75" customHeight="1">
      <c r="A2350" s="2" t="s">
        <v>44</v>
      </c>
      <c r="B2350" s="2" t="s">
        <v>47</v>
      </c>
      <c r="C2350" s="2" t="s">
        <v>4792</v>
      </c>
      <c r="D2350" s="2" t="s">
        <v>4793</v>
      </c>
      <c r="E2350" s="150" t="s">
        <v>264</v>
      </c>
      <c r="F2350" s="147">
        <v>179.06</v>
      </c>
      <c r="G2350" s="148">
        <v>36.8</v>
      </c>
      <c r="H2350" s="140">
        <v>277.0</v>
      </c>
      <c r="I2350" s="103">
        <v>28.29869</v>
      </c>
      <c r="J2350" s="103">
        <v>28.26964</v>
      </c>
      <c r="K2350" s="103">
        <v>277.0</v>
      </c>
      <c r="L2350" s="103">
        <v>28.26341</v>
      </c>
      <c r="M2350" s="103">
        <v>28.30445</v>
      </c>
      <c r="N2350" s="144"/>
      <c r="Y2350" s="2" t="s">
        <v>39</v>
      </c>
    </row>
    <row r="2351" ht="15.75" customHeight="1">
      <c r="A2351" s="2" t="s">
        <v>44</v>
      </c>
      <c r="B2351" s="2" t="s">
        <v>47</v>
      </c>
      <c r="C2351" s="2" t="s">
        <v>4792</v>
      </c>
      <c r="D2351" s="2" t="s">
        <v>4793</v>
      </c>
      <c r="E2351" s="149" t="s">
        <v>4803</v>
      </c>
      <c r="F2351" s="147">
        <v>187.01</v>
      </c>
      <c r="G2351" s="148">
        <v>35.79</v>
      </c>
      <c r="H2351" s="140">
        <v>277.0</v>
      </c>
      <c r="I2351" s="103">
        <v>31.2075</v>
      </c>
      <c r="J2351" s="103">
        <v>31.4873</v>
      </c>
      <c r="K2351" s="103">
        <v>277.0</v>
      </c>
      <c r="L2351" s="103">
        <v>30.65879</v>
      </c>
      <c r="M2351" s="103">
        <v>30.99688</v>
      </c>
      <c r="N2351" s="144"/>
      <c r="Y2351" s="2" t="s">
        <v>39</v>
      </c>
    </row>
    <row r="2352" ht="15.75" customHeight="1">
      <c r="A2352" s="2" t="s">
        <v>44</v>
      </c>
      <c r="B2352" s="2" t="s">
        <v>47</v>
      </c>
      <c r="C2352" s="2" t="s">
        <v>4792</v>
      </c>
      <c r="D2352" s="2" t="s">
        <v>4793</v>
      </c>
      <c r="E2352" s="149" t="s">
        <v>4804</v>
      </c>
      <c r="F2352" s="147">
        <v>189.0</v>
      </c>
      <c r="G2352" s="148">
        <v>34.32</v>
      </c>
      <c r="H2352" s="140">
        <v>277.0</v>
      </c>
      <c r="I2352" s="103">
        <v>26.70803</v>
      </c>
      <c r="J2352" s="103">
        <v>26.99853</v>
      </c>
      <c r="K2352" s="103">
        <v>277.0</v>
      </c>
      <c r="L2352" s="103">
        <v>26.1192</v>
      </c>
      <c r="M2352" s="103">
        <v>26.54254</v>
      </c>
      <c r="N2352" s="144"/>
      <c r="Y2352" s="2" t="s">
        <v>39</v>
      </c>
    </row>
    <row r="2353" ht="15.75" customHeight="1">
      <c r="A2353" s="2" t="s">
        <v>44</v>
      </c>
      <c r="B2353" s="2" t="s">
        <v>47</v>
      </c>
      <c r="C2353" s="2" t="s">
        <v>4792</v>
      </c>
      <c r="D2353" s="2" t="s">
        <v>4793</v>
      </c>
      <c r="E2353" s="140" t="s">
        <v>4805</v>
      </c>
      <c r="F2353" s="147">
        <v>189.01</v>
      </c>
      <c r="G2353" s="148">
        <v>34.03</v>
      </c>
      <c r="H2353" s="140">
        <v>277.0</v>
      </c>
      <c r="I2353" s="103">
        <v>24.98989</v>
      </c>
      <c r="J2353" s="103">
        <v>25.09277</v>
      </c>
      <c r="K2353" s="103">
        <v>277.0</v>
      </c>
      <c r="L2353" s="103">
        <v>24.61663</v>
      </c>
      <c r="M2353" s="103">
        <v>24.76275</v>
      </c>
      <c r="N2353" s="144"/>
      <c r="Y2353" s="2" t="s">
        <v>39</v>
      </c>
    </row>
    <row r="2354" ht="15.75" customHeight="1">
      <c r="A2354" s="2" t="s">
        <v>44</v>
      </c>
      <c r="B2354" s="2" t="s">
        <v>47</v>
      </c>
      <c r="C2354" s="2" t="s">
        <v>4792</v>
      </c>
      <c r="D2354" s="2" t="s">
        <v>4793</v>
      </c>
      <c r="E2354" s="149" t="s">
        <v>4806</v>
      </c>
      <c r="F2354" s="147">
        <v>192.03</v>
      </c>
      <c r="G2354" s="148">
        <v>24.1</v>
      </c>
      <c r="H2354" s="140">
        <v>277.0</v>
      </c>
      <c r="I2354" s="103">
        <v>20.21295</v>
      </c>
      <c r="J2354" s="103">
        <v>20.33343</v>
      </c>
      <c r="K2354" s="103">
        <v>277.0</v>
      </c>
      <c r="L2354" s="103">
        <v>19.33271</v>
      </c>
      <c r="M2354" s="103">
        <v>19.51539</v>
      </c>
      <c r="N2354" s="144"/>
      <c r="Y2354" s="2" t="s">
        <v>39</v>
      </c>
    </row>
    <row r="2355" ht="15.75" customHeight="1">
      <c r="A2355" s="2" t="s">
        <v>44</v>
      </c>
      <c r="B2355" s="2" t="s">
        <v>47</v>
      </c>
      <c r="C2355" s="2" t="s">
        <v>4792</v>
      </c>
      <c r="D2355" s="2" t="s">
        <v>4793</v>
      </c>
      <c r="E2355" s="140" t="s">
        <v>4807</v>
      </c>
      <c r="F2355" s="147">
        <v>197.1</v>
      </c>
      <c r="G2355" s="148">
        <v>177.58</v>
      </c>
      <c r="H2355" s="140">
        <v>277.0</v>
      </c>
      <c r="I2355" s="103">
        <v>20.12924</v>
      </c>
      <c r="J2355" s="103">
        <v>19.66867</v>
      </c>
      <c r="K2355" s="103">
        <v>277.0</v>
      </c>
      <c r="L2355" s="103">
        <v>22.43747</v>
      </c>
      <c r="M2355" s="103">
        <v>23.41919</v>
      </c>
      <c r="N2355" s="144"/>
      <c r="Y2355" s="2" t="s">
        <v>39</v>
      </c>
    </row>
    <row r="2356" ht="15.75" customHeight="1">
      <c r="A2356" s="2" t="s">
        <v>44</v>
      </c>
      <c r="B2356" s="2" t="s">
        <v>47</v>
      </c>
      <c r="C2356" s="2" t="s">
        <v>4792</v>
      </c>
      <c r="D2356" s="2" t="s">
        <v>4793</v>
      </c>
      <c r="E2356" s="140" t="s">
        <v>4808</v>
      </c>
      <c r="F2356" s="147">
        <v>198.1</v>
      </c>
      <c r="G2356" s="148">
        <v>177.46</v>
      </c>
      <c r="H2356" s="140">
        <v>277.0</v>
      </c>
      <c r="I2356" s="103">
        <v>17.35124</v>
      </c>
      <c r="J2356" s="103">
        <v>16.91596</v>
      </c>
      <c r="K2356" s="103">
        <v>277.0</v>
      </c>
      <c r="L2356" s="103">
        <v>19.00452</v>
      </c>
      <c r="M2356" s="103">
        <v>18.13361</v>
      </c>
      <c r="N2356" s="144"/>
      <c r="Y2356" s="2" t="s">
        <v>39</v>
      </c>
    </row>
    <row r="2357" ht="15.75" customHeight="1">
      <c r="A2357" s="2" t="s">
        <v>44</v>
      </c>
      <c r="B2357" s="2" t="s">
        <v>47</v>
      </c>
      <c r="C2357" s="2" t="s">
        <v>4792</v>
      </c>
      <c r="D2357" s="2" t="s">
        <v>4793</v>
      </c>
      <c r="E2357" s="149" t="s">
        <v>4809</v>
      </c>
      <c r="F2357" s="147">
        <v>199.97</v>
      </c>
      <c r="G2357" s="148">
        <v>28.43</v>
      </c>
      <c r="H2357" s="140">
        <v>277.0</v>
      </c>
      <c r="I2357" s="103">
        <v>23.5515</v>
      </c>
      <c r="J2357" s="103">
        <v>23.6046</v>
      </c>
      <c r="K2357" s="103">
        <v>277.0</v>
      </c>
      <c r="L2357" s="103">
        <v>22.89922</v>
      </c>
      <c r="M2357" s="103">
        <v>22.98903</v>
      </c>
      <c r="N2357" s="144"/>
      <c r="Y2357" s="2" t="s">
        <v>39</v>
      </c>
    </row>
    <row r="2358" ht="15.75" customHeight="1">
      <c r="A2358" s="2" t="s">
        <v>44</v>
      </c>
      <c r="B2358" s="2" t="s">
        <v>47</v>
      </c>
      <c r="C2358" s="2" t="s">
        <v>4792</v>
      </c>
      <c r="D2358" s="2" t="s">
        <v>4793</v>
      </c>
      <c r="E2358" s="150" t="s">
        <v>216</v>
      </c>
      <c r="F2358" s="147">
        <v>204.07</v>
      </c>
      <c r="G2358" s="148">
        <v>40.92</v>
      </c>
      <c r="H2358" s="140">
        <v>277.0</v>
      </c>
      <c r="I2358" s="103">
        <v>23.39952</v>
      </c>
      <c r="J2358" s="103">
        <v>23.42377</v>
      </c>
      <c r="K2358" s="103">
        <v>277.0</v>
      </c>
      <c r="L2358" s="103">
        <v>23.38229</v>
      </c>
      <c r="M2358" s="103">
        <v>23.46682</v>
      </c>
      <c r="N2358" s="144"/>
    </row>
    <row r="2359" ht="15.75" customHeight="1">
      <c r="A2359" s="2" t="s">
        <v>44</v>
      </c>
      <c r="B2359" s="2" t="s">
        <v>47</v>
      </c>
      <c r="C2359" s="2" t="s">
        <v>4792</v>
      </c>
      <c r="D2359" s="2" t="s">
        <v>4793</v>
      </c>
      <c r="E2359" s="140" t="s">
        <v>4810</v>
      </c>
      <c r="F2359" s="147">
        <v>207.01</v>
      </c>
      <c r="G2359" s="148">
        <v>28.05</v>
      </c>
      <c r="H2359" s="140">
        <v>277.0</v>
      </c>
      <c r="I2359" s="103">
        <v>21.41943</v>
      </c>
      <c r="J2359" s="103">
        <v>21.78849</v>
      </c>
      <c r="K2359" s="103">
        <v>277.0</v>
      </c>
      <c r="L2359" s="103">
        <v>22.35837</v>
      </c>
      <c r="M2359" s="103">
        <v>22.4351</v>
      </c>
      <c r="N2359" s="144"/>
    </row>
    <row r="2360" ht="15.75" customHeight="1">
      <c r="A2360" s="2" t="s">
        <v>44</v>
      </c>
      <c r="B2360" s="2" t="s">
        <v>47</v>
      </c>
      <c r="C2360" s="2" t="s">
        <v>4792</v>
      </c>
      <c r="D2360" s="2" t="s">
        <v>4793</v>
      </c>
      <c r="E2360" s="149" t="s">
        <v>4811</v>
      </c>
      <c r="F2360" s="147">
        <v>210.08</v>
      </c>
      <c r="G2360" s="148">
        <v>35.98</v>
      </c>
      <c r="H2360" s="140">
        <v>277.0</v>
      </c>
      <c r="I2360" s="103">
        <v>22.92326</v>
      </c>
      <c r="J2360" s="103">
        <v>23.4301</v>
      </c>
      <c r="K2360" s="103">
        <v>277.0</v>
      </c>
      <c r="L2360" s="103">
        <v>21.12947</v>
      </c>
      <c r="M2360" s="103">
        <v>21.61282</v>
      </c>
      <c r="N2360" s="144"/>
    </row>
    <row r="2361" ht="15.75" customHeight="1">
      <c r="A2361" s="2" t="s">
        <v>44</v>
      </c>
      <c r="B2361" s="2" t="s">
        <v>47</v>
      </c>
      <c r="C2361" s="2" t="s">
        <v>4792</v>
      </c>
      <c r="D2361" s="2" t="s">
        <v>4793</v>
      </c>
      <c r="E2361" s="150" t="s">
        <v>224</v>
      </c>
      <c r="F2361" s="147">
        <v>225.19</v>
      </c>
      <c r="G2361" s="148">
        <v>183.41</v>
      </c>
      <c r="H2361" s="140">
        <v>277.0</v>
      </c>
      <c r="I2361" s="103">
        <v>25.7268</v>
      </c>
      <c r="J2361" s="103">
        <v>25.75163</v>
      </c>
      <c r="K2361" s="103">
        <v>277.0</v>
      </c>
      <c r="L2361" s="103">
        <v>25.64503</v>
      </c>
      <c r="M2361" s="103">
        <v>25.66136</v>
      </c>
      <c r="N2361" s="144"/>
    </row>
    <row r="2362" ht="15.75" customHeight="1">
      <c r="A2362" s="2" t="s">
        <v>44</v>
      </c>
      <c r="B2362" s="2" t="s">
        <v>47</v>
      </c>
      <c r="C2362" s="2" t="s">
        <v>4792</v>
      </c>
      <c r="D2362" s="2" t="s">
        <v>4793</v>
      </c>
      <c r="E2362" s="140" t="s">
        <v>4812</v>
      </c>
      <c r="F2362" s="147">
        <v>229.02</v>
      </c>
      <c r="G2362" s="148">
        <v>51.63</v>
      </c>
      <c r="H2362" s="140">
        <v>277.0</v>
      </c>
      <c r="I2362" s="103">
        <v>19.51576</v>
      </c>
      <c r="J2362" s="103">
        <v>20.04965</v>
      </c>
      <c r="K2362" s="103">
        <v>277.0</v>
      </c>
      <c r="L2362" s="103">
        <v>19.93607</v>
      </c>
      <c r="M2362" s="103">
        <v>20.73384</v>
      </c>
      <c r="N2362" s="144"/>
    </row>
    <row r="2363" ht="15.75" customHeight="1">
      <c r="A2363" s="2" t="s">
        <v>44</v>
      </c>
      <c r="B2363" s="2" t="s">
        <v>47</v>
      </c>
      <c r="C2363" s="2" t="s">
        <v>4792</v>
      </c>
      <c r="D2363" s="2" t="s">
        <v>4793</v>
      </c>
      <c r="E2363" s="149" t="s">
        <v>4813</v>
      </c>
      <c r="F2363" s="147">
        <v>232.03</v>
      </c>
      <c r="G2363" s="148">
        <v>34.82</v>
      </c>
      <c r="H2363" s="140">
        <v>277.0</v>
      </c>
      <c r="I2363" s="103">
        <v>21.4014</v>
      </c>
      <c r="J2363" s="103">
        <v>22.49315</v>
      </c>
      <c r="K2363" s="103">
        <v>277.0</v>
      </c>
      <c r="L2363" s="103">
        <v>17.47491</v>
      </c>
      <c r="M2363" s="103">
        <v>16.35044</v>
      </c>
      <c r="N2363" s="144"/>
    </row>
    <row r="2364" ht="15.75" customHeight="1">
      <c r="A2364" s="2" t="s">
        <v>44</v>
      </c>
      <c r="B2364" s="2" t="s">
        <v>47</v>
      </c>
      <c r="C2364" s="2" t="s">
        <v>4792</v>
      </c>
      <c r="D2364" s="2" t="s">
        <v>4793</v>
      </c>
      <c r="E2364" s="140" t="s">
        <v>4814</v>
      </c>
      <c r="F2364" s="147">
        <v>233.01</v>
      </c>
      <c r="G2364" s="148">
        <v>32.0</v>
      </c>
      <c r="H2364" s="140">
        <v>277.0</v>
      </c>
      <c r="I2364" s="103">
        <v>19.78837</v>
      </c>
      <c r="J2364" s="103">
        <v>21.08314</v>
      </c>
      <c r="K2364" s="103">
        <v>277.0</v>
      </c>
      <c r="L2364" s="103">
        <v>20.59917</v>
      </c>
      <c r="M2364" s="103">
        <v>21.59483</v>
      </c>
      <c r="N2364" s="144"/>
    </row>
    <row r="2365" ht="15.75" customHeight="1">
      <c r="A2365" s="2" t="s">
        <v>44</v>
      </c>
      <c r="B2365" s="2" t="s">
        <v>47</v>
      </c>
      <c r="C2365" s="2" t="s">
        <v>4792</v>
      </c>
      <c r="D2365" s="2" t="s">
        <v>4793</v>
      </c>
      <c r="E2365" s="140" t="s">
        <v>4815</v>
      </c>
      <c r="F2365" s="147">
        <v>238.89</v>
      </c>
      <c r="G2365" s="148">
        <v>21.85</v>
      </c>
      <c r="H2365" s="140">
        <v>277.0</v>
      </c>
      <c r="I2365" s="103">
        <v>19.65589</v>
      </c>
      <c r="J2365" s="103">
        <v>20.01628</v>
      </c>
      <c r="K2365" s="103">
        <v>277.0</v>
      </c>
      <c r="L2365" s="103">
        <v>19.27933</v>
      </c>
      <c r="M2365" s="103">
        <v>19.55481</v>
      </c>
      <c r="N2365" s="144"/>
    </row>
    <row r="2366" ht="15.75" customHeight="1">
      <c r="A2366" s="2" t="s">
        <v>44</v>
      </c>
      <c r="B2366" s="2" t="s">
        <v>47</v>
      </c>
      <c r="C2366" s="2" t="s">
        <v>4792</v>
      </c>
      <c r="D2366" s="2" t="s">
        <v>4793</v>
      </c>
      <c r="E2366" s="150" t="s">
        <v>261</v>
      </c>
      <c r="F2366" s="147">
        <v>243.06</v>
      </c>
      <c r="G2366" s="148">
        <v>33.44</v>
      </c>
      <c r="H2366" s="140">
        <v>277.0</v>
      </c>
      <c r="I2366" s="103">
        <v>24.13697</v>
      </c>
      <c r="J2366" s="103">
        <v>24.14296</v>
      </c>
      <c r="K2366" s="103">
        <v>277.0</v>
      </c>
      <c r="L2366" s="103">
        <v>23.99477</v>
      </c>
      <c r="M2366" s="103">
        <v>24.13345</v>
      </c>
      <c r="N2366" s="144"/>
    </row>
    <row r="2367" ht="15.75" customHeight="1">
      <c r="A2367" s="2" t="s">
        <v>44</v>
      </c>
      <c r="B2367" s="2" t="s">
        <v>47</v>
      </c>
      <c r="C2367" s="2" t="s">
        <v>4792</v>
      </c>
      <c r="D2367" s="2" t="s">
        <v>4793</v>
      </c>
      <c r="E2367" s="140" t="s">
        <v>4816</v>
      </c>
      <c r="F2367" s="147">
        <v>246.01</v>
      </c>
      <c r="G2367" s="148">
        <v>33.22</v>
      </c>
      <c r="H2367" s="140">
        <v>277.0</v>
      </c>
      <c r="I2367" s="103">
        <v>19.88645</v>
      </c>
      <c r="J2367" s="103">
        <v>19.19646</v>
      </c>
      <c r="K2367" s="103">
        <v>277.0</v>
      </c>
      <c r="L2367" s="103">
        <v>19.16475</v>
      </c>
      <c r="M2367" s="103">
        <v>18.96853</v>
      </c>
      <c r="N2367" s="144"/>
    </row>
    <row r="2368" ht="15.75" customHeight="1">
      <c r="A2368" s="2" t="s">
        <v>44</v>
      </c>
      <c r="B2368" s="2" t="s">
        <v>47</v>
      </c>
      <c r="C2368" s="2" t="s">
        <v>4792</v>
      </c>
      <c r="D2368" s="2" t="s">
        <v>4793</v>
      </c>
      <c r="E2368" s="150" t="s">
        <v>258</v>
      </c>
      <c r="F2368" s="147">
        <v>251.2</v>
      </c>
      <c r="G2368" s="148">
        <v>200.48</v>
      </c>
      <c r="H2368" s="140">
        <v>277.0</v>
      </c>
      <c r="I2368" s="103">
        <v>24.75135</v>
      </c>
      <c r="J2368" s="103">
        <v>24.80476</v>
      </c>
      <c r="K2368" s="103">
        <v>277.0</v>
      </c>
      <c r="L2368" s="103">
        <v>24.65917</v>
      </c>
      <c r="M2368" s="103">
        <v>24.66551</v>
      </c>
      <c r="N2368" s="144"/>
    </row>
    <row r="2369" ht="15.75" customHeight="1">
      <c r="A2369" s="2" t="s">
        <v>44</v>
      </c>
      <c r="B2369" s="2" t="s">
        <v>47</v>
      </c>
      <c r="C2369" s="2" t="s">
        <v>4792</v>
      </c>
      <c r="D2369" s="2" t="s">
        <v>4793</v>
      </c>
      <c r="E2369" s="149" t="s">
        <v>4817</v>
      </c>
      <c r="F2369" s="147">
        <v>256.09</v>
      </c>
      <c r="G2369" s="148">
        <v>28.48</v>
      </c>
      <c r="H2369" s="140">
        <v>277.0</v>
      </c>
      <c r="I2369" s="103">
        <v>19.95133</v>
      </c>
      <c r="J2369" s="103">
        <v>20.17771</v>
      </c>
      <c r="K2369" s="103">
        <v>277.0</v>
      </c>
      <c r="L2369" s="103">
        <v>19.11412</v>
      </c>
      <c r="M2369" s="103">
        <v>17.78975</v>
      </c>
      <c r="N2369" s="144"/>
    </row>
    <row r="2370" ht="15.75" customHeight="1">
      <c r="A2370" s="2" t="s">
        <v>44</v>
      </c>
      <c r="B2370" s="2" t="s">
        <v>47</v>
      </c>
      <c r="C2370" s="2" t="s">
        <v>4792</v>
      </c>
      <c r="D2370" s="2" t="s">
        <v>4793</v>
      </c>
      <c r="E2370" s="140" t="s">
        <v>4818</v>
      </c>
      <c r="F2370" s="147">
        <v>264.98</v>
      </c>
      <c r="G2370" s="148">
        <v>56.86</v>
      </c>
      <c r="H2370" s="140">
        <v>277.0</v>
      </c>
      <c r="I2370" s="103">
        <v>21.56284</v>
      </c>
      <c r="J2370" s="103">
        <v>22.10367</v>
      </c>
      <c r="K2370" s="103">
        <v>277.0</v>
      </c>
      <c r="L2370" s="103">
        <v>21.91339</v>
      </c>
      <c r="M2370" s="103">
        <v>22.17175</v>
      </c>
      <c r="N2370" s="144"/>
    </row>
    <row r="2371" ht="15.75" customHeight="1">
      <c r="A2371" s="2" t="s">
        <v>44</v>
      </c>
      <c r="B2371" s="2" t="s">
        <v>47</v>
      </c>
      <c r="C2371" s="2" t="s">
        <v>4792</v>
      </c>
      <c r="D2371" s="2" t="s">
        <v>4793</v>
      </c>
      <c r="E2371" s="149" t="s">
        <v>4819</v>
      </c>
      <c r="F2371" s="147">
        <v>267.07</v>
      </c>
      <c r="G2371" s="148">
        <v>32.88</v>
      </c>
      <c r="H2371" s="140">
        <v>277.0</v>
      </c>
      <c r="I2371" s="103">
        <v>22.24242</v>
      </c>
      <c r="J2371" s="103">
        <v>22.51722</v>
      </c>
      <c r="K2371" s="103">
        <v>277.0</v>
      </c>
      <c r="L2371" s="103">
        <v>22.94373</v>
      </c>
      <c r="M2371" s="103">
        <v>23.08634</v>
      </c>
      <c r="N2371" s="144"/>
    </row>
    <row r="2372" ht="15.75" customHeight="1">
      <c r="A2372" s="2" t="s">
        <v>44</v>
      </c>
      <c r="B2372" s="2" t="s">
        <v>47</v>
      </c>
      <c r="C2372" s="2" t="s">
        <v>4792</v>
      </c>
      <c r="D2372" s="2" t="s">
        <v>4793</v>
      </c>
      <c r="E2372" s="150" t="s">
        <v>232</v>
      </c>
      <c r="F2372" s="147">
        <v>277.22</v>
      </c>
      <c r="G2372" s="148">
        <v>210.25</v>
      </c>
      <c r="H2372" s="140">
        <v>277.0</v>
      </c>
      <c r="I2372" s="103">
        <v>28.60409</v>
      </c>
      <c r="J2372" s="103">
        <v>28.71372</v>
      </c>
      <c r="K2372" s="103">
        <v>277.0</v>
      </c>
      <c r="L2372" s="103">
        <v>28.5782</v>
      </c>
      <c r="M2372" s="103">
        <v>28.57308</v>
      </c>
      <c r="N2372" s="144"/>
    </row>
    <row r="2373" ht="15.75" customHeight="1">
      <c r="A2373" s="2" t="s">
        <v>44</v>
      </c>
      <c r="B2373" s="2" t="s">
        <v>47</v>
      </c>
      <c r="C2373" s="2" t="s">
        <v>4792</v>
      </c>
      <c r="D2373" s="2" t="s">
        <v>4793</v>
      </c>
      <c r="E2373" s="150" t="s">
        <v>231</v>
      </c>
      <c r="F2373" s="147">
        <v>279.23</v>
      </c>
      <c r="G2373" s="148">
        <v>224.8</v>
      </c>
      <c r="H2373" s="140">
        <v>277.0</v>
      </c>
      <c r="I2373" s="103">
        <v>31.56881</v>
      </c>
      <c r="J2373" s="103">
        <v>31.61838</v>
      </c>
      <c r="K2373" s="103">
        <v>277.0</v>
      </c>
      <c r="L2373" s="103">
        <v>31.47379</v>
      </c>
      <c r="M2373" s="103">
        <v>31.50195</v>
      </c>
      <c r="N2373" s="144"/>
    </row>
    <row r="2374" ht="15.75" customHeight="1">
      <c r="A2374" s="2" t="s">
        <v>44</v>
      </c>
      <c r="B2374" s="2" t="s">
        <v>47</v>
      </c>
      <c r="C2374" s="2" t="s">
        <v>4792</v>
      </c>
      <c r="D2374" s="2" t="s">
        <v>4793</v>
      </c>
      <c r="E2374" s="149" t="s">
        <v>4820</v>
      </c>
      <c r="F2374" s="147">
        <v>283.08</v>
      </c>
      <c r="G2374" s="148">
        <v>30.18</v>
      </c>
      <c r="H2374" s="140">
        <v>277.0</v>
      </c>
      <c r="I2374" s="103">
        <v>18.85039</v>
      </c>
      <c r="J2374" s="103">
        <v>19.75115</v>
      </c>
      <c r="K2374" s="103">
        <v>277.0</v>
      </c>
      <c r="L2374" s="103">
        <v>17.38689</v>
      </c>
      <c r="M2374" s="103">
        <v>15.44165</v>
      </c>
      <c r="N2374" s="144"/>
    </row>
    <row r="2375" ht="15.75" customHeight="1">
      <c r="A2375" s="2" t="s">
        <v>44</v>
      </c>
      <c r="B2375" s="2" t="s">
        <v>47</v>
      </c>
      <c r="C2375" s="2" t="s">
        <v>4792</v>
      </c>
      <c r="D2375" s="2" t="s">
        <v>4793</v>
      </c>
      <c r="E2375" s="150" t="s">
        <v>227</v>
      </c>
      <c r="F2375" s="147">
        <v>283.26</v>
      </c>
      <c r="G2375" s="148">
        <v>264.64</v>
      </c>
      <c r="H2375" s="140">
        <v>277.0</v>
      </c>
      <c r="I2375" s="103">
        <v>27.68147</v>
      </c>
      <c r="J2375" s="103">
        <v>27.76845</v>
      </c>
      <c r="K2375" s="103">
        <v>277.0</v>
      </c>
      <c r="L2375" s="103">
        <v>27.73789</v>
      </c>
      <c r="M2375" s="103">
        <v>27.66186</v>
      </c>
      <c r="N2375" s="144"/>
    </row>
    <row r="2376" ht="15.75" customHeight="1">
      <c r="A2376" s="2" t="s">
        <v>44</v>
      </c>
      <c r="B2376" s="2" t="s">
        <v>47</v>
      </c>
      <c r="C2376" s="2" t="s">
        <v>4792</v>
      </c>
      <c r="D2376" s="2" t="s">
        <v>4793</v>
      </c>
      <c r="E2376" s="150" t="s">
        <v>223</v>
      </c>
      <c r="F2376" s="147">
        <v>295.26</v>
      </c>
      <c r="G2376" s="148">
        <v>253.48</v>
      </c>
      <c r="H2376" s="140">
        <v>277.0</v>
      </c>
      <c r="I2376" s="103">
        <v>22.05153</v>
      </c>
      <c r="J2376" s="103">
        <v>22.19467</v>
      </c>
      <c r="K2376" s="103">
        <v>277.0</v>
      </c>
      <c r="L2376" s="103">
        <v>22.03725</v>
      </c>
      <c r="M2376" s="103">
        <v>22.18947</v>
      </c>
      <c r="N2376" s="144"/>
    </row>
    <row r="2377" ht="15.75" customHeight="1">
      <c r="A2377" s="2" t="s">
        <v>44</v>
      </c>
      <c r="B2377" s="2" t="s">
        <v>47</v>
      </c>
      <c r="C2377" s="2" t="s">
        <v>4792</v>
      </c>
      <c r="D2377" s="2" t="s">
        <v>4793</v>
      </c>
      <c r="E2377" s="149" t="s">
        <v>4821</v>
      </c>
      <c r="F2377" s="147">
        <v>299.2</v>
      </c>
      <c r="G2377" s="148">
        <v>200.41</v>
      </c>
      <c r="H2377" s="140">
        <v>277.0</v>
      </c>
      <c r="I2377" s="103">
        <v>19.13346</v>
      </c>
      <c r="J2377" s="103">
        <v>19.42029</v>
      </c>
      <c r="K2377" s="103">
        <v>277.0</v>
      </c>
      <c r="L2377" s="103">
        <v>18.89241</v>
      </c>
      <c r="M2377" s="103">
        <v>19.09259</v>
      </c>
      <c r="N2377" s="144"/>
    </row>
    <row r="2378" ht="15.75" customHeight="1">
      <c r="A2378" s="2" t="s">
        <v>44</v>
      </c>
      <c r="B2378" s="2" t="s">
        <v>47</v>
      </c>
      <c r="C2378" s="2" t="s">
        <v>4792</v>
      </c>
      <c r="D2378" s="2" t="s">
        <v>4793</v>
      </c>
      <c r="E2378" s="151" t="s">
        <v>233</v>
      </c>
      <c r="F2378" s="147">
        <v>301.22</v>
      </c>
      <c r="G2378" s="148">
        <v>206.35</v>
      </c>
      <c r="H2378" s="140">
        <v>277.0</v>
      </c>
      <c r="I2378" s="103">
        <v>26.16141</v>
      </c>
      <c r="J2378" s="103">
        <v>26.25024</v>
      </c>
      <c r="K2378" s="103">
        <v>277.0</v>
      </c>
      <c r="L2378" s="103">
        <v>26.08557</v>
      </c>
      <c r="M2378" s="103">
        <v>26.25875</v>
      </c>
      <c r="N2378" s="144"/>
    </row>
    <row r="2379" ht="15.75" customHeight="1">
      <c r="A2379" s="2" t="s">
        <v>44</v>
      </c>
      <c r="B2379" s="2" t="s">
        <v>47</v>
      </c>
      <c r="C2379" s="2" t="s">
        <v>4792</v>
      </c>
      <c r="D2379" s="2" t="s">
        <v>4793</v>
      </c>
      <c r="E2379" s="150" t="s">
        <v>238</v>
      </c>
      <c r="F2379" s="147">
        <v>303.23</v>
      </c>
      <c r="G2379" s="148">
        <v>220.05</v>
      </c>
      <c r="H2379" s="140">
        <v>277.0</v>
      </c>
      <c r="I2379" s="103">
        <v>29.55411</v>
      </c>
      <c r="J2379" s="103">
        <v>29.63464</v>
      </c>
      <c r="K2379" s="103">
        <v>277.0</v>
      </c>
      <c r="L2379" s="103">
        <v>29.41392</v>
      </c>
      <c r="M2379" s="103">
        <v>29.64718</v>
      </c>
      <c r="N2379" s="144"/>
    </row>
    <row r="2380" ht="15.75" customHeight="1">
      <c r="A2380" s="2" t="s">
        <v>44</v>
      </c>
      <c r="B2380" s="2" t="s">
        <v>47</v>
      </c>
      <c r="C2380" s="2" t="s">
        <v>4792</v>
      </c>
      <c r="D2380" s="2" t="s">
        <v>4793</v>
      </c>
      <c r="E2380" s="150" t="s">
        <v>237</v>
      </c>
      <c r="F2380" s="147">
        <v>305.25</v>
      </c>
      <c r="G2380" s="148">
        <v>230.23</v>
      </c>
      <c r="H2380" s="140">
        <v>277.0</v>
      </c>
      <c r="I2380" s="103">
        <v>26.58268</v>
      </c>
      <c r="J2380" s="103">
        <v>26.64308</v>
      </c>
      <c r="K2380" s="103">
        <v>277.0</v>
      </c>
      <c r="L2380" s="103">
        <v>26.42745</v>
      </c>
      <c r="M2380" s="103">
        <v>26.56535</v>
      </c>
      <c r="N2380" s="144"/>
    </row>
    <row r="2381" ht="15.75" customHeight="1">
      <c r="A2381" s="2" t="s">
        <v>44</v>
      </c>
      <c r="B2381" s="2" t="s">
        <v>47</v>
      </c>
      <c r="C2381" s="2" t="s">
        <v>4792</v>
      </c>
      <c r="D2381" s="2" t="s">
        <v>4793</v>
      </c>
      <c r="E2381" s="150" t="s">
        <v>234</v>
      </c>
      <c r="F2381" s="147">
        <v>307.26</v>
      </c>
      <c r="G2381" s="148">
        <v>230.35</v>
      </c>
      <c r="H2381" s="140">
        <v>277.0</v>
      </c>
      <c r="I2381" s="103">
        <v>20.38652</v>
      </c>
      <c r="J2381" s="103">
        <v>20.63387</v>
      </c>
      <c r="K2381" s="103">
        <v>277.0</v>
      </c>
      <c r="L2381" s="103">
        <v>20.13284</v>
      </c>
      <c r="M2381" s="103">
        <v>20.54092</v>
      </c>
      <c r="N2381" s="144"/>
    </row>
    <row r="2382" ht="15.75" customHeight="1">
      <c r="A2382" s="2" t="s">
        <v>44</v>
      </c>
      <c r="B2382" s="2" t="s">
        <v>47</v>
      </c>
      <c r="C2382" s="2" t="s">
        <v>4792</v>
      </c>
      <c r="D2382" s="2" t="s">
        <v>4793</v>
      </c>
      <c r="E2382" s="140" t="s">
        <v>4822</v>
      </c>
      <c r="F2382" s="147">
        <v>311.17</v>
      </c>
      <c r="G2382" s="148">
        <v>151.61</v>
      </c>
      <c r="H2382" s="140">
        <v>277.0</v>
      </c>
      <c r="I2382" s="103">
        <v>21.42661</v>
      </c>
      <c r="J2382" s="103">
        <v>21.62962</v>
      </c>
      <c r="K2382" s="103">
        <v>277.0</v>
      </c>
      <c r="L2382" s="103">
        <v>21.12493</v>
      </c>
      <c r="M2382" s="103">
        <v>21.52655</v>
      </c>
      <c r="N2382" s="144"/>
    </row>
    <row r="2383" ht="15.75" customHeight="1">
      <c r="A2383" s="2" t="s">
        <v>44</v>
      </c>
      <c r="B2383" s="2" t="s">
        <v>47</v>
      </c>
      <c r="C2383" s="2" t="s">
        <v>4792</v>
      </c>
      <c r="D2383" s="2" t="s">
        <v>4793</v>
      </c>
      <c r="E2383" s="150" t="s">
        <v>236</v>
      </c>
      <c r="F2383" s="147">
        <v>311.29</v>
      </c>
      <c r="G2383" s="148">
        <v>268.24</v>
      </c>
      <c r="H2383" s="140">
        <v>277.0</v>
      </c>
      <c r="I2383" s="103">
        <v>16.3958</v>
      </c>
      <c r="J2383" s="103">
        <v>16.16696</v>
      </c>
      <c r="K2383" s="103">
        <v>277.0</v>
      </c>
      <c r="L2383" s="103">
        <v>16.55425</v>
      </c>
      <c r="M2383" s="103">
        <v>16.02553</v>
      </c>
      <c r="N2383" s="144"/>
    </row>
    <row r="2384" ht="15.75" customHeight="1">
      <c r="A2384" s="2" t="s">
        <v>44</v>
      </c>
      <c r="B2384" s="2" t="s">
        <v>47</v>
      </c>
      <c r="C2384" s="2" t="s">
        <v>4792</v>
      </c>
      <c r="D2384" s="2" t="s">
        <v>4793</v>
      </c>
      <c r="E2384" s="140" t="s">
        <v>4823</v>
      </c>
      <c r="F2384" s="147">
        <v>314.08</v>
      </c>
      <c r="G2384" s="148">
        <v>185.05</v>
      </c>
      <c r="H2384" s="140">
        <v>277.0</v>
      </c>
      <c r="I2384" s="103">
        <v>16.68307</v>
      </c>
      <c r="J2384" s="103">
        <v>16.30094</v>
      </c>
      <c r="K2384" s="103">
        <v>277.0</v>
      </c>
      <c r="L2384" s="103">
        <v>17.0154</v>
      </c>
      <c r="M2384" s="103">
        <v>16.33675</v>
      </c>
      <c r="N2384" s="144"/>
    </row>
    <row r="2385" ht="15.75" customHeight="1">
      <c r="A2385" s="2" t="s">
        <v>44</v>
      </c>
      <c r="B2385" s="2" t="s">
        <v>47</v>
      </c>
      <c r="C2385" s="2" t="s">
        <v>4792</v>
      </c>
      <c r="D2385" s="2" t="s">
        <v>4793</v>
      </c>
      <c r="E2385" s="140" t="s">
        <v>4824</v>
      </c>
      <c r="F2385" s="147">
        <v>326.19</v>
      </c>
      <c r="G2385" s="148">
        <v>159.04</v>
      </c>
      <c r="H2385" s="140">
        <v>277.0</v>
      </c>
      <c r="I2385" s="103">
        <v>19.35974</v>
      </c>
      <c r="J2385" s="103">
        <v>19.32813</v>
      </c>
      <c r="K2385" s="103">
        <v>277.0</v>
      </c>
      <c r="L2385" s="103">
        <v>18.99677</v>
      </c>
      <c r="M2385" s="103">
        <v>18.46924</v>
      </c>
      <c r="N2385" s="144"/>
    </row>
    <row r="2386" ht="15.75" customHeight="1">
      <c r="A2386" s="2" t="s">
        <v>44</v>
      </c>
      <c r="B2386" s="2" t="s">
        <v>47</v>
      </c>
      <c r="C2386" s="2" t="s">
        <v>4792</v>
      </c>
      <c r="D2386" s="2" t="s">
        <v>4793</v>
      </c>
      <c r="E2386" s="150" t="s">
        <v>235</v>
      </c>
      <c r="F2386" s="147">
        <v>327.23</v>
      </c>
      <c r="G2386" s="148">
        <v>214.04</v>
      </c>
      <c r="H2386" s="140">
        <v>277.0</v>
      </c>
      <c r="I2386" s="103">
        <v>27.83063</v>
      </c>
      <c r="J2386" s="103">
        <v>27.84718</v>
      </c>
      <c r="K2386" s="103">
        <v>277.0</v>
      </c>
      <c r="L2386" s="103">
        <v>27.85893</v>
      </c>
      <c r="M2386" s="103">
        <v>27.92993</v>
      </c>
      <c r="N2386" s="144"/>
    </row>
    <row r="2387" ht="15.75" customHeight="1">
      <c r="A2387" s="2" t="s">
        <v>44</v>
      </c>
      <c r="B2387" s="2" t="s">
        <v>47</v>
      </c>
      <c r="C2387" s="2" t="s">
        <v>4792</v>
      </c>
      <c r="D2387" s="2" t="s">
        <v>4793</v>
      </c>
      <c r="E2387" s="150" t="s">
        <v>229</v>
      </c>
      <c r="F2387" s="147">
        <v>329.25</v>
      </c>
      <c r="G2387" s="148">
        <v>224.59</v>
      </c>
      <c r="H2387" s="140">
        <v>277.0</v>
      </c>
      <c r="I2387" s="103">
        <v>26.32998</v>
      </c>
      <c r="J2387" s="103">
        <v>26.34855</v>
      </c>
      <c r="K2387" s="103">
        <v>277.0</v>
      </c>
      <c r="L2387" s="103">
        <v>26.27999</v>
      </c>
      <c r="M2387" s="103">
        <v>26.36078</v>
      </c>
      <c r="N2387" s="144"/>
    </row>
    <row r="2388" ht="15.75" customHeight="1">
      <c r="A2388" s="2" t="s">
        <v>44</v>
      </c>
      <c r="B2388" s="2" t="s">
        <v>47</v>
      </c>
      <c r="C2388" s="2" t="s">
        <v>4792</v>
      </c>
      <c r="D2388" s="2" t="s">
        <v>4793</v>
      </c>
      <c r="E2388" s="140" t="s">
        <v>4825</v>
      </c>
      <c r="F2388" s="147">
        <v>336.05</v>
      </c>
      <c r="G2388" s="148">
        <v>28.26</v>
      </c>
      <c r="H2388" s="140">
        <v>277.0</v>
      </c>
      <c r="I2388" s="103">
        <v>17.48418</v>
      </c>
      <c r="J2388" s="103">
        <v>17.5818</v>
      </c>
      <c r="K2388" s="103">
        <v>277.0</v>
      </c>
      <c r="L2388" s="103">
        <v>17.7524</v>
      </c>
      <c r="M2388" s="103">
        <v>18.20931</v>
      </c>
      <c r="N2388" s="144"/>
    </row>
    <row r="2389" ht="15.75" customHeight="1">
      <c r="A2389" s="2" t="s">
        <v>44</v>
      </c>
      <c r="B2389" s="2" t="s">
        <v>47</v>
      </c>
      <c r="C2389" s="2" t="s">
        <v>4792</v>
      </c>
      <c r="D2389" s="2" t="s">
        <v>4793</v>
      </c>
      <c r="E2389" s="140" t="s">
        <v>4826</v>
      </c>
      <c r="F2389" s="147">
        <v>338.27</v>
      </c>
      <c r="G2389" s="148">
        <v>168.78</v>
      </c>
      <c r="H2389" s="140">
        <v>277.0</v>
      </c>
      <c r="I2389" s="103">
        <v>18.36822</v>
      </c>
      <c r="J2389" s="103">
        <v>18.48677</v>
      </c>
      <c r="K2389" s="103">
        <v>277.0</v>
      </c>
      <c r="L2389" s="103">
        <v>18.15969</v>
      </c>
      <c r="M2389" s="103">
        <v>18.37051</v>
      </c>
      <c r="N2389" s="144"/>
    </row>
    <row r="2390" ht="15.75" customHeight="1">
      <c r="A2390" s="2" t="s">
        <v>44</v>
      </c>
      <c r="B2390" s="2" t="s">
        <v>47</v>
      </c>
      <c r="C2390" s="2" t="s">
        <v>4792</v>
      </c>
      <c r="D2390" s="2" t="s">
        <v>4793</v>
      </c>
      <c r="E2390" s="140" t="s">
        <v>4827</v>
      </c>
      <c r="F2390" s="147">
        <v>347.24</v>
      </c>
      <c r="G2390" s="148">
        <v>211.21</v>
      </c>
      <c r="H2390" s="140">
        <v>277.0</v>
      </c>
      <c r="I2390" s="103">
        <v>22.15502</v>
      </c>
      <c r="J2390" s="103">
        <v>22.06246</v>
      </c>
      <c r="K2390" s="103">
        <v>277.0</v>
      </c>
      <c r="L2390" s="103">
        <v>22.12671</v>
      </c>
      <c r="M2390" s="103">
        <v>22.06893</v>
      </c>
      <c r="N2390" s="144"/>
    </row>
    <row r="2391" ht="15.75" customHeight="1">
      <c r="A2391" s="2" t="s">
        <v>44</v>
      </c>
      <c r="B2391" s="2" t="s">
        <v>47</v>
      </c>
      <c r="C2391" s="2" t="s">
        <v>4792</v>
      </c>
      <c r="D2391" s="2" t="s">
        <v>4793</v>
      </c>
      <c r="E2391" s="140" t="s">
        <v>4828</v>
      </c>
      <c r="F2391" s="147">
        <v>427.22</v>
      </c>
      <c r="G2391" s="148">
        <v>64.52</v>
      </c>
      <c r="H2391" s="140">
        <v>277.0</v>
      </c>
      <c r="I2391" s="103">
        <v>18.18871</v>
      </c>
      <c r="J2391" s="103">
        <v>18.2221</v>
      </c>
      <c r="K2391" s="103">
        <v>277.0</v>
      </c>
      <c r="L2391" s="103">
        <v>18.69</v>
      </c>
      <c r="M2391" s="103">
        <v>19.71139</v>
      </c>
      <c r="N2391" s="144"/>
    </row>
    <row r="2392" ht="15.75" customHeight="1">
      <c r="A2392" s="2" t="s">
        <v>44</v>
      </c>
      <c r="B2392" s="2" t="s">
        <v>47</v>
      </c>
      <c r="C2392" s="2" t="s">
        <v>4792</v>
      </c>
      <c r="D2392" s="2" t="s">
        <v>4793</v>
      </c>
      <c r="E2392" s="140" t="s">
        <v>4829</v>
      </c>
      <c r="F2392" s="147">
        <v>432.08</v>
      </c>
      <c r="G2392" s="148">
        <v>256.63</v>
      </c>
      <c r="H2392" s="140">
        <v>277.0</v>
      </c>
      <c r="I2392" s="103">
        <v>19.00718</v>
      </c>
      <c r="J2392" s="103">
        <v>19.06995</v>
      </c>
      <c r="K2392" s="103">
        <v>277.0</v>
      </c>
      <c r="L2392" s="103">
        <v>19.18085</v>
      </c>
      <c r="M2392" s="103">
        <v>19.24633</v>
      </c>
      <c r="N2392" s="144"/>
    </row>
    <row r="2393" ht="15.75" customHeight="1">
      <c r="A2393" s="2" t="s">
        <v>44</v>
      </c>
      <c r="B2393" s="2" t="s">
        <v>47</v>
      </c>
      <c r="C2393" s="2" t="s">
        <v>4792</v>
      </c>
      <c r="D2393" s="2" t="s">
        <v>4793</v>
      </c>
      <c r="E2393" s="149" t="s">
        <v>4830</v>
      </c>
      <c r="F2393" s="147">
        <v>435.25</v>
      </c>
      <c r="G2393" s="148">
        <v>167.27</v>
      </c>
      <c r="H2393" s="140">
        <v>277.0</v>
      </c>
      <c r="I2393" s="103">
        <v>24.03397</v>
      </c>
      <c r="J2393" s="103">
        <v>24.14291</v>
      </c>
      <c r="K2393" s="103">
        <v>277.0</v>
      </c>
      <c r="L2393" s="103">
        <v>23.39677</v>
      </c>
      <c r="M2393" s="103">
        <v>24.0632</v>
      </c>
      <c r="N2393" s="144"/>
    </row>
    <row r="2394" ht="15.75" customHeight="1">
      <c r="A2394" s="2" t="s">
        <v>44</v>
      </c>
      <c r="B2394" s="2" t="s">
        <v>47</v>
      </c>
      <c r="C2394" s="2" t="s">
        <v>4792</v>
      </c>
      <c r="D2394" s="2" t="s">
        <v>4793</v>
      </c>
      <c r="E2394" s="140" t="s">
        <v>4831</v>
      </c>
      <c r="F2394" s="147">
        <v>439.22</v>
      </c>
      <c r="G2394" s="148">
        <v>164.63</v>
      </c>
      <c r="H2394" s="140">
        <v>277.0</v>
      </c>
      <c r="I2394" s="103">
        <v>18.46141</v>
      </c>
      <c r="J2394" s="103">
        <v>18.72092</v>
      </c>
      <c r="K2394" s="103">
        <v>277.0</v>
      </c>
      <c r="L2394" s="103">
        <v>18.01654</v>
      </c>
      <c r="M2394" s="103">
        <v>18.63063</v>
      </c>
      <c r="N2394" s="144"/>
    </row>
    <row r="2395" ht="15.75" customHeight="1">
      <c r="A2395" s="2" t="s">
        <v>44</v>
      </c>
      <c r="B2395" s="2" t="s">
        <v>47</v>
      </c>
      <c r="C2395" s="2" t="s">
        <v>4792</v>
      </c>
      <c r="D2395" s="2" t="s">
        <v>4793</v>
      </c>
      <c r="E2395" s="140" t="s">
        <v>4832</v>
      </c>
      <c r="F2395" s="147">
        <v>443.25</v>
      </c>
      <c r="G2395" s="148">
        <v>276.09</v>
      </c>
      <c r="H2395" s="140">
        <v>277.0</v>
      </c>
      <c r="I2395" s="103">
        <v>18.17616</v>
      </c>
      <c r="J2395" s="103">
        <v>18.17366</v>
      </c>
      <c r="K2395" s="103">
        <v>277.0</v>
      </c>
      <c r="L2395" s="103">
        <v>18.34349</v>
      </c>
      <c r="M2395" s="103">
        <v>18.34234</v>
      </c>
      <c r="N2395" s="144"/>
    </row>
    <row r="2396" ht="15.75" customHeight="1">
      <c r="A2396" s="2" t="s">
        <v>44</v>
      </c>
      <c r="B2396" s="2" t="s">
        <v>47</v>
      </c>
      <c r="C2396" s="2" t="s">
        <v>4792</v>
      </c>
      <c r="D2396" s="2" t="s">
        <v>4793</v>
      </c>
      <c r="E2396" s="140" t="s">
        <v>4833</v>
      </c>
      <c r="F2396" s="147">
        <v>461.29</v>
      </c>
      <c r="G2396" s="148">
        <v>215.63</v>
      </c>
      <c r="H2396" s="140">
        <v>277.0</v>
      </c>
      <c r="I2396" s="103">
        <v>17.27422</v>
      </c>
      <c r="J2396" s="103">
        <v>16.47366</v>
      </c>
      <c r="K2396" s="103">
        <v>277.0</v>
      </c>
      <c r="L2396" s="103">
        <v>17.40357</v>
      </c>
      <c r="M2396" s="103">
        <v>16.38542</v>
      </c>
      <c r="N2396" s="144"/>
    </row>
    <row r="2397" ht="15.75" customHeight="1">
      <c r="A2397" s="2" t="s">
        <v>44</v>
      </c>
      <c r="B2397" s="2" t="s">
        <v>47</v>
      </c>
      <c r="C2397" s="2" t="s">
        <v>4792</v>
      </c>
      <c r="D2397" s="2" t="s">
        <v>4793</v>
      </c>
      <c r="E2397" s="140" t="s">
        <v>4834</v>
      </c>
      <c r="F2397" s="147">
        <v>524.3</v>
      </c>
      <c r="G2397" s="148">
        <v>173.87</v>
      </c>
      <c r="H2397" s="140">
        <v>277.0</v>
      </c>
      <c r="I2397" s="103">
        <v>17.01909</v>
      </c>
      <c r="J2397" s="103">
        <v>16.56472</v>
      </c>
      <c r="K2397" s="103">
        <v>277.0</v>
      </c>
      <c r="L2397" s="103">
        <v>16.7247</v>
      </c>
      <c r="M2397" s="103">
        <v>16.3994</v>
      </c>
      <c r="N2397" s="144"/>
    </row>
    <row r="2398" ht="15.75" customHeight="1">
      <c r="A2398" s="2" t="s">
        <v>44</v>
      </c>
      <c r="B2398" s="2" t="s">
        <v>47</v>
      </c>
      <c r="C2398" s="2" t="s">
        <v>4792</v>
      </c>
      <c r="D2398" s="2" t="s">
        <v>4793</v>
      </c>
      <c r="E2398" s="140" t="s">
        <v>4835</v>
      </c>
      <c r="F2398" s="147">
        <v>525.22</v>
      </c>
      <c r="G2398" s="148">
        <v>159.91</v>
      </c>
      <c r="H2398" s="140">
        <v>277.0</v>
      </c>
      <c r="I2398" s="103">
        <v>20.31656</v>
      </c>
      <c r="J2398" s="103">
        <v>20.61669</v>
      </c>
      <c r="K2398" s="103">
        <v>277.0</v>
      </c>
      <c r="L2398" s="103">
        <v>19.84535</v>
      </c>
      <c r="M2398" s="103">
        <v>20.4365</v>
      </c>
      <c r="N2398" s="144"/>
    </row>
    <row r="2399" ht="15.75" customHeight="1">
      <c r="A2399" s="2" t="s">
        <v>44</v>
      </c>
      <c r="B2399" s="2" t="s">
        <v>47</v>
      </c>
      <c r="C2399" s="2" t="s">
        <v>4792</v>
      </c>
      <c r="D2399" s="2" t="s">
        <v>4793</v>
      </c>
      <c r="E2399" s="140" t="s">
        <v>4836</v>
      </c>
      <c r="F2399" s="147">
        <v>526.35</v>
      </c>
      <c r="G2399" s="148">
        <v>189.37</v>
      </c>
      <c r="H2399" s="140">
        <v>277.0</v>
      </c>
      <c r="I2399" s="103">
        <v>23.30596</v>
      </c>
      <c r="J2399" s="103">
        <v>23.35857</v>
      </c>
      <c r="K2399" s="103">
        <v>277.0</v>
      </c>
      <c r="L2399" s="103">
        <v>23.00481</v>
      </c>
      <c r="M2399" s="103">
        <v>23.23838</v>
      </c>
      <c r="N2399" s="144"/>
    </row>
    <row r="2400" ht="15.75" customHeight="1">
      <c r="A2400" s="2" t="s">
        <v>44</v>
      </c>
      <c r="B2400" s="2" t="s">
        <v>47</v>
      </c>
      <c r="C2400" s="2" t="s">
        <v>4792</v>
      </c>
      <c r="D2400" s="2" t="s">
        <v>4793</v>
      </c>
      <c r="E2400" s="140" t="s">
        <v>4837</v>
      </c>
      <c r="F2400" s="147">
        <v>574.46</v>
      </c>
      <c r="G2400" s="148">
        <v>259.54</v>
      </c>
      <c r="H2400" s="140">
        <v>277.0</v>
      </c>
      <c r="I2400" s="103">
        <v>16.39777</v>
      </c>
      <c r="J2400" s="103">
        <v>15.52162</v>
      </c>
      <c r="K2400" s="103">
        <v>277.0</v>
      </c>
      <c r="L2400" s="103">
        <v>16.82015</v>
      </c>
      <c r="M2400" s="103">
        <v>15.54737</v>
      </c>
      <c r="N2400" s="144"/>
    </row>
    <row r="2401" ht="15.75" customHeight="1">
      <c r="A2401" s="2" t="s">
        <v>44</v>
      </c>
      <c r="B2401" s="2" t="s">
        <v>47</v>
      </c>
      <c r="C2401" s="2" t="s">
        <v>4792</v>
      </c>
      <c r="D2401" s="2" t="s">
        <v>4793</v>
      </c>
      <c r="E2401" s="150" t="s">
        <v>262</v>
      </c>
      <c r="F2401" s="147">
        <v>581.24</v>
      </c>
      <c r="G2401" s="148">
        <v>42.9</v>
      </c>
      <c r="H2401" s="140">
        <v>277.0</v>
      </c>
      <c r="I2401" s="103">
        <v>19.38992</v>
      </c>
      <c r="J2401" s="103">
        <v>19.87349</v>
      </c>
      <c r="K2401" s="103">
        <v>277.0</v>
      </c>
      <c r="L2401" s="103">
        <v>19.4733</v>
      </c>
      <c r="M2401" s="103">
        <v>19.79616</v>
      </c>
      <c r="N2401" s="144"/>
    </row>
    <row r="2402" ht="15.75" customHeight="1">
      <c r="A2402" s="2" t="s">
        <v>44</v>
      </c>
      <c r="B2402" s="2" t="s">
        <v>47</v>
      </c>
      <c r="C2402" s="2" t="s">
        <v>4792</v>
      </c>
      <c r="D2402" s="2" t="s">
        <v>4793</v>
      </c>
      <c r="E2402" s="140" t="s">
        <v>4838</v>
      </c>
      <c r="F2402" s="147">
        <v>587.32</v>
      </c>
      <c r="G2402" s="148">
        <v>191.08</v>
      </c>
      <c r="H2402" s="140">
        <v>277.0</v>
      </c>
      <c r="I2402" s="103">
        <v>21.62023</v>
      </c>
      <c r="J2402" s="103">
        <v>21.77861</v>
      </c>
      <c r="K2402" s="103">
        <v>277.0</v>
      </c>
      <c r="L2402" s="103">
        <v>21.90263</v>
      </c>
      <c r="M2402" s="103">
        <v>22.00542</v>
      </c>
      <c r="N2402" s="144"/>
    </row>
    <row r="2403" ht="15.75" customHeight="1">
      <c r="A2403" s="2" t="s">
        <v>44</v>
      </c>
      <c r="B2403" s="2" t="s">
        <v>47</v>
      </c>
      <c r="C2403" s="2" t="s">
        <v>4839</v>
      </c>
      <c r="D2403" s="2" t="s">
        <v>636</v>
      </c>
      <c r="E2403" s="140" t="s">
        <v>4840</v>
      </c>
      <c r="F2403" s="103">
        <v>100.51</v>
      </c>
      <c r="G2403" s="148">
        <v>285.22</v>
      </c>
      <c r="H2403" s="140">
        <v>277.0</v>
      </c>
      <c r="I2403" s="103">
        <v>23.26351</v>
      </c>
      <c r="J2403" s="103">
        <v>23.42078</v>
      </c>
      <c r="K2403" s="140">
        <v>277.0</v>
      </c>
      <c r="L2403" s="103">
        <v>23.04769</v>
      </c>
      <c r="M2403" s="103">
        <v>23.28097</v>
      </c>
      <c r="N2403" s="144"/>
    </row>
    <row r="2404" ht="15.75" customHeight="1">
      <c r="A2404" s="2" t="s">
        <v>44</v>
      </c>
      <c r="B2404" s="2" t="s">
        <v>47</v>
      </c>
      <c r="C2404" s="2" t="s">
        <v>4839</v>
      </c>
      <c r="D2404" s="2" t="s">
        <v>636</v>
      </c>
      <c r="E2404" s="140" t="s">
        <v>4841</v>
      </c>
      <c r="F2404" s="103">
        <v>104.107</v>
      </c>
      <c r="G2404" s="148">
        <v>54.82</v>
      </c>
      <c r="H2404" s="140">
        <v>277.0</v>
      </c>
      <c r="I2404" s="103">
        <v>32.59664</v>
      </c>
      <c r="J2404" s="103">
        <v>32.77547</v>
      </c>
      <c r="K2404" s="140">
        <v>277.0</v>
      </c>
      <c r="L2404" s="103">
        <v>32.71582</v>
      </c>
      <c r="M2404" s="103">
        <v>32.79923</v>
      </c>
      <c r="N2404" s="144"/>
    </row>
    <row r="2405" ht="15.75" customHeight="1">
      <c r="A2405" s="2" t="s">
        <v>44</v>
      </c>
      <c r="B2405" s="2" t="s">
        <v>47</v>
      </c>
      <c r="C2405" s="2" t="s">
        <v>4839</v>
      </c>
      <c r="D2405" s="2" t="s">
        <v>636</v>
      </c>
      <c r="E2405" s="140" t="s">
        <v>4842</v>
      </c>
      <c r="F2405" s="103">
        <v>110.9986</v>
      </c>
      <c r="G2405" s="148">
        <v>141.89</v>
      </c>
      <c r="H2405" s="140">
        <v>277.0</v>
      </c>
      <c r="I2405" s="103">
        <v>17.68343</v>
      </c>
      <c r="J2405" s="103">
        <v>17.78415</v>
      </c>
      <c r="K2405" s="140">
        <v>277.0</v>
      </c>
      <c r="L2405" s="103">
        <v>17.40731</v>
      </c>
      <c r="M2405" s="103">
        <v>17.39519</v>
      </c>
      <c r="N2405" s="144"/>
    </row>
    <row r="2406" ht="15.75" customHeight="1">
      <c r="A2406" s="2" t="s">
        <v>44</v>
      </c>
      <c r="B2406" s="2" t="s">
        <v>47</v>
      </c>
      <c r="C2406" s="2" t="s">
        <v>4839</v>
      </c>
      <c r="D2406" s="2" t="s">
        <v>636</v>
      </c>
      <c r="E2406" s="152" t="s">
        <v>4843</v>
      </c>
      <c r="F2406" s="103">
        <v>111.0202</v>
      </c>
      <c r="G2406" s="148">
        <v>269.88</v>
      </c>
      <c r="H2406" s="140">
        <v>277.0</v>
      </c>
      <c r="I2406" s="103">
        <v>28.34202</v>
      </c>
      <c r="J2406" s="103">
        <v>28.3678</v>
      </c>
      <c r="K2406" s="140">
        <v>277.0</v>
      </c>
      <c r="L2406" s="103">
        <v>28.24326</v>
      </c>
      <c r="M2406" s="103">
        <v>28.33672</v>
      </c>
      <c r="N2406" s="144"/>
    </row>
    <row r="2407" ht="15.75" customHeight="1">
      <c r="A2407" s="2" t="s">
        <v>44</v>
      </c>
      <c r="B2407" s="2" t="s">
        <v>47</v>
      </c>
      <c r="C2407" s="2" t="s">
        <v>4839</v>
      </c>
      <c r="D2407" s="2" t="s">
        <v>636</v>
      </c>
      <c r="E2407" s="153" t="s">
        <v>4844</v>
      </c>
      <c r="F2407" s="103">
        <v>148.0604</v>
      </c>
      <c r="G2407" s="148">
        <v>89.48</v>
      </c>
      <c r="H2407" s="140">
        <v>277.0</v>
      </c>
      <c r="I2407" s="103">
        <v>27.86708</v>
      </c>
      <c r="J2407" s="103">
        <v>27.91491</v>
      </c>
      <c r="K2407" s="140">
        <v>277.0</v>
      </c>
      <c r="L2407" s="103">
        <v>28.11533</v>
      </c>
      <c r="M2407" s="103">
        <v>28.11267</v>
      </c>
      <c r="N2407" s="144"/>
    </row>
    <row r="2408" ht="15.75" customHeight="1">
      <c r="A2408" s="2" t="s">
        <v>44</v>
      </c>
      <c r="B2408" s="2" t="s">
        <v>47</v>
      </c>
      <c r="C2408" s="2" t="s">
        <v>4839</v>
      </c>
      <c r="D2408" s="2" t="s">
        <v>636</v>
      </c>
      <c r="E2408" s="153" t="s">
        <v>4845</v>
      </c>
      <c r="F2408" s="103">
        <v>149.0597</v>
      </c>
      <c r="G2408" s="148">
        <v>60.11</v>
      </c>
      <c r="H2408" s="140">
        <v>277.0</v>
      </c>
      <c r="I2408" s="103">
        <v>23.86626</v>
      </c>
      <c r="J2408" s="103">
        <v>23.98675</v>
      </c>
      <c r="K2408" s="140">
        <v>277.0</v>
      </c>
      <c r="L2408" s="103">
        <v>24.09738</v>
      </c>
      <c r="M2408" s="103">
        <v>24.09901</v>
      </c>
      <c r="N2408" s="144"/>
    </row>
    <row r="2409" ht="15.75" customHeight="1">
      <c r="A2409" s="2" t="s">
        <v>44</v>
      </c>
      <c r="B2409" s="2" t="s">
        <v>47</v>
      </c>
      <c r="C2409" s="2" t="s">
        <v>4839</v>
      </c>
      <c r="D2409" s="2" t="s">
        <v>636</v>
      </c>
      <c r="E2409" s="153" t="s">
        <v>4846</v>
      </c>
      <c r="F2409" s="103">
        <v>185.1285</v>
      </c>
      <c r="G2409" s="148">
        <v>46.39</v>
      </c>
      <c r="H2409" s="140">
        <v>277.0</v>
      </c>
      <c r="I2409" s="103">
        <v>25.86182</v>
      </c>
      <c r="J2409" s="103">
        <v>25.86358</v>
      </c>
      <c r="K2409" s="140">
        <v>277.0</v>
      </c>
      <c r="L2409" s="103">
        <v>25.46691</v>
      </c>
      <c r="M2409" s="103">
        <v>25.43253</v>
      </c>
      <c r="N2409" s="144"/>
    </row>
    <row r="2410" ht="15.75" customHeight="1">
      <c r="A2410" s="2" t="s">
        <v>44</v>
      </c>
      <c r="B2410" s="2" t="s">
        <v>47</v>
      </c>
      <c r="C2410" s="2" t="s">
        <v>4839</v>
      </c>
      <c r="D2410" s="2" t="s">
        <v>636</v>
      </c>
      <c r="E2410" s="140" t="s">
        <v>4847</v>
      </c>
      <c r="F2410" s="103">
        <v>198.1277</v>
      </c>
      <c r="G2410" s="148">
        <v>36.48</v>
      </c>
      <c r="H2410" s="140">
        <v>277.0</v>
      </c>
      <c r="I2410" s="103">
        <v>19.14889</v>
      </c>
      <c r="J2410" s="103">
        <v>20.43099</v>
      </c>
      <c r="K2410" s="140">
        <v>277.0</v>
      </c>
      <c r="L2410" s="103">
        <v>18.97717</v>
      </c>
      <c r="M2410" s="103">
        <v>18.77225</v>
      </c>
      <c r="N2410" s="144"/>
    </row>
    <row r="2411" ht="15.75" customHeight="1">
      <c r="A2411" s="2" t="s">
        <v>44</v>
      </c>
      <c r="B2411" s="2" t="s">
        <v>47</v>
      </c>
      <c r="C2411" s="2" t="s">
        <v>4839</v>
      </c>
      <c r="D2411" s="2" t="s">
        <v>636</v>
      </c>
      <c r="E2411" s="153" t="s">
        <v>4477</v>
      </c>
      <c r="F2411" s="103">
        <v>205.0972</v>
      </c>
      <c r="G2411" s="148">
        <v>59.83</v>
      </c>
      <c r="H2411" s="140">
        <v>277.0</v>
      </c>
      <c r="I2411" s="103">
        <v>30.25874</v>
      </c>
      <c r="J2411" s="103">
        <v>30.32076</v>
      </c>
      <c r="K2411" s="140">
        <v>277.0</v>
      </c>
      <c r="L2411" s="103">
        <v>30.16782</v>
      </c>
      <c r="M2411" s="103">
        <v>30.20439</v>
      </c>
      <c r="N2411" s="144"/>
    </row>
    <row r="2412" ht="15.75" customHeight="1">
      <c r="A2412" s="2" t="s">
        <v>44</v>
      </c>
      <c r="B2412" s="2" t="s">
        <v>47</v>
      </c>
      <c r="C2412" s="2" t="s">
        <v>4839</v>
      </c>
      <c r="D2412" s="2" t="s">
        <v>636</v>
      </c>
      <c r="E2412" s="140" t="s">
        <v>4848</v>
      </c>
      <c r="F2412" s="103">
        <v>207.0175</v>
      </c>
      <c r="G2412" s="148">
        <v>265.92</v>
      </c>
      <c r="H2412" s="140">
        <v>277.0</v>
      </c>
      <c r="I2412" s="103">
        <v>23.33673</v>
      </c>
      <c r="J2412" s="103">
        <v>23.41828</v>
      </c>
      <c r="K2412" s="140">
        <v>277.0</v>
      </c>
      <c r="L2412" s="103">
        <v>23.22596</v>
      </c>
      <c r="M2412" s="103">
        <v>23.35478</v>
      </c>
      <c r="N2412" s="144"/>
    </row>
    <row r="2413" ht="15.75" customHeight="1">
      <c r="A2413" s="2" t="s">
        <v>44</v>
      </c>
      <c r="B2413" s="2" t="s">
        <v>47</v>
      </c>
      <c r="C2413" s="2" t="s">
        <v>4839</v>
      </c>
      <c r="D2413" s="2" t="s">
        <v>636</v>
      </c>
      <c r="E2413" s="152" t="s">
        <v>4849</v>
      </c>
      <c r="F2413" s="103">
        <v>211.1441</v>
      </c>
      <c r="G2413" s="148">
        <v>40.7</v>
      </c>
      <c r="H2413" s="140">
        <v>277.0</v>
      </c>
      <c r="I2413" s="103">
        <v>22.37711</v>
      </c>
      <c r="J2413" s="103">
        <v>22.59668</v>
      </c>
      <c r="K2413" s="140">
        <v>277.0</v>
      </c>
      <c r="L2413" s="103">
        <v>22.0245</v>
      </c>
      <c r="M2413" s="103">
        <v>22.1216</v>
      </c>
      <c r="N2413" s="144"/>
    </row>
    <row r="2414" ht="15.75" customHeight="1">
      <c r="A2414" s="2" t="s">
        <v>44</v>
      </c>
      <c r="B2414" s="2" t="s">
        <v>47</v>
      </c>
      <c r="C2414" s="2" t="s">
        <v>4839</v>
      </c>
      <c r="D2414" s="2" t="s">
        <v>636</v>
      </c>
      <c r="E2414" s="153" t="s">
        <v>4850</v>
      </c>
      <c r="F2414" s="103">
        <v>212.0917</v>
      </c>
      <c r="G2414" s="148">
        <v>60.92</v>
      </c>
      <c r="H2414" s="140">
        <v>277.0</v>
      </c>
      <c r="I2414" s="103">
        <v>18.40415</v>
      </c>
      <c r="J2414" s="103">
        <v>18.35041</v>
      </c>
      <c r="K2414" s="140">
        <v>277.0</v>
      </c>
      <c r="L2414" s="103">
        <v>23.16088</v>
      </c>
      <c r="M2414" s="103">
        <v>24.48146</v>
      </c>
      <c r="N2414" s="144"/>
    </row>
    <row r="2415" ht="15.75" customHeight="1">
      <c r="A2415" s="2" t="s">
        <v>44</v>
      </c>
      <c r="B2415" s="2" t="s">
        <v>47</v>
      </c>
      <c r="C2415" s="2" t="s">
        <v>4839</v>
      </c>
      <c r="D2415" s="2" t="s">
        <v>636</v>
      </c>
      <c r="E2415" s="152" t="s">
        <v>4851</v>
      </c>
      <c r="F2415" s="103">
        <v>239.0892</v>
      </c>
      <c r="G2415" s="148">
        <v>45.67</v>
      </c>
      <c r="H2415" s="140">
        <v>277.0</v>
      </c>
      <c r="I2415" s="103">
        <v>21.24146</v>
      </c>
      <c r="J2415" s="103">
        <v>20.8791</v>
      </c>
      <c r="K2415" s="140">
        <v>277.0</v>
      </c>
      <c r="L2415" s="103">
        <v>21.1868</v>
      </c>
      <c r="M2415" s="103">
        <v>21.19532</v>
      </c>
      <c r="N2415" s="144"/>
    </row>
    <row r="2416" ht="15.75" customHeight="1">
      <c r="A2416" s="2" t="s">
        <v>44</v>
      </c>
      <c r="B2416" s="2" t="s">
        <v>47</v>
      </c>
      <c r="C2416" s="2" t="s">
        <v>4839</v>
      </c>
      <c r="D2416" s="2" t="s">
        <v>636</v>
      </c>
      <c r="E2416" s="152" t="s">
        <v>4852</v>
      </c>
      <c r="F2416" s="103">
        <v>244.1542</v>
      </c>
      <c r="G2416" s="148">
        <v>37.56</v>
      </c>
      <c r="H2416" s="140">
        <v>277.0</v>
      </c>
      <c r="I2416" s="103">
        <v>20.98048</v>
      </c>
      <c r="J2416" s="103">
        <v>20.50298</v>
      </c>
      <c r="K2416" s="140">
        <v>277.0</v>
      </c>
      <c r="L2416" s="103">
        <v>20.76962</v>
      </c>
      <c r="M2416" s="103">
        <v>20.4788</v>
      </c>
      <c r="N2416" s="144"/>
    </row>
    <row r="2417" ht="15.75" customHeight="1">
      <c r="A2417" s="2" t="s">
        <v>44</v>
      </c>
      <c r="B2417" s="2" t="s">
        <v>47</v>
      </c>
      <c r="C2417" s="2" t="s">
        <v>4839</v>
      </c>
      <c r="D2417" s="2" t="s">
        <v>636</v>
      </c>
      <c r="E2417" s="140" t="s">
        <v>4853</v>
      </c>
      <c r="F2417" s="103">
        <v>247.0284</v>
      </c>
      <c r="G2417" s="148">
        <v>75.13</v>
      </c>
      <c r="H2417" s="140">
        <v>277.0</v>
      </c>
      <c r="I2417" s="103">
        <v>19.88319</v>
      </c>
      <c r="J2417" s="103">
        <v>20.0057</v>
      </c>
      <c r="K2417" s="140">
        <v>277.0</v>
      </c>
      <c r="L2417" s="103">
        <v>19.51995</v>
      </c>
      <c r="M2417" s="103">
        <v>19.5719</v>
      </c>
      <c r="N2417" s="144"/>
    </row>
    <row r="2418" ht="15.75" customHeight="1">
      <c r="A2418" s="2" t="s">
        <v>44</v>
      </c>
      <c r="B2418" s="2" t="s">
        <v>47</v>
      </c>
      <c r="C2418" s="2" t="s">
        <v>4839</v>
      </c>
      <c r="D2418" s="2" t="s">
        <v>636</v>
      </c>
      <c r="E2418" s="140" t="s">
        <v>4854</v>
      </c>
      <c r="F2418" s="103">
        <v>259.9647</v>
      </c>
      <c r="G2418" s="148">
        <v>81.5</v>
      </c>
      <c r="H2418" s="140">
        <v>277.0</v>
      </c>
      <c r="I2418" s="103">
        <v>22.64878</v>
      </c>
      <c r="J2418" s="103">
        <v>22.77886</v>
      </c>
      <c r="K2418" s="140">
        <v>277.0</v>
      </c>
      <c r="L2418" s="103">
        <v>22.66456</v>
      </c>
      <c r="M2418" s="103">
        <v>22.76172</v>
      </c>
      <c r="N2418" s="144"/>
    </row>
    <row r="2419" ht="15.75" customHeight="1">
      <c r="A2419" s="2" t="s">
        <v>44</v>
      </c>
      <c r="B2419" s="2" t="s">
        <v>47</v>
      </c>
      <c r="C2419" s="2" t="s">
        <v>4839</v>
      </c>
      <c r="D2419" s="2" t="s">
        <v>636</v>
      </c>
      <c r="E2419" s="152" t="s">
        <v>4855</v>
      </c>
      <c r="F2419" s="103">
        <v>267.18</v>
      </c>
      <c r="G2419" s="148">
        <v>31.75</v>
      </c>
      <c r="H2419" s="140">
        <v>277.0</v>
      </c>
      <c r="I2419" s="103">
        <v>19.00626</v>
      </c>
      <c r="J2419" s="103">
        <v>19.75183</v>
      </c>
      <c r="K2419" s="140">
        <v>277.0</v>
      </c>
      <c r="L2419" s="103">
        <v>19.29251</v>
      </c>
      <c r="M2419" s="103">
        <v>19.47605</v>
      </c>
      <c r="N2419" s="144"/>
    </row>
    <row r="2420" ht="15.75" customHeight="1">
      <c r="A2420" s="2" t="s">
        <v>44</v>
      </c>
      <c r="B2420" s="2" t="s">
        <v>47</v>
      </c>
      <c r="C2420" s="2" t="s">
        <v>4839</v>
      </c>
      <c r="D2420" s="2" t="s">
        <v>636</v>
      </c>
      <c r="E2420" s="153" t="s">
        <v>287</v>
      </c>
      <c r="F2420" s="103">
        <v>291.0693</v>
      </c>
      <c r="G2420" s="148">
        <v>63.18</v>
      </c>
      <c r="H2420" s="140">
        <v>277.0</v>
      </c>
      <c r="I2420" s="103">
        <v>19.19547</v>
      </c>
      <c r="J2420" s="103">
        <v>16.35679</v>
      </c>
      <c r="K2420" s="140">
        <v>277.0</v>
      </c>
      <c r="L2420" s="103">
        <v>17.97435</v>
      </c>
      <c r="M2420" s="103">
        <v>18.52618</v>
      </c>
      <c r="N2420" s="144"/>
    </row>
    <row r="2421" ht="15.75" customHeight="1">
      <c r="A2421" s="2" t="s">
        <v>44</v>
      </c>
      <c r="B2421" s="2" t="s">
        <v>47</v>
      </c>
      <c r="C2421" s="2" t="s">
        <v>4839</v>
      </c>
      <c r="D2421" s="2" t="s">
        <v>636</v>
      </c>
      <c r="E2421" s="152" t="s">
        <v>4856</v>
      </c>
      <c r="F2421" s="103">
        <v>303.2316</v>
      </c>
      <c r="G2421" s="148">
        <v>273.0</v>
      </c>
      <c r="H2421" s="140">
        <v>277.0</v>
      </c>
      <c r="I2421" s="103">
        <v>20.23603</v>
      </c>
      <c r="J2421" s="103">
        <v>20.44569</v>
      </c>
      <c r="K2421" s="140">
        <v>277.0</v>
      </c>
      <c r="L2421" s="103">
        <v>20.23836</v>
      </c>
      <c r="M2421" s="103">
        <v>20.45175</v>
      </c>
      <c r="N2421" s="144"/>
    </row>
    <row r="2422" ht="15.75" customHeight="1">
      <c r="A2422" s="2" t="s">
        <v>44</v>
      </c>
      <c r="B2422" s="2" t="s">
        <v>47</v>
      </c>
      <c r="C2422" s="2" t="s">
        <v>4839</v>
      </c>
      <c r="D2422" s="2" t="s">
        <v>636</v>
      </c>
      <c r="E2422" s="152" t="s">
        <v>4826</v>
      </c>
      <c r="F2422" s="103">
        <v>304.2996</v>
      </c>
      <c r="G2422" s="148">
        <v>30.02</v>
      </c>
      <c r="H2422" s="140">
        <v>277.0</v>
      </c>
      <c r="I2422" s="103">
        <v>18.5421</v>
      </c>
      <c r="J2422" s="103">
        <v>18.43044</v>
      </c>
      <c r="K2422" s="140">
        <v>277.0</v>
      </c>
      <c r="L2422" s="103">
        <v>18.68646</v>
      </c>
      <c r="M2422" s="103">
        <v>18.72972</v>
      </c>
      <c r="N2422" s="144"/>
    </row>
    <row r="2423" ht="15.75" customHeight="1">
      <c r="A2423" s="2" t="s">
        <v>44</v>
      </c>
      <c r="B2423" s="2" t="s">
        <v>47</v>
      </c>
      <c r="C2423" s="2" t="s">
        <v>4839</v>
      </c>
      <c r="D2423" s="2" t="s">
        <v>636</v>
      </c>
      <c r="E2423" s="152" t="s">
        <v>4857</v>
      </c>
      <c r="F2423" s="103">
        <v>479.3348</v>
      </c>
      <c r="G2423" s="148">
        <v>44.18</v>
      </c>
      <c r="H2423" s="140">
        <v>277.0</v>
      </c>
      <c r="I2423" s="103">
        <v>20.26822</v>
      </c>
      <c r="J2423" s="103">
        <v>21.48557</v>
      </c>
      <c r="K2423" s="140">
        <v>277.0</v>
      </c>
      <c r="L2423" s="103">
        <v>20.83911</v>
      </c>
      <c r="M2423" s="103">
        <v>21.44921</v>
      </c>
      <c r="N2423" s="144"/>
    </row>
    <row r="2424" ht="15.75" customHeight="1">
      <c r="A2424" s="2" t="s">
        <v>44</v>
      </c>
      <c r="B2424" s="2" t="s">
        <v>47</v>
      </c>
      <c r="C2424" s="2" t="s">
        <v>4839</v>
      </c>
      <c r="D2424" s="2" t="s">
        <v>636</v>
      </c>
      <c r="E2424" s="140" t="s">
        <v>4858</v>
      </c>
      <c r="F2424" s="103">
        <v>494.3237</v>
      </c>
      <c r="G2424" s="148">
        <v>49.38</v>
      </c>
      <c r="H2424" s="140">
        <v>277.0</v>
      </c>
      <c r="I2424" s="103">
        <v>27.61155</v>
      </c>
      <c r="J2424" s="103">
        <v>27.68672</v>
      </c>
      <c r="K2424" s="140">
        <v>277.0</v>
      </c>
      <c r="L2424" s="103">
        <v>27.72167</v>
      </c>
      <c r="M2424" s="103">
        <v>27.74706</v>
      </c>
      <c r="N2424" s="144"/>
    </row>
    <row r="2425" ht="15.75" customHeight="1">
      <c r="A2425" s="2" t="s">
        <v>44</v>
      </c>
      <c r="B2425" s="2" t="s">
        <v>47</v>
      </c>
      <c r="C2425" s="2" t="s">
        <v>4839</v>
      </c>
      <c r="D2425" s="2" t="s">
        <v>636</v>
      </c>
      <c r="E2425" s="152" t="s">
        <v>4859</v>
      </c>
      <c r="F2425" s="103">
        <v>497.3427</v>
      </c>
      <c r="G2425" s="148">
        <v>49.09</v>
      </c>
      <c r="H2425" s="140">
        <v>277.0</v>
      </c>
      <c r="I2425" s="103">
        <v>30.75334</v>
      </c>
      <c r="J2425" s="103">
        <v>30.85209</v>
      </c>
      <c r="K2425" s="140">
        <v>277.0</v>
      </c>
      <c r="L2425" s="103">
        <v>30.84302</v>
      </c>
      <c r="M2425" s="103">
        <v>30.89098</v>
      </c>
      <c r="N2425" s="144"/>
    </row>
    <row r="2426" ht="15.75" customHeight="1">
      <c r="A2426" s="2" t="s">
        <v>44</v>
      </c>
      <c r="B2426" s="2" t="s">
        <v>47</v>
      </c>
      <c r="C2426" s="2" t="s">
        <v>4839</v>
      </c>
      <c r="D2426" s="2" t="s">
        <v>636</v>
      </c>
      <c r="E2426" s="152" t="s">
        <v>4860</v>
      </c>
      <c r="F2426" s="103">
        <v>498.3457</v>
      </c>
      <c r="G2426" s="148">
        <v>49.11</v>
      </c>
      <c r="H2426" s="140">
        <v>277.0</v>
      </c>
      <c r="I2426" s="103">
        <v>27.99916</v>
      </c>
      <c r="J2426" s="103">
        <v>28.12847</v>
      </c>
      <c r="K2426" s="140">
        <v>277.0</v>
      </c>
      <c r="L2426" s="103">
        <v>28.12464</v>
      </c>
      <c r="M2426" s="103">
        <v>28.14396</v>
      </c>
      <c r="N2426" s="144"/>
    </row>
    <row r="2427" ht="15.75" customHeight="1">
      <c r="A2427" s="2" t="s">
        <v>44</v>
      </c>
      <c r="B2427" s="2" t="s">
        <v>47</v>
      </c>
      <c r="C2427" s="2" t="s">
        <v>4839</v>
      </c>
      <c r="D2427" s="2" t="s">
        <v>636</v>
      </c>
      <c r="E2427" s="153" t="s">
        <v>4861</v>
      </c>
      <c r="F2427" s="103">
        <v>510.3557</v>
      </c>
      <c r="G2427" s="148">
        <v>47.83</v>
      </c>
      <c r="H2427" s="140">
        <v>277.0</v>
      </c>
      <c r="I2427" s="103">
        <v>26.58717</v>
      </c>
      <c r="J2427" s="103">
        <v>26.7311</v>
      </c>
      <c r="K2427" s="140">
        <v>277.0</v>
      </c>
      <c r="L2427" s="103">
        <v>26.80666</v>
      </c>
      <c r="M2427" s="103">
        <v>26.86185</v>
      </c>
      <c r="N2427" s="144"/>
    </row>
    <row r="2428" ht="15.75" customHeight="1">
      <c r="A2428" s="2" t="s">
        <v>44</v>
      </c>
      <c r="B2428" s="2" t="s">
        <v>47</v>
      </c>
      <c r="C2428" s="2" t="s">
        <v>4839</v>
      </c>
      <c r="D2428" s="2" t="s">
        <v>636</v>
      </c>
      <c r="E2428" s="153" t="s">
        <v>4862</v>
      </c>
      <c r="F2428" s="103">
        <v>522.3553</v>
      </c>
      <c r="G2428" s="148">
        <v>48.28</v>
      </c>
      <c r="H2428" s="140">
        <v>277.0</v>
      </c>
      <c r="I2428" s="103">
        <v>30.22031</v>
      </c>
      <c r="J2428" s="103">
        <v>30.34908</v>
      </c>
      <c r="K2428" s="140">
        <v>277.0</v>
      </c>
      <c r="L2428" s="103">
        <v>30.3782</v>
      </c>
      <c r="M2428" s="103">
        <v>30.38754</v>
      </c>
      <c r="N2428" s="144"/>
    </row>
    <row r="2429" ht="15.75" customHeight="1">
      <c r="A2429" s="2" t="s">
        <v>44</v>
      </c>
      <c r="B2429" s="2" t="s">
        <v>47</v>
      </c>
      <c r="C2429" s="2" t="s">
        <v>4839</v>
      </c>
      <c r="D2429" s="2" t="s">
        <v>636</v>
      </c>
      <c r="E2429" s="140" t="s">
        <v>4863</v>
      </c>
      <c r="F2429" s="103">
        <v>620.5915</v>
      </c>
      <c r="G2429" s="148">
        <v>68.3</v>
      </c>
      <c r="H2429" s="140">
        <v>277.0</v>
      </c>
      <c r="I2429" s="103">
        <v>23.97749</v>
      </c>
      <c r="J2429" s="103">
        <v>23.97409</v>
      </c>
      <c r="K2429" s="140">
        <v>277.0</v>
      </c>
      <c r="L2429" s="103">
        <v>24.15148</v>
      </c>
      <c r="M2429" s="103">
        <v>24.19881</v>
      </c>
      <c r="N2429" s="144"/>
    </row>
    <row r="2430" ht="15.75" customHeight="1">
      <c r="E2430" s="80"/>
      <c r="F2430" s="80"/>
      <c r="G2430" s="142"/>
      <c r="H2430" s="143"/>
      <c r="I2430" s="143"/>
      <c r="J2430" s="143"/>
      <c r="K2430" s="143"/>
      <c r="N2430" s="144"/>
    </row>
    <row r="2431" ht="15.75" customHeight="1">
      <c r="E2431" s="80"/>
      <c r="F2431" s="80"/>
      <c r="G2431" s="142"/>
      <c r="H2431" s="143"/>
      <c r="I2431" s="143"/>
      <c r="J2431" s="143"/>
      <c r="K2431" s="143"/>
      <c r="N2431" s="144"/>
    </row>
    <row r="2432" ht="15.75" customHeight="1">
      <c r="E2432" s="80"/>
      <c r="F2432" s="80"/>
      <c r="G2432" s="142"/>
      <c r="H2432" s="143"/>
      <c r="I2432" s="143"/>
      <c r="J2432" s="143"/>
      <c r="K2432" s="143"/>
      <c r="N2432" s="144"/>
    </row>
    <row r="2433" ht="15.75" customHeight="1">
      <c r="E2433" s="80"/>
      <c r="F2433" s="80"/>
      <c r="G2433" s="142"/>
      <c r="H2433" s="143"/>
      <c r="I2433" s="143"/>
      <c r="J2433" s="143"/>
      <c r="K2433" s="143"/>
      <c r="N2433" s="144"/>
    </row>
    <row r="2434" ht="15.75" customHeight="1">
      <c r="E2434" s="80"/>
      <c r="F2434" s="80"/>
      <c r="G2434" s="142"/>
      <c r="H2434" s="143"/>
      <c r="I2434" s="143"/>
      <c r="J2434" s="143"/>
      <c r="K2434" s="143"/>
      <c r="N2434" s="144"/>
    </row>
    <row r="2435" ht="15.75" customHeight="1">
      <c r="E2435" s="80"/>
      <c r="F2435" s="80"/>
      <c r="G2435" s="142"/>
      <c r="H2435" s="143"/>
      <c r="I2435" s="143"/>
      <c r="J2435" s="143"/>
      <c r="K2435" s="143"/>
      <c r="N2435" s="144"/>
    </row>
    <row r="2436" ht="15.75" customHeight="1">
      <c r="E2436" s="80"/>
      <c r="F2436" s="80"/>
      <c r="G2436" s="142"/>
      <c r="H2436" s="143"/>
      <c r="I2436" s="143"/>
      <c r="J2436" s="143"/>
      <c r="K2436" s="143"/>
      <c r="N2436" s="144"/>
    </row>
    <row r="2437" ht="15.75" customHeight="1">
      <c r="E2437" s="80"/>
      <c r="F2437" s="80"/>
      <c r="G2437" s="142"/>
      <c r="H2437" s="143"/>
      <c r="I2437" s="143"/>
      <c r="J2437" s="143"/>
      <c r="K2437" s="143"/>
      <c r="N2437" s="144"/>
    </row>
    <row r="2438" ht="15.75" customHeight="1">
      <c r="E2438" s="80"/>
      <c r="F2438" s="80"/>
      <c r="G2438" s="142"/>
      <c r="H2438" s="143"/>
      <c r="I2438" s="143"/>
      <c r="J2438" s="143"/>
      <c r="K2438" s="143"/>
      <c r="N2438" s="144"/>
    </row>
    <row r="2439" ht="15.75" customHeight="1">
      <c r="E2439" s="80"/>
      <c r="F2439" s="80"/>
      <c r="G2439" s="142"/>
      <c r="H2439" s="143"/>
      <c r="I2439" s="143"/>
      <c r="J2439" s="143"/>
      <c r="K2439" s="143"/>
      <c r="N2439" s="144"/>
    </row>
    <row r="2440" ht="15.75" customHeight="1">
      <c r="E2440" s="80"/>
      <c r="F2440" s="80"/>
      <c r="G2440" s="142"/>
      <c r="H2440" s="143"/>
      <c r="I2440" s="143"/>
      <c r="J2440" s="143"/>
      <c r="K2440" s="143"/>
      <c r="N2440" s="144"/>
    </row>
    <row r="2441" ht="15.75" customHeight="1">
      <c r="E2441" s="80"/>
      <c r="F2441" s="80"/>
      <c r="G2441" s="142"/>
      <c r="H2441" s="143"/>
      <c r="I2441" s="143"/>
      <c r="J2441" s="143"/>
      <c r="K2441" s="143"/>
      <c r="N2441" s="144"/>
    </row>
    <row r="2442" ht="15.75" customHeight="1">
      <c r="E2442" s="80"/>
      <c r="F2442" s="80"/>
      <c r="G2442" s="142"/>
      <c r="H2442" s="143"/>
      <c r="I2442" s="143"/>
      <c r="J2442" s="143"/>
      <c r="K2442" s="143"/>
      <c r="N2442" s="144"/>
    </row>
    <row r="2443" ht="15.75" customHeight="1">
      <c r="E2443" s="80"/>
      <c r="F2443" s="80"/>
      <c r="G2443" s="142"/>
      <c r="H2443" s="143"/>
      <c r="I2443" s="143"/>
      <c r="J2443" s="143"/>
      <c r="K2443" s="143"/>
      <c r="N2443" s="144"/>
    </row>
    <row r="2444" ht="15.75" customHeight="1">
      <c r="E2444" s="80"/>
      <c r="F2444" s="80"/>
      <c r="G2444" s="142"/>
      <c r="H2444" s="143"/>
      <c r="I2444" s="143"/>
      <c r="J2444" s="143"/>
      <c r="K2444" s="143"/>
      <c r="N2444" s="144"/>
    </row>
    <row r="2445" ht="15.75" customHeight="1">
      <c r="E2445" s="80"/>
      <c r="F2445" s="80"/>
      <c r="G2445" s="142"/>
      <c r="H2445" s="143"/>
      <c r="I2445" s="143"/>
      <c r="J2445" s="143"/>
      <c r="K2445" s="143"/>
      <c r="N2445" s="144"/>
    </row>
    <row r="2446" ht="15.75" customHeight="1">
      <c r="E2446" s="80"/>
      <c r="F2446" s="80"/>
      <c r="G2446" s="142"/>
      <c r="H2446" s="143"/>
      <c r="I2446" s="143"/>
      <c r="J2446" s="143"/>
      <c r="K2446" s="143"/>
      <c r="N2446" s="144"/>
    </row>
    <row r="2447" ht="15.75" customHeight="1">
      <c r="E2447" s="80"/>
      <c r="F2447" s="80"/>
      <c r="G2447" s="142"/>
      <c r="H2447" s="143"/>
      <c r="I2447" s="143"/>
      <c r="J2447" s="143"/>
      <c r="K2447" s="143"/>
      <c r="N2447" s="144"/>
    </row>
    <row r="2448" ht="15.75" customHeight="1">
      <c r="E2448" s="80"/>
      <c r="F2448" s="80"/>
      <c r="G2448" s="142"/>
      <c r="H2448" s="143"/>
      <c r="I2448" s="143"/>
      <c r="J2448" s="143"/>
      <c r="K2448" s="143"/>
      <c r="N2448" s="144"/>
    </row>
    <row r="2449" ht="15.75" customHeight="1">
      <c r="E2449" s="80"/>
      <c r="F2449" s="80"/>
      <c r="G2449" s="142"/>
      <c r="H2449" s="143"/>
      <c r="I2449" s="143"/>
      <c r="J2449" s="143"/>
      <c r="K2449" s="143"/>
      <c r="N2449" s="144"/>
    </row>
    <row r="2450" ht="15.75" customHeight="1">
      <c r="E2450" s="80"/>
      <c r="F2450" s="80"/>
      <c r="G2450" s="142"/>
      <c r="H2450" s="143"/>
      <c r="I2450" s="143"/>
      <c r="J2450" s="143"/>
      <c r="K2450" s="143"/>
      <c r="N2450" s="144"/>
    </row>
    <row r="2451" ht="15.75" customHeight="1">
      <c r="E2451" s="80"/>
      <c r="F2451" s="80"/>
      <c r="G2451" s="142"/>
      <c r="H2451" s="143"/>
      <c r="I2451" s="143"/>
      <c r="J2451" s="143"/>
      <c r="K2451" s="143"/>
      <c r="N2451" s="144"/>
    </row>
    <row r="2452" ht="15.75" customHeight="1">
      <c r="E2452" s="80"/>
      <c r="F2452" s="80"/>
      <c r="G2452" s="142"/>
      <c r="H2452" s="143"/>
      <c r="I2452" s="143"/>
      <c r="J2452" s="143"/>
      <c r="K2452" s="143"/>
      <c r="N2452" s="144"/>
    </row>
    <row r="2453" ht="15.75" customHeight="1">
      <c r="E2453" s="80"/>
      <c r="F2453" s="80"/>
      <c r="G2453" s="142"/>
      <c r="H2453" s="143"/>
      <c r="I2453" s="143"/>
      <c r="J2453" s="143"/>
      <c r="K2453" s="143"/>
      <c r="N2453" s="144"/>
    </row>
    <row r="2454" ht="15.75" customHeight="1">
      <c r="E2454" s="80"/>
      <c r="F2454" s="80"/>
      <c r="G2454" s="142"/>
      <c r="H2454" s="143"/>
      <c r="I2454" s="143"/>
      <c r="J2454" s="143"/>
      <c r="K2454" s="143"/>
      <c r="N2454" s="144"/>
    </row>
    <row r="2455" ht="15.75" customHeight="1">
      <c r="E2455" s="80"/>
      <c r="F2455" s="80"/>
      <c r="G2455" s="142"/>
      <c r="H2455" s="143"/>
      <c r="I2455" s="143"/>
      <c r="J2455" s="143"/>
      <c r="K2455" s="143"/>
      <c r="N2455" s="144"/>
    </row>
    <row r="2456" ht="15.75" customHeight="1">
      <c r="E2456" s="80"/>
      <c r="F2456" s="80"/>
      <c r="G2456" s="142"/>
      <c r="H2456" s="143"/>
      <c r="I2456" s="143"/>
      <c r="J2456" s="143"/>
      <c r="K2456" s="143"/>
      <c r="N2456" s="144"/>
    </row>
    <row r="2457" ht="15.75" customHeight="1">
      <c r="E2457" s="80"/>
      <c r="F2457" s="80"/>
      <c r="G2457" s="142"/>
      <c r="H2457" s="143"/>
      <c r="I2457" s="143"/>
      <c r="J2457" s="143"/>
      <c r="K2457" s="143"/>
      <c r="N2457" s="144"/>
    </row>
    <row r="2458" ht="15.75" customHeight="1">
      <c r="E2458" s="80"/>
      <c r="F2458" s="80"/>
      <c r="G2458" s="142"/>
      <c r="H2458" s="143"/>
      <c r="I2458" s="143"/>
      <c r="J2458" s="143"/>
      <c r="K2458" s="143"/>
      <c r="N2458" s="144"/>
    </row>
    <row r="2459" ht="15.75" customHeight="1">
      <c r="E2459" s="80"/>
      <c r="F2459" s="80"/>
      <c r="G2459" s="142"/>
      <c r="H2459" s="143"/>
      <c r="I2459" s="143"/>
      <c r="J2459" s="143"/>
      <c r="K2459" s="143"/>
      <c r="N2459" s="144"/>
    </row>
    <row r="2460" ht="15.75" customHeight="1">
      <c r="E2460" s="80"/>
      <c r="F2460" s="80"/>
      <c r="G2460" s="142"/>
      <c r="H2460" s="143"/>
      <c r="I2460" s="143"/>
      <c r="J2460" s="143"/>
      <c r="K2460" s="143"/>
      <c r="N2460" s="144"/>
    </row>
    <row r="2461" ht="15.75" customHeight="1">
      <c r="E2461" s="80"/>
      <c r="F2461" s="80"/>
      <c r="G2461" s="142"/>
      <c r="H2461" s="143"/>
      <c r="I2461" s="143"/>
      <c r="J2461" s="143"/>
      <c r="K2461" s="143"/>
      <c r="N2461" s="144"/>
    </row>
    <row r="2462" ht="15.75" customHeight="1">
      <c r="E2462" s="80"/>
      <c r="F2462" s="80"/>
      <c r="G2462" s="142"/>
      <c r="H2462" s="143"/>
      <c r="I2462" s="143"/>
      <c r="J2462" s="143"/>
      <c r="K2462" s="143"/>
      <c r="N2462" s="144"/>
    </row>
    <row r="2463" ht="15.75" customHeight="1">
      <c r="E2463" s="80"/>
      <c r="F2463" s="80"/>
      <c r="G2463" s="142"/>
      <c r="H2463" s="143"/>
      <c r="I2463" s="143"/>
      <c r="J2463" s="143"/>
      <c r="K2463" s="143"/>
      <c r="N2463" s="144"/>
    </row>
    <row r="2464" ht="15.75" customHeight="1">
      <c r="E2464" s="80"/>
      <c r="F2464" s="80"/>
      <c r="G2464" s="142"/>
      <c r="H2464" s="143"/>
      <c r="I2464" s="143"/>
      <c r="J2464" s="143"/>
      <c r="K2464" s="143"/>
      <c r="N2464" s="144"/>
    </row>
    <row r="2465" ht="15.75" customHeight="1">
      <c r="E2465" s="80"/>
      <c r="F2465" s="80"/>
      <c r="G2465" s="142"/>
      <c r="H2465" s="143"/>
      <c r="I2465" s="143"/>
      <c r="J2465" s="143"/>
      <c r="K2465" s="143"/>
      <c r="N2465" s="144"/>
    </row>
    <row r="2466" ht="15.75" customHeight="1">
      <c r="E2466" s="80"/>
      <c r="F2466" s="80"/>
      <c r="G2466" s="142"/>
      <c r="H2466" s="143"/>
      <c r="I2466" s="143"/>
      <c r="J2466" s="143"/>
      <c r="K2466" s="143"/>
      <c r="N2466" s="144"/>
    </row>
    <row r="2467" ht="15.75" customHeight="1">
      <c r="E2467" s="80"/>
      <c r="F2467" s="80"/>
      <c r="G2467" s="142"/>
      <c r="H2467" s="143"/>
      <c r="I2467" s="143"/>
      <c r="J2467" s="143"/>
      <c r="K2467" s="143"/>
      <c r="N2467" s="144"/>
    </row>
    <row r="2468" ht="15.75" customHeight="1">
      <c r="E2468" s="80"/>
      <c r="F2468" s="80"/>
      <c r="G2468" s="142"/>
      <c r="H2468" s="143"/>
      <c r="I2468" s="143"/>
      <c r="J2468" s="143"/>
      <c r="K2468" s="143"/>
      <c r="N2468" s="144"/>
    </row>
    <row r="2469" ht="15.75" customHeight="1">
      <c r="E2469" s="80"/>
      <c r="F2469" s="80"/>
      <c r="G2469" s="142"/>
      <c r="H2469" s="143"/>
      <c r="I2469" s="143"/>
      <c r="J2469" s="143"/>
      <c r="K2469" s="143"/>
      <c r="N2469" s="144"/>
    </row>
    <row r="2470" ht="15.75" customHeight="1">
      <c r="E2470" s="80"/>
      <c r="F2470" s="80"/>
      <c r="G2470" s="142"/>
      <c r="H2470" s="143"/>
      <c r="I2470" s="143"/>
      <c r="J2470" s="143"/>
      <c r="K2470" s="143"/>
      <c r="N2470" s="144"/>
    </row>
    <row r="2471" ht="15.75" customHeight="1">
      <c r="E2471" s="80"/>
      <c r="F2471" s="80"/>
      <c r="G2471" s="142"/>
      <c r="H2471" s="143"/>
      <c r="I2471" s="143"/>
      <c r="J2471" s="143"/>
      <c r="K2471" s="143"/>
      <c r="N2471" s="144"/>
    </row>
    <row r="2472" ht="15.75" customHeight="1">
      <c r="E2472" s="80"/>
      <c r="F2472" s="80"/>
      <c r="G2472" s="142"/>
      <c r="H2472" s="143"/>
      <c r="I2472" s="143"/>
      <c r="J2472" s="143"/>
      <c r="K2472" s="143"/>
      <c r="N2472" s="144"/>
    </row>
    <row r="2473" ht="15.75" customHeight="1">
      <c r="E2473" s="80"/>
      <c r="F2473" s="80"/>
      <c r="G2473" s="142"/>
      <c r="H2473" s="143"/>
      <c r="I2473" s="143"/>
      <c r="J2473" s="143"/>
      <c r="K2473" s="143"/>
      <c r="N2473" s="144"/>
    </row>
    <row r="2474" ht="15.75" customHeight="1">
      <c r="E2474" s="80"/>
      <c r="F2474" s="80"/>
      <c r="G2474" s="142"/>
      <c r="H2474" s="143"/>
      <c r="I2474" s="143"/>
      <c r="J2474" s="143"/>
      <c r="K2474" s="143"/>
      <c r="N2474" s="144"/>
    </row>
    <row r="2475" ht="15.75" customHeight="1">
      <c r="E2475" s="80"/>
      <c r="F2475" s="80"/>
      <c r="G2475" s="142"/>
      <c r="H2475" s="143"/>
      <c r="I2475" s="143"/>
      <c r="J2475" s="143"/>
      <c r="K2475" s="143"/>
      <c r="N2475" s="144"/>
    </row>
    <row r="2476" ht="15.75" customHeight="1">
      <c r="E2476" s="80"/>
      <c r="F2476" s="80"/>
      <c r="G2476" s="142"/>
      <c r="H2476" s="143"/>
      <c r="I2476" s="143"/>
      <c r="J2476" s="143"/>
      <c r="K2476" s="143"/>
      <c r="N2476" s="144"/>
    </row>
    <row r="2477" ht="15.75" customHeight="1">
      <c r="E2477" s="80"/>
      <c r="F2477" s="80"/>
      <c r="G2477" s="142"/>
      <c r="H2477" s="143"/>
      <c r="I2477" s="143"/>
      <c r="J2477" s="143"/>
      <c r="K2477" s="143"/>
      <c r="N2477" s="144"/>
    </row>
    <row r="2478" ht="15.75" customHeight="1">
      <c r="E2478" s="80"/>
      <c r="F2478" s="80"/>
      <c r="G2478" s="142"/>
      <c r="H2478" s="143"/>
      <c r="I2478" s="143"/>
      <c r="J2478" s="143"/>
      <c r="K2478" s="143"/>
      <c r="N2478" s="144"/>
    </row>
    <row r="2479" ht="15.75" customHeight="1">
      <c r="E2479" s="80"/>
      <c r="F2479" s="80"/>
      <c r="G2479" s="142"/>
      <c r="H2479" s="143"/>
      <c r="I2479" s="143"/>
      <c r="J2479" s="143"/>
      <c r="K2479" s="143"/>
      <c r="N2479" s="144"/>
    </row>
    <row r="2480" ht="15.75" customHeight="1">
      <c r="E2480" s="80"/>
      <c r="F2480" s="80"/>
      <c r="G2480" s="142"/>
      <c r="H2480" s="143"/>
      <c r="I2480" s="143"/>
      <c r="J2480" s="143"/>
      <c r="K2480" s="143"/>
      <c r="N2480" s="144"/>
    </row>
    <row r="2481" ht="15.75" customHeight="1">
      <c r="E2481" s="80"/>
      <c r="F2481" s="80"/>
      <c r="G2481" s="142"/>
      <c r="H2481" s="143"/>
      <c r="I2481" s="143"/>
      <c r="J2481" s="143"/>
      <c r="K2481" s="143"/>
      <c r="N2481" s="144"/>
    </row>
    <row r="2482" ht="15.75" customHeight="1">
      <c r="E2482" s="80"/>
      <c r="F2482" s="80"/>
      <c r="G2482" s="142"/>
      <c r="H2482" s="143"/>
      <c r="I2482" s="143"/>
      <c r="J2482" s="143"/>
      <c r="K2482" s="143"/>
      <c r="N2482" s="144"/>
    </row>
    <row r="2483" ht="15.75" customHeight="1">
      <c r="E2483" s="80"/>
      <c r="F2483" s="80"/>
      <c r="G2483" s="142"/>
      <c r="H2483" s="143"/>
      <c r="I2483" s="143"/>
      <c r="J2483" s="143"/>
      <c r="K2483" s="143"/>
      <c r="N2483" s="144"/>
    </row>
    <row r="2484" ht="15.75" customHeight="1">
      <c r="E2484" s="80"/>
      <c r="F2484" s="80"/>
      <c r="G2484" s="142"/>
      <c r="H2484" s="143"/>
      <c r="I2484" s="143"/>
      <c r="J2484" s="143"/>
      <c r="K2484" s="143"/>
      <c r="N2484" s="144"/>
    </row>
    <row r="2485" ht="15.75" customHeight="1">
      <c r="E2485" s="80"/>
      <c r="F2485" s="80"/>
      <c r="G2485" s="142"/>
      <c r="H2485" s="143"/>
      <c r="I2485" s="143"/>
      <c r="J2485" s="143"/>
      <c r="K2485" s="143"/>
      <c r="N2485" s="144"/>
    </row>
    <row r="2486" ht="15.75" customHeight="1">
      <c r="E2486" s="80"/>
      <c r="F2486" s="80"/>
      <c r="G2486" s="142"/>
      <c r="H2486" s="143"/>
      <c r="I2486" s="143"/>
      <c r="J2486" s="143"/>
      <c r="K2486" s="143"/>
      <c r="N2486" s="144"/>
    </row>
    <row r="2487" ht="15.75" customHeight="1">
      <c r="E2487" s="80"/>
      <c r="F2487" s="80"/>
      <c r="G2487" s="142"/>
      <c r="H2487" s="143"/>
      <c r="I2487" s="143"/>
      <c r="J2487" s="143"/>
      <c r="K2487" s="143"/>
      <c r="N2487" s="144"/>
    </row>
    <row r="2488" ht="15.75" customHeight="1">
      <c r="E2488" s="80"/>
      <c r="F2488" s="80"/>
      <c r="G2488" s="142"/>
      <c r="H2488" s="143"/>
      <c r="I2488" s="143"/>
      <c r="J2488" s="143"/>
      <c r="K2488" s="143"/>
      <c r="N2488" s="144"/>
    </row>
    <row r="2489" ht="15.75" customHeight="1">
      <c r="E2489" s="80"/>
      <c r="F2489" s="80"/>
      <c r="G2489" s="142"/>
      <c r="H2489" s="143"/>
      <c r="I2489" s="143"/>
      <c r="J2489" s="143"/>
      <c r="K2489" s="143"/>
      <c r="N2489" s="144"/>
    </row>
    <row r="2490" ht="15.75" customHeight="1">
      <c r="E2490" s="80"/>
      <c r="F2490" s="80"/>
      <c r="G2490" s="142"/>
      <c r="H2490" s="143"/>
      <c r="I2490" s="143"/>
      <c r="J2490" s="143"/>
      <c r="K2490" s="143"/>
      <c r="N2490" s="144"/>
    </row>
    <row r="2491" ht="15.75" customHeight="1">
      <c r="E2491" s="80"/>
      <c r="F2491" s="80"/>
      <c r="G2491" s="142"/>
      <c r="H2491" s="143"/>
      <c r="I2491" s="143"/>
      <c r="J2491" s="143"/>
      <c r="K2491" s="143"/>
      <c r="N2491" s="144"/>
    </row>
    <row r="2492" ht="15.75" customHeight="1">
      <c r="E2492" s="80"/>
      <c r="F2492" s="80"/>
      <c r="G2492" s="142"/>
      <c r="H2492" s="143"/>
      <c r="I2492" s="143"/>
      <c r="J2492" s="143"/>
      <c r="K2492" s="143"/>
      <c r="N2492" s="144"/>
    </row>
    <row r="2493" ht="15.75" customHeight="1">
      <c r="E2493" s="80"/>
      <c r="F2493" s="80"/>
      <c r="G2493" s="142"/>
      <c r="H2493" s="143"/>
      <c r="I2493" s="143"/>
      <c r="J2493" s="143"/>
      <c r="K2493" s="143"/>
      <c r="N2493" s="144"/>
    </row>
    <row r="2494" ht="15.75" customHeight="1">
      <c r="E2494" s="80"/>
      <c r="F2494" s="80"/>
      <c r="G2494" s="142"/>
      <c r="H2494" s="143"/>
      <c r="I2494" s="143"/>
      <c r="J2494" s="143"/>
      <c r="K2494" s="143"/>
      <c r="N2494" s="144"/>
    </row>
    <row r="2495" ht="15.75" customHeight="1">
      <c r="E2495" s="80"/>
      <c r="F2495" s="80"/>
      <c r="G2495" s="142"/>
      <c r="H2495" s="143"/>
      <c r="I2495" s="143"/>
      <c r="J2495" s="143"/>
      <c r="K2495" s="143"/>
      <c r="N2495" s="144"/>
    </row>
    <row r="2496" ht="15.75" customHeight="1">
      <c r="E2496" s="80"/>
      <c r="F2496" s="80"/>
      <c r="G2496" s="142"/>
      <c r="H2496" s="143"/>
      <c r="I2496" s="143"/>
      <c r="J2496" s="143"/>
      <c r="K2496" s="143"/>
      <c r="N2496" s="144"/>
    </row>
    <row r="2497" ht="15.75" customHeight="1">
      <c r="E2497" s="80"/>
      <c r="F2497" s="80"/>
      <c r="G2497" s="142"/>
      <c r="H2497" s="143"/>
      <c r="I2497" s="143"/>
      <c r="J2497" s="143"/>
      <c r="K2497" s="143"/>
      <c r="N2497" s="144"/>
    </row>
    <row r="2498" ht="15.75" customHeight="1">
      <c r="E2498" s="80"/>
      <c r="F2498" s="80"/>
      <c r="G2498" s="142"/>
      <c r="H2498" s="143"/>
      <c r="I2498" s="143"/>
      <c r="J2498" s="143"/>
      <c r="K2498" s="143"/>
      <c r="N2498" s="144"/>
    </row>
    <row r="2499" ht="15.75" customHeight="1">
      <c r="E2499" s="80"/>
      <c r="F2499" s="80"/>
      <c r="G2499" s="142"/>
      <c r="H2499" s="143"/>
      <c r="I2499" s="143"/>
      <c r="J2499" s="143"/>
      <c r="K2499" s="143"/>
      <c r="N2499" s="144"/>
    </row>
    <row r="2500" ht="15.75" customHeight="1">
      <c r="E2500" s="80"/>
      <c r="F2500" s="80"/>
      <c r="G2500" s="142"/>
      <c r="H2500" s="143"/>
      <c r="I2500" s="143"/>
      <c r="J2500" s="143"/>
      <c r="K2500" s="143"/>
      <c r="N2500" s="144"/>
    </row>
    <row r="2501" ht="15.75" customHeight="1">
      <c r="E2501" s="80"/>
      <c r="F2501" s="80"/>
      <c r="G2501" s="142"/>
      <c r="H2501" s="143"/>
      <c r="I2501" s="143"/>
      <c r="J2501" s="143"/>
      <c r="K2501" s="143"/>
      <c r="N2501" s="144"/>
    </row>
    <row r="2502" ht="15.75" customHeight="1">
      <c r="E2502" s="80"/>
      <c r="F2502" s="80"/>
      <c r="G2502" s="142"/>
      <c r="H2502" s="143"/>
      <c r="I2502" s="143"/>
      <c r="J2502" s="143"/>
      <c r="K2502" s="143"/>
      <c r="N2502" s="144"/>
    </row>
    <row r="2503" ht="15.75" customHeight="1">
      <c r="E2503" s="80"/>
      <c r="F2503" s="80"/>
      <c r="G2503" s="142"/>
      <c r="H2503" s="143"/>
      <c r="I2503" s="143"/>
      <c r="J2503" s="143"/>
      <c r="K2503" s="143"/>
      <c r="N2503" s="144"/>
    </row>
    <row r="2504" ht="15.75" customHeight="1">
      <c r="E2504" s="80"/>
      <c r="F2504" s="80"/>
      <c r="G2504" s="142"/>
      <c r="H2504" s="143"/>
      <c r="I2504" s="143"/>
      <c r="J2504" s="143"/>
      <c r="K2504" s="143"/>
      <c r="N2504" s="144"/>
    </row>
    <row r="2505" ht="15.75" customHeight="1">
      <c r="E2505" s="80"/>
      <c r="F2505" s="80"/>
      <c r="G2505" s="142"/>
      <c r="H2505" s="143"/>
      <c r="I2505" s="143"/>
      <c r="J2505" s="143"/>
      <c r="K2505" s="143"/>
      <c r="N2505" s="144"/>
    </row>
    <row r="2506" ht="15.75" customHeight="1">
      <c r="E2506" s="80"/>
      <c r="F2506" s="80"/>
      <c r="G2506" s="142"/>
      <c r="H2506" s="143"/>
      <c r="I2506" s="143"/>
      <c r="J2506" s="143"/>
      <c r="K2506" s="143"/>
      <c r="N2506" s="144"/>
    </row>
    <row r="2507" ht="15.75" customHeight="1">
      <c r="E2507" s="80"/>
      <c r="F2507" s="80"/>
      <c r="G2507" s="142"/>
      <c r="H2507" s="143"/>
      <c r="I2507" s="143"/>
      <c r="J2507" s="143"/>
      <c r="K2507" s="143"/>
      <c r="N2507" s="144"/>
    </row>
    <row r="2508" ht="15.75" customHeight="1">
      <c r="E2508" s="80"/>
      <c r="F2508" s="80"/>
      <c r="G2508" s="142"/>
      <c r="H2508" s="143"/>
      <c r="I2508" s="143"/>
      <c r="J2508" s="143"/>
      <c r="K2508" s="143"/>
      <c r="N2508" s="144"/>
    </row>
    <row r="2509" ht="15.75" customHeight="1">
      <c r="E2509" s="80"/>
      <c r="F2509" s="80"/>
      <c r="G2509" s="142"/>
      <c r="H2509" s="143"/>
      <c r="I2509" s="143"/>
      <c r="J2509" s="143"/>
      <c r="K2509" s="143"/>
      <c r="N2509" s="144"/>
    </row>
    <row r="2510" ht="15.75" customHeight="1">
      <c r="E2510" s="80"/>
      <c r="F2510" s="80"/>
      <c r="G2510" s="142"/>
      <c r="H2510" s="143"/>
      <c r="I2510" s="143"/>
      <c r="J2510" s="143"/>
      <c r="K2510" s="143"/>
      <c r="N2510" s="144"/>
    </row>
    <row r="2511" ht="15.75" customHeight="1">
      <c r="E2511" s="80"/>
      <c r="F2511" s="80"/>
      <c r="G2511" s="142"/>
      <c r="H2511" s="143"/>
      <c r="I2511" s="143"/>
      <c r="J2511" s="143"/>
      <c r="K2511" s="143"/>
      <c r="N2511" s="144"/>
    </row>
    <row r="2512" ht="15.75" customHeight="1">
      <c r="E2512" s="80"/>
      <c r="F2512" s="80"/>
      <c r="G2512" s="142"/>
      <c r="H2512" s="143"/>
      <c r="I2512" s="143"/>
      <c r="J2512" s="143"/>
      <c r="K2512" s="143"/>
      <c r="N2512" s="144"/>
    </row>
    <row r="2513" ht="15.75" customHeight="1">
      <c r="E2513" s="80"/>
      <c r="F2513" s="80"/>
      <c r="G2513" s="142"/>
      <c r="H2513" s="143"/>
      <c r="I2513" s="143"/>
      <c r="J2513" s="143"/>
      <c r="K2513" s="143"/>
      <c r="N2513" s="144"/>
    </row>
    <row r="2514" ht="15.75" customHeight="1">
      <c r="E2514" s="80"/>
      <c r="F2514" s="80"/>
      <c r="G2514" s="142"/>
      <c r="H2514" s="143"/>
      <c r="I2514" s="143"/>
      <c r="J2514" s="143"/>
      <c r="K2514" s="143"/>
      <c r="N2514" s="144"/>
    </row>
    <row r="2515" ht="15.75" customHeight="1">
      <c r="E2515" s="80"/>
      <c r="F2515" s="80"/>
      <c r="G2515" s="142"/>
      <c r="H2515" s="143"/>
      <c r="I2515" s="143"/>
      <c r="J2515" s="143"/>
      <c r="K2515" s="143"/>
      <c r="N2515" s="144"/>
    </row>
    <row r="2516" ht="15.75" customHeight="1">
      <c r="E2516" s="80"/>
      <c r="F2516" s="80"/>
      <c r="G2516" s="142"/>
      <c r="H2516" s="143"/>
      <c r="I2516" s="143"/>
      <c r="J2516" s="143"/>
      <c r="K2516" s="143"/>
      <c r="N2516" s="144"/>
    </row>
    <row r="2517" ht="15.75" customHeight="1">
      <c r="E2517" s="80"/>
      <c r="F2517" s="80"/>
      <c r="G2517" s="142"/>
      <c r="H2517" s="143"/>
      <c r="I2517" s="143"/>
      <c r="J2517" s="143"/>
      <c r="K2517" s="143"/>
      <c r="N2517" s="144"/>
    </row>
    <row r="2518" ht="15.75" customHeight="1">
      <c r="E2518" s="80"/>
      <c r="F2518" s="80"/>
      <c r="G2518" s="142"/>
      <c r="H2518" s="143"/>
      <c r="I2518" s="143"/>
      <c r="J2518" s="143"/>
      <c r="K2518" s="143"/>
      <c r="N2518" s="144"/>
    </row>
    <row r="2519" ht="15.75" customHeight="1">
      <c r="E2519" s="80"/>
      <c r="F2519" s="80"/>
      <c r="G2519" s="142"/>
      <c r="H2519" s="143"/>
      <c r="I2519" s="143"/>
      <c r="J2519" s="143"/>
      <c r="K2519" s="143"/>
      <c r="N2519" s="144"/>
    </row>
    <row r="2520" ht="15.75" customHeight="1">
      <c r="E2520" s="80"/>
      <c r="F2520" s="80"/>
      <c r="G2520" s="142"/>
      <c r="H2520" s="143"/>
      <c r="I2520" s="143"/>
      <c r="J2520" s="143"/>
      <c r="K2520" s="143"/>
      <c r="N2520" s="144"/>
    </row>
    <row r="2521" ht="15.75" customHeight="1">
      <c r="E2521" s="80"/>
      <c r="F2521" s="80"/>
      <c r="G2521" s="142"/>
      <c r="H2521" s="143"/>
      <c r="I2521" s="143"/>
      <c r="J2521" s="143"/>
      <c r="K2521" s="143"/>
      <c r="N2521" s="144"/>
    </row>
    <row r="2522" ht="15.75" customHeight="1">
      <c r="E2522" s="80"/>
      <c r="F2522" s="80"/>
      <c r="G2522" s="142"/>
      <c r="H2522" s="143"/>
      <c r="I2522" s="143"/>
      <c r="J2522" s="143"/>
      <c r="K2522" s="143"/>
      <c r="N2522" s="144"/>
    </row>
    <row r="2523" ht="15.75" customHeight="1">
      <c r="E2523" s="80"/>
      <c r="F2523" s="80"/>
      <c r="G2523" s="142"/>
      <c r="H2523" s="143"/>
      <c r="I2523" s="143"/>
      <c r="J2523" s="143"/>
      <c r="K2523" s="143"/>
      <c r="N2523" s="144"/>
    </row>
    <row r="2524" ht="15.75" customHeight="1">
      <c r="E2524" s="80"/>
      <c r="F2524" s="80"/>
      <c r="G2524" s="142"/>
      <c r="H2524" s="143"/>
      <c r="I2524" s="143"/>
      <c r="J2524" s="143"/>
      <c r="K2524" s="143"/>
      <c r="N2524" s="144"/>
    </row>
    <row r="2525" ht="15.75" customHeight="1">
      <c r="E2525" s="80"/>
      <c r="F2525" s="80"/>
      <c r="G2525" s="142"/>
      <c r="H2525" s="143"/>
      <c r="I2525" s="143"/>
      <c r="J2525" s="143"/>
      <c r="K2525" s="143"/>
      <c r="N2525" s="144"/>
    </row>
    <row r="2526" ht="15.75" customHeight="1">
      <c r="E2526" s="80"/>
      <c r="F2526" s="80"/>
      <c r="G2526" s="142"/>
      <c r="H2526" s="143"/>
      <c r="I2526" s="143"/>
      <c r="J2526" s="143"/>
      <c r="K2526" s="143"/>
      <c r="N2526" s="144"/>
    </row>
    <row r="2527" ht="15.75" customHeight="1">
      <c r="E2527" s="80"/>
      <c r="F2527" s="80"/>
      <c r="G2527" s="142"/>
      <c r="H2527" s="143"/>
      <c r="I2527" s="143"/>
      <c r="J2527" s="143"/>
      <c r="K2527" s="143"/>
      <c r="N2527" s="144"/>
    </row>
    <row r="2528" ht="15.75" customHeight="1">
      <c r="E2528" s="80"/>
      <c r="F2528" s="80"/>
      <c r="G2528" s="142"/>
      <c r="H2528" s="143"/>
      <c r="I2528" s="143"/>
      <c r="J2528" s="143"/>
      <c r="K2528" s="143"/>
      <c r="N2528" s="144"/>
    </row>
    <row r="2529" ht="15.75" customHeight="1">
      <c r="E2529" s="80"/>
      <c r="F2529" s="80"/>
      <c r="G2529" s="142"/>
      <c r="H2529" s="143"/>
      <c r="I2529" s="143"/>
      <c r="J2529" s="143"/>
      <c r="K2529" s="143"/>
      <c r="N2529" s="144"/>
    </row>
    <row r="2530" ht="15.75" customHeight="1">
      <c r="E2530" s="80"/>
      <c r="F2530" s="80"/>
      <c r="G2530" s="142"/>
      <c r="H2530" s="143"/>
      <c r="I2530" s="143"/>
      <c r="J2530" s="143"/>
      <c r="K2530" s="143"/>
      <c r="N2530" s="144"/>
    </row>
    <row r="2531" ht="15.75" customHeight="1">
      <c r="E2531" s="80"/>
      <c r="F2531" s="80"/>
      <c r="G2531" s="142"/>
      <c r="H2531" s="143"/>
      <c r="I2531" s="143"/>
      <c r="J2531" s="143"/>
      <c r="K2531" s="143"/>
      <c r="N2531" s="144"/>
    </row>
    <row r="2532" ht="15.75" customHeight="1">
      <c r="E2532" s="80"/>
      <c r="F2532" s="80"/>
      <c r="G2532" s="142"/>
      <c r="H2532" s="143"/>
      <c r="I2532" s="143"/>
      <c r="J2532" s="143"/>
      <c r="K2532" s="143"/>
      <c r="N2532" s="144"/>
    </row>
    <row r="2533" ht="15.75" customHeight="1">
      <c r="E2533" s="80"/>
      <c r="F2533" s="80"/>
      <c r="G2533" s="142"/>
      <c r="H2533" s="143"/>
      <c r="I2533" s="143"/>
      <c r="J2533" s="143"/>
      <c r="K2533" s="143"/>
      <c r="N2533" s="144"/>
    </row>
    <row r="2534" ht="15.75" customHeight="1">
      <c r="E2534" s="80"/>
      <c r="F2534" s="80"/>
      <c r="G2534" s="142"/>
      <c r="H2534" s="143"/>
      <c r="I2534" s="143"/>
      <c r="J2534" s="143"/>
      <c r="K2534" s="143"/>
      <c r="N2534" s="144"/>
    </row>
    <row r="2535" ht="15.75" customHeight="1">
      <c r="E2535" s="80"/>
      <c r="F2535" s="80"/>
      <c r="G2535" s="142"/>
      <c r="H2535" s="143"/>
      <c r="I2535" s="143"/>
      <c r="J2535" s="143"/>
      <c r="K2535" s="143"/>
      <c r="N2535" s="144"/>
    </row>
    <row r="2536" ht="15.75" customHeight="1">
      <c r="E2536" s="80"/>
      <c r="F2536" s="80"/>
      <c r="G2536" s="142"/>
      <c r="H2536" s="143"/>
      <c r="I2536" s="143"/>
      <c r="J2536" s="143"/>
      <c r="K2536" s="143"/>
      <c r="N2536" s="144"/>
    </row>
    <row r="2537" ht="15.75" customHeight="1">
      <c r="E2537" s="80"/>
      <c r="F2537" s="80"/>
      <c r="G2537" s="142"/>
      <c r="H2537" s="143"/>
      <c r="I2537" s="143"/>
      <c r="J2537" s="143"/>
      <c r="K2537" s="143"/>
      <c r="N2537" s="144"/>
    </row>
    <row r="2538" ht="15.75" customHeight="1">
      <c r="E2538" s="80"/>
      <c r="F2538" s="80"/>
      <c r="G2538" s="142"/>
      <c r="H2538" s="143"/>
      <c r="I2538" s="143"/>
      <c r="J2538" s="143"/>
      <c r="K2538" s="143"/>
      <c r="N2538" s="144"/>
    </row>
    <row r="2539" ht="15.75" customHeight="1">
      <c r="E2539" s="80"/>
      <c r="F2539" s="80"/>
      <c r="G2539" s="142"/>
      <c r="H2539" s="143"/>
      <c r="I2539" s="143"/>
      <c r="J2539" s="143"/>
      <c r="K2539" s="143"/>
      <c r="N2539" s="144"/>
    </row>
    <row r="2540" ht="15.75" customHeight="1">
      <c r="E2540" s="80"/>
      <c r="F2540" s="80"/>
      <c r="G2540" s="142"/>
      <c r="H2540" s="143"/>
      <c r="I2540" s="143"/>
      <c r="J2540" s="143"/>
      <c r="K2540" s="143"/>
      <c r="N2540" s="144"/>
    </row>
    <row r="2541" ht="15.75" customHeight="1">
      <c r="E2541" s="80"/>
      <c r="F2541" s="80"/>
      <c r="G2541" s="142"/>
      <c r="H2541" s="143"/>
      <c r="I2541" s="143"/>
      <c r="J2541" s="143"/>
      <c r="K2541" s="143"/>
      <c r="N2541" s="144"/>
    </row>
    <row r="2542" ht="15.75" customHeight="1">
      <c r="E2542" s="80"/>
      <c r="F2542" s="80"/>
      <c r="G2542" s="142"/>
      <c r="H2542" s="143"/>
      <c r="I2542" s="143"/>
      <c r="J2542" s="143"/>
      <c r="K2542" s="143"/>
      <c r="N2542" s="144"/>
    </row>
    <row r="2543" ht="15.75" customHeight="1">
      <c r="E2543" s="80"/>
      <c r="F2543" s="80"/>
      <c r="G2543" s="142"/>
      <c r="H2543" s="143"/>
      <c r="I2543" s="143"/>
      <c r="J2543" s="143"/>
      <c r="K2543" s="143"/>
      <c r="N2543" s="144"/>
    </row>
    <row r="2544" ht="15.75" customHeight="1">
      <c r="E2544" s="80"/>
      <c r="F2544" s="80"/>
      <c r="G2544" s="142"/>
      <c r="H2544" s="143"/>
      <c r="I2544" s="143"/>
      <c r="J2544" s="143"/>
      <c r="K2544" s="143"/>
      <c r="N2544" s="144"/>
    </row>
    <row r="2545" ht="15.75" customHeight="1">
      <c r="E2545" s="80"/>
      <c r="F2545" s="80"/>
      <c r="G2545" s="142"/>
      <c r="H2545" s="143"/>
      <c r="I2545" s="143"/>
      <c r="J2545" s="143"/>
      <c r="K2545" s="143"/>
      <c r="N2545" s="144"/>
    </row>
    <row r="2546" ht="15.75" customHeight="1">
      <c r="E2546" s="80"/>
      <c r="F2546" s="80"/>
      <c r="G2546" s="142"/>
      <c r="H2546" s="143"/>
      <c r="I2546" s="143"/>
      <c r="J2546" s="143"/>
      <c r="K2546" s="143"/>
      <c r="N2546" s="144"/>
    </row>
    <row r="2547" ht="15.75" customHeight="1">
      <c r="E2547" s="80"/>
      <c r="F2547" s="80"/>
      <c r="G2547" s="142"/>
      <c r="H2547" s="143"/>
      <c r="I2547" s="143"/>
      <c r="J2547" s="143"/>
      <c r="K2547" s="143"/>
      <c r="N2547" s="144"/>
    </row>
    <row r="2548" ht="15.75" customHeight="1">
      <c r="E2548" s="80"/>
      <c r="F2548" s="80"/>
      <c r="G2548" s="142"/>
      <c r="H2548" s="143"/>
      <c r="I2548" s="143"/>
      <c r="J2548" s="143"/>
      <c r="K2548" s="143"/>
      <c r="N2548" s="144"/>
    </row>
    <row r="2549" ht="15.75" customHeight="1">
      <c r="E2549" s="80"/>
      <c r="F2549" s="80"/>
      <c r="G2549" s="142"/>
      <c r="H2549" s="143"/>
      <c r="I2549" s="143"/>
      <c r="J2549" s="143"/>
      <c r="K2549" s="143"/>
      <c r="N2549" s="144"/>
    </row>
    <row r="2550" ht="15.75" customHeight="1">
      <c r="E2550" s="80"/>
      <c r="F2550" s="80"/>
      <c r="G2550" s="142"/>
      <c r="H2550" s="143"/>
      <c r="I2550" s="143"/>
      <c r="J2550" s="143"/>
      <c r="K2550" s="143"/>
      <c r="N2550" s="144"/>
    </row>
    <row r="2551" ht="15.75" customHeight="1">
      <c r="E2551" s="80"/>
      <c r="F2551" s="80"/>
      <c r="G2551" s="142"/>
      <c r="H2551" s="143"/>
      <c r="I2551" s="143"/>
      <c r="J2551" s="143"/>
      <c r="K2551" s="143"/>
      <c r="N2551" s="144"/>
    </row>
    <row r="2552" ht="15.75" customHeight="1">
      <c r="E2552" s="80"/>
      <c r="F2552" s="80"/>
      <c r="G2552" s="142"/>
      <c r="H2552" s="143"/>
      <c r="I2552" s="143"/>
      <c r="J2552" s="143"/>
      <c r="K2552" s="143"/>
      <c r="N2552" s="144"/>
    </row>
    <row r="2553" ht="15.75" customHeight="1">
      <c r="E2553" s="80"/>
      <c r="F2553" s="80"/>
      <c r="G2553" s="142"/>
      <c r="H2553" s="143"/>
      <c r="I2553" s="143"/>
      <c r="J2553" s="143"/>
      <c r="K2553" s="143"/>
      <c r="N2553" s="144"/>
    </row>
    <row r="2554" ht="15.75" customHeight="1">
      <c r="E2554" s="80"/>
      <c r="F2554" s="80"/>
      <c r="G2554" s="142"/>
      <c r="H2554" s="143"/>
      <c r="I2554" s="143"/>
      <c r="J2554" s="143"/>
      <c r="K2554" s="143"/>
      <c r="N2554" s="144"/>
    </row>
    <row r="2555" ht="15.75" customHeight="1">
      <c r="E2555" s="80"/>
      <c r="F2555" s="80"/>
      <c r="G2555" s="142"/>
      <c r="H2555" s="143"/>
      <c r="I2555" s="143"/>
      <c r="J2555" s="143"/>
      <c r="K2555" s="143"/>
      <c r="N2555" s="144"/>
    </row>
    <row r="2556" ht="15.75" customHeight="1">
      <c r="E2556" s="80"/>
      <c r="F2556" s="80"/>
      <c r="G2556" s="142"/>
      <c r="H2556" s="143"/>
      <c r="I2556" s="143"/>
      <c r="J2556" s="143"/>
      <c r="K2556" s="143"/>
      <c r="N2556" s="144"/>
    </row>
    <row r="2557" ht="15.75" customHeight="1">
      <c r="E2557" s="80"/>
      <c r="F2557" s="80"/>
      <c r="G2557" s="142"/>
      <c r="H2557" s="143"/>
      <c r="I2557" s="143"/>
      <c r="J2557" s="143"/>
      <c r="K2557" s="143"/>
      <c r="N2557" s="144"/>
    </row>
    <row r="2558" ht="15.75" customHeight="1">
      <c r="E2558" s="80"/>
      <c r="F2558" s="80"/>
      <c r="G2558" s="142"/>
      <c r="H2558" s="143"/>
      <c r="I2558" s="143"/>
      <c r="J2558" s="143"/>
      <c r="K2558" s="143"/>
      <c r="N2558" s="144"/>
    </row>
    <row r="2559" ht="15.75" customHeight="1">
      <c r="E2559" s="80"/>
      <c r="F2559" s="80"/>
      <c r="G2559" s="142"/>
      <c r="H2559" s="143"/>
      <c r="I2559" s="143"/>
      <c r="J2559" s="143"/>
      <c r="K2559" s="143"/>
      <c r="N2559" s="144"/>
    </row>
    <row r="2560" ht="15.75" customHeight="1">
      <c r="E2560" s="80"/>
      <c r="F2560" s="80"/>
      <c r="G2560" s="142"/>
      <c r="H2560" s="143"/>
      <c r="I2560" s="143"/>
      <c r="J2560" s="143"/>
      <c r="K2560" s="143"/>
      <c r="N2560" s="144"/>
    </row>
    <row r="2561" ht="15.75" customHeight="1">
      <c r="E2561" s="80"/>
      <c r="F2561" s="80"/>
      <c r="G2561" s="142"/>
      <c r="H2561" s="143"/>
      <c r="I2561" s="143"/>
      <c r="J2561" s="143"/>
      <c r="K2561" s="143"/>
      <c r="N2561" s="144"/>
    </row>
    <row r="2562" ht="15.75" customHeight="1">
      <c r="E2562" s="80"/>
      <c r="F2562" s="80"/>
      <c r="G2562" s="142"/>
      <c r="H2562" s="143"/>
      <c r="I2562" s="143"/>
      <c r="J2562" s="143"/>
      <c r="K2562" s="143"/>
      <c r="N2562" s="144"/>
    </row>
    <row r="2563" ht="15.75" customHeight="1">
      <c r="E2563" s="80"/>
      <c r="F2563" s="80"/>
      <c r="G2563" s="142"/>
      <c r="H2563" s="143"/>
      <c r="I2563" s="143"/>
      <c r="J2563" s="143"/>
      <c r="K2563" s="143"/>
      <c r="N2563" s="144"/>
    </row>
    <row r="2564" ht="15.75" customHeight="1">
      <c r="E2564" s="80"/>
      <c r="F2564" s="80"/>
      <c r="G2564" s="142"/>
      <c r="H2564" s="143"/>
      <c r="I2564" s="143"/>
      <c r="J2564" s="143"/>
      <c r="K2564" s="143"/>
      <c r="N2564" s="144"/>
    </row>
    <row r="2565" ht="15.75" customHeight="1">
      <c r="E2565" s="80"/>
      <c r="F2565" s="80"/>
      <c r="G2565" s="142"/>
      <c r="H2565" s="143"/>
      <c r="I2565" s="143"/>
      <c r="J2565" s="143"/>
      <c r="K2565" s="143"/>
      <c r="N2565" s="144"/>
    </row>
    <row r="2566" ht="15.75" customHeight="1">
      <c r="E2566" s="80"/>
      <c r="F2566" s="80"/>
      <c r="G2566" s="142"/>
      <c r="H2566" s="143"/>
      <c r="I2566" s="143"/>
      <c r="J2566" s="143"/>
      <c r="K2566" s="143"/>
      <c r="N2566" s="144"/>
    </row>
    <row r="2567" ht="15.75" customHeight="1">
      <c r="E2567" s="80"/>
      <c r="F2567" s="80"/>
      <c r="G2567" s="142"/>
      <c r="H2567" s="143"/>
      <c r="I2567" s="143"/>
      <c r="J2567" s="143"/>
      <c r="K2567" s="143"/>
      <c r="N2567" s="144"/>
    </row>
    <row r="2568" ht="15.75" customHeight="1">
      <c r="E2568" s="80"/>
      <c r="F2568" s="80"/>
      <c r="G2568" s="142"/>
      <c r="H2568" s="143"/>
      <c r="I2568" s="143"/>
      <c r="J2568" s="143"/>
      <c r="K2568" s="143"/>
      <c r="N2568" s="144"/>
    </row>
    <row r="2569" ht="15.75" customHeight="1">
      <c r="E2569" s="80"/>
      <c r="F2569" s="80"/>
      <c r="G2569" s="142"/>
      <c r="H2569" s="143"/>
      <c r="I2569" s="143"/>
      <c r="J2569" s="143"/>
      <c r="K2569" s="143"/>
      <c r="N2569" s="144"/>
    </row>
    <row r="2570" ht="15.75" customHeight="1">
      <c r="E2570" s="80"/>
      <c r="F2570" s="80"/>
      <c r="G2570" s="142"/>
      <c r="H2570" s="143"/>
      <c r="I2570" s="143"/>
      <c r="J2570" s="143"/>
      <c r="K2570" s="143"/>
      <c r="N2570" s="144"/>
    </row>
    <row r="2571" ht="15.75" customHeight="1">
      <c r="E2571" s="80"/>
      <c r="F2571" s="80"/>
      <c r="G2571" s="142"/>
      <c r="H2571" s="143"/>
      <c r="I2571" s="143"/>
      <c r="J2571" s="143"/>
      <c r="K2571" s="143"/>
      <c r="N2571" s="144"/>
    </row>
    <row r="2572" ht="15.75" customHeight="1">
      <c r="E2572" s="80"/>
      <c r="F2572" s="80"/>
      <c r="G2572" s="142"/>
      <c r="H2572" s="143"/>
      <c r="I2572" s="143"/>
      <c r="J2572" s="143"/>
      <c r="K2572" s="143"/>
      <c r="N2572" s="144"/>
    </row>
    <row r="2573" ht="15.75" customHeight="1">
      <c r="E2573" s="80"/>
      <c r="F2573" s="80"/>
      <c r="G2573" s="142"/>
      <c r="H2573" s="143"/>
      <c r="I2573" s="143"/>
      <c r="J2573" s="143"/>
      <c r="K2573" s="143"/>
      <c r="N2573" s="144"/>
    </row>
    <row r="2574" ht="15.75" customHeight="1">
      <c r="E2574" s="80"/>
      <c r="F2574" s="80"/>
      <c r="G2574" s="142"/>
      <c r="H2574" s="143"/>
      <c r="I2574" s="143"/>
      <c r="J2574" s="143"/>
      <c r="K2574" s="143"/>
      <c r="N2574" s="144"/>
    </row>
    <row r="2575" ht="15.75" customHeight="1">
      <c r="E2575" s="80"/>
      <c r="F2575" s="80"/>
      <c r="G2575" s="142"/>
      <c r="H2575" s="143"/>
      <c r="I2575" s="143"/>
      <c r="J2575" s="143"/>
      <c r="K2575" s="143"/>
      <c r="N2575" s="144"/>
    </row>
    <row r="2576" ht="15.75" customHeight="1">
      <c r="E2576" s="80"/>
      <c r="F2576" s="80"/>
      <c r="G2576" s="142"/>
      <c r="H2576" s="143"/>
      <c r="I2576" s="143"/>
      <c r="J2576" s="143"/>
      <c r="K2576" s="143"/>
      <c r="N2576" s="144"/>
    </row>
    <row r="2577" ht="15.75" customHeight="1">
      <c r="E2577" s="80"/>
      <c r="F2577" s="80"/>
      <c r="G2577" s="142"/>
      <c r="H2577" s="143"/>
      <c r="I2577" s="143"/>
      <c r="J2577" s="143"/>
      <c r="K2577" s="143"/>
      <c r="N2577" s="144"/>
    </row>
    <row r="2578" ht="15.75" customHeight="1">
      <c r="E2578" s="80"/>
      <c r="F2578" s="80"/>
      <c r="G2578" s="142"/>
      <c r="H2578" s="143"/>
      <c r="I2578" s="143"/>
      <c r="J2578" s="143"/>
      <c r="K2578" s="143"/>
      <c r="N2578" s="144"/>
    </row>
    <row r="2579" ht="15.75" customHeight="1">
      <c r="E2579" s="80"/>
      <c r="F2579" s="80"/>
      <c r="G2579" s="142"/>
      <c r="H2579" s="143"/>
      <c r="I2579" s="143"/>
      <c r="J2579" s="143"/>
      <c r="K2579" s="143"/>
      <c r="N2579" s="144"/>
    </row>
    <row r="2580" ht="15.75" customHeight="1">
      <c r="E2580" s="80"/>
      <c r="F2580" s="80"/>
      <c r="G2580" s="142"/>
      <c r="H2580" s="143"/>
      <c r="I2580" s="143"/>
      <c r="J2580" s="143"/>
      <c r="K2580" s="143"/>
      <c r="N2580" s="144"/>
    </row>
    <row r="2581" ht="15.75" customHeight="1">
      <c r="E2581" s="80"/>
      <c r="F2581" s="80"/>
      <c r="G2581" s="142"/>
      <c r="H2581" s="143"/>
      <c r="I2581" s="143"/>
      <c r="J2581" s="143"/>
      <c r="K2581" s="143"/>
      <c r="N2581" s="144"/>
    </row>
    <row r="2582" ht="15.75" customHeight="1">
      <c r="E2582" s="80"/>
      <c r="F2582" s="80"/>
      <c r="G2582" s="142"/>
      <c r="H2582" s="143"/>
      <c r="I2582" s="143"/>
      <c r="J2582" s="143"/>
      <c r="K2582" s="143"/>
      <c r="N2582" s="144"/>
    </row>
    <row r="2583" ht="15.75" customHeight="1">
      <c r="E2583" s="80"/>
      <c r="F2583" s="80"/>
      <c r="G2583" s="142"/>
      <c r="H2583" s="143"/>
      <c r="I2583" s="143"/>
      <c r="J2583" s="143"/>
      <c r="K2583" s="143"/>
      <c r="N2583" s="144"/>
    </row>
    <row r="2584" ht="15.75" customHeight="1">
      <c r="E2584" s="80"/>
      <c r="F2584" s="80"/>
      <c r="G2584" s="142"/>
      <c r="H2584" s="143"/>
      <c r="I2584" s="143"/>
      <c r="J2584" s="143"/>
      <c r="K2584" s="143"/>
      <c r="N2584" s="144"/>
    </row>
    <row r="2585" ht="15.75" customHeight="1">
      <c r="E2585" s="80"/>
      <c r="F2585" s="80"/>
      <c r="G2585" s="142"/>
      <c r="H2585" s="143"/>
      <c r="I2585" s="143"/>
      <c r="J2585" s="143"/>
      <c r="K2585" s="143"/>
      <c r="N2585" s="144"/>
    </row>
    <row r="2586" ht="15.75" customHeight="1">
      <c r="E2586" s="80"/>
      <c r="F2586" s="80"/>
      <c r="G2586" s="142"/>
      <c r="H2586" s="143"/>
      <c r="I2586" s="143"/>
      <c r="J2586" s="143"/>
      <c r="K2586" s="143"/>
      <c r="N2586" s="144"/>
    </row>
    <row r="2587" ht="15.75" customHeight="1">
      <c r="E2587" s="80"/>
      <c r="F2587" s="80"/>
      <c r="G2587" s="142"/>
      <c r="H2587" s="143"/>
      <c r="I2587" s="143"/>
      <c r="J2587" s="143"/>
      <c r="K2587" s="143"/>
      <c r="N2587" s="144"/>
    </row>
    <row r="2588" ht="15.75" customHeight="1">
      <c r="E2588" s="80"/>
      <c r="F2588" s="80"/>
      <c r="G2588" s="142"/>
      <c r="H2588" s="143"/>
      <c r="I2588" s="143"/>
      <c r="J2588" s="143"/>
      <c r="K2588" s="143"/>
      <c r="N2588" s="144"/>
    </row>
    <row r="2589" ht="15.75" customHeight="1">
      <c r="E2589" s="80"/>
      <c r="F2589" s="80"/>
      <c r="G2589" s="142"/>
      <c r="H2589" s="143"/>
      <c r="I2589" s="143"/>
      <c r="J2589" s="143"/>
      <c r="K2589" s="143"/>
      <c r="N2589" s="144"/>
    </row>
    <row r="2590" ht="15.75" customHeight="1">
      <c r="E2590" s="80"/>
      <c r="F2590" s="80"/>
      <c r="G2590" s="142"/>
      <c r="H2590" s="143"/>
      <c r="I2590" s="143"/>
      <c r="J2590" s="143"/>
      <c r="K2590" s="143"/>
      <c r="N2590" s="144"/>
    </row>
    <row r="2591" ht="15.75" customHeight="1">
      <c r="E2591" s="80"/>
      <c r="F2591" s="80"/>
      <c r="G2591" s="142"/>
      <c r="H2591" s="143"/>
      <c r="I2591" s="143"/>
      <c r="J2591" s="143"/>
      <c r="K2591" s="143"/>
      <c r="N2591" s="144"/>
    </row>
    <row r="2592" ht="15.75" customHeight="1">
      <c r="E2592" s="80"/>
      <c r="F2592" s="80"/>
      <c r="G2592" s="142"/>
      <c r="H2592" s="143"/>
      <c r="I2592" s="143"/>
      <c r="J2592" s="143"/>
      <c r="K2592" s="143"/>
      <c r="N2592" s="144"/>
    </row>
    <row r="2593" ht="15.75" customHeight="1">
      <c r="E2593" s="80"/>
      <c r="F2593" s="80"/>
      <c r="G2593" s="142"/>
      <c r="H2593" s="143"/>
      <c r="I2593" s="143"/>
      <c r="J2593" s="143"/>
      <c r="K2593" s="143"/>
      <c r="N2593" s="144"/>
    </row>
    <row r="2594" ht="15.75" customHeight="1">
      <c r="E2594" s="80"/>
      <c r="F2594" s="80"/>
      <c r="G2594" s="142"/>
      <c r="H2594" s="143"/>
      <c r="I2594" s="143"/>
      <c r="J2594" s="143"/>
      <c r="K2594" s="143"/>
      <c r="N2594" s="144"/>
    </row>
    <row r="2595" ht="15.75" customHeight="1">
      <c r="E2595" s="80"/>
      <c r="F2595" s="80"/>
      <c r="G2595" s="142"/>
      <c r="H2595" s="143"/>
      <c r="I2595" s="143"/>
      <c r="J2595" s="143"/>
      <c r="K2595" s="143"/>
      <c r="N2595" s="144"/>
    </row>
    <row r="2596" ht="15.75" customHeight="1">
      <c r="E2596" s="80"/>
      <c r="F2596" s="80"/>
      <c r="G2596" s="142"/>
      <c r="H2596" s="143"/>
      <c r="I2596" s="143"/>
      <c r="J2596" s="143"/>
      <c r="K2596" s="143"/>
      <c r="N2596" s="144"/>
    </row>
    <row r="2597" ht="15.75" customHeight="1">
      <c r="E2597" s="80"/>
      <c r="F2597" s="80"/>
      <c r="G2597" s="142"/>
      <c r="H2597" s="143"/>
      <c r="I2597" s="143"/>
      <c r="J2597" s="143"/>
      <c r="K2597" s="143"/>
      <c r="N2597" s="144"/>
    </row>
    <row r="2598" ht="15.75" customHeight="1">
      <c r="E2598" s="80"/>
      <c r="F2598" s="80"/>
      <c r="G2598" s="142"/>
      <c r="H2598" s="143"/>
      <c r="I2598" s="143"/>
      <c r="J2598" s="143"/>
      <c r="K2598" s="143"/>
      <c r="N2598" s="144"/>
    </row>
    <row r="2599" ht="15.75" customHeight="1">
      <c r="E2599" s="80"/>
      <c r="F2599" s="80"/>
      <c r="G2599" s="142"/>
      <c r="H2599" s="143"/>
      <c r="I2599" s="143"/>
      <c r="J2599" s="143"/>
      <c r="K2599" s="143"/>
      <c r="N2599" s="144"/>
    </row>
    <row r="2600" ht="15.75" customHeight="1">
      <c r="E2600" s="80"/>
      <c r="F2600" s="80"/>
      <c r="G2600" s="142"/>
      <c r="H2600" s="143"/>
      <c r="I2600" s="143"/>
      <c r="J2600" s="143"/>
      <c r="K2600" s="143"/>
      <c r="N2600" s="144"/>
    </row>
    <row r="2601" ht="15.75" customHeight="1">
      <c r="E2601" s="80"/>
      <c r="F2601" s="80"/>
      <c r="G2601" s="142"/>
      <c r="H2601" s="143"/>
      <c r="I2601" s="143"/>
      <c r="J2601" s="143"/>
      <c r="K2601" s="143"/>
      <c r="N2601" s="144"/>
    </row>
    <row r="2602" ht="15.75" customHeight="1">
      <c r="E2602" s="80"/>
      <c r="F2602" s="80"/>
      <c r="G2602" s="142"/>
      <c r="H2602" s="143"/>
      <c r="I2602" s="143"/>
      <c r="J2602" s="143"/>
      <c r="K2602" s="143"/>
      <c r="N2602" s="144"/>
    </row>
    <row r="2603" ht="15.75" customHeight="1">
      <c r="E2603" s="80"/>
      <c r="F2603" s="80"/>
      <c r="G2603" s="142"/>
      <c r="H2603" s="143"/>
      <c r="I2603" s="143"/>
      <c r="J2603" s="143"/>
      <c r="K2603" s="143"/>
      <c r="N2603" s="144"/>
    </row>
    <row r="2604" ht="15.75" customHeight="1">
      <c r="E2604" s="80"/>
      <c r="F2604" s="80"/>
      <c r="G2604" s="142"/>
      <c r="H2604" s="143"/>
      <c r="I2604" s="143"/>
      <c r="J2604" s="143"/>
      <c r="K2604" s="143"/>
      <c r="N2604" s="144"/>
    </row>
    <row r="2605" ht="15.75" customHeight="1">
      <c r="E2605" s="80"/>
      <c r="F2605" s="80"/>
      <c r="G2605" s="142"/>
      <c r="H2605" s="143"/>
      <c r="I2605" s="143"/>
      <c r="J2605" s="143"/>
      <c r="K2605" s="143"/>
      <c r="N2605" s="144"/>
    </row>
    <row r="2606" ht="15.75" customHeight="1">
      <c r="E2606" s="80"/>
      <c r="F2606" s="80"/>
      <c r="G2606" s="142"/>
      <c r="H2606" s="143"/>
      <c r="I2606" s="143"/>
      <c r="J2606" s="143"/>
      <c r="K2606" s="143"/>
      <c r="N2606" s="144"/>
    </row>
    <row r="2607" ht="15.75" customHeight="1">
      <c r="E2607" s="80"/>
      <c r="F2607" s="80"/>
      <c r="G2607" s="142"/>
      <c r="H2607" s="143"/>
      <c r="I2607" s="143"/>
      <c r="J2607" s="143"/>
      <c r="K2607" s="143"/>
      <c r="N2607" s="144"/>
    </row>
    <row r="2608" ht="15.75" customHeight="1">
      <c r="E2608" s="80"/>
      <c r="F2608" s="80"/>
      <c r="G2608" s="142"/>
      <c r="H2608" s="143"/>
      <c r="I2608" s="143"/>
      <c r="J2608" s="143"/>
      <c r="K2608" s="143"/>
      <c r="N2608" s="144"/>
    </row>
    <row r="2609" ht="15.75" customHeight="1">
      <c r="E2609" s="80"/>
      <c r="F2609" s="80"/>
      <c r="G2609" s="142"/>
      <c r="H2609" s="143"/>
      <c r="I2609" s="143"/>
      <c r="J2609" s="143"/>
      <c r="K2609" s="143"/>
      <c r="N2609" s="144"/>
    </row>
    <row r="2610" ht="15.75" customHeight="1">
      <c r="E2610" s="80"/>
      <c r="F2610" s="80"/>
      <c r="G2610" s="142"/>
      <c r="H2610" s="143"/>
      <c r="I2610" s="143"/>
      <c r="J2610" s="143"/>
      <c r="K2610" s="143"/>
      <c r="N2610" s="144"/>
    </row>
    <row r="2611" ht="15.75" customHeight="1">
      <c r="E2611" s="80"/>
      <c r="F2611" s="80"/>
      <c r="G2611" s="142"/>
      <c r="H2611" s="143"/>
      <c r="I2611" s="143"/>
      <c r="J2611" s="143"/>
      <c r="K2611" s="143"/>
      <c r="N2611" s="144"/>
    </row>
    <row r="2612" ht="15.75" customHeight="1">
      <c r="E2612" s="80"/>
      <c r="F2612" s="80"/>
      <c r="G2612" s="142"/>
      <c r="H2612" s="143"/>
      <c r="I2612" s="143"/>
      <c r="J2612" s="143"/>
      <c r="K2612" s="143"/>
      <c r="N2612" s="144"/>
    </row>
    <row r="2613" ht="15.75" customHeight="1">
      <c r="E2613" s="80"/>
      <c r="F2613" s="80"/>
      <c r="G2613" s="142"/>
      <c r="H2613" s="143"/>
      <c r="I2613" s="143"/>
      <c r="J2613" s="143"/>
      <c r="K2613" s="143"/>
      <c r="N2613" s="144"/>
    </row>
    <row r="2614" ht="15.75" customHeight="1">
      <c r="E2614" s="80"/>
      <c r="F2614" s="80"/>
      <c r="G2614" s="142"/>
      <c r="H2614" s="143"/>
      <c r="I2614" s="143"/>
      <c r="J2614" s="143"/>
      <c r="K2614" s="143"/>
      <c r="N2614" s="144"/>
    </row>
    <row r="2615" ht="15.75" customHeight="1">
      <c r="E2615" s="80"/>
      <c r="F2615" s="80"/>
      <c r="G2615" s="142"/>
      <c r="H2615" s="143"/>
      <c r="I2615" s="143"/>
      <c r="J2615" s="143"/>
      <c r="K2615" s="143"/>
      <c r="N2615" s="144"/>
    </row>
    <row r="2616" ht="15.75" customHeight="1">
      <c r="E2616" s="80"/>
      <c r="F2616" s="80"/>
      <c r="G2616" s="142"/>
      <c r="H2616" s="143"/>
      <c r="I2616" s="143"/>
      <c r="J2616" s="143"/>
      <c r="K2616" s="143"/>
      <c r="N2616" s="144"/>
    </row>
    <row r="2617" ht="15.75" customHeight="1">
      <c r="E2617" s="80"/>
      <c r="F2617" s="80"/>
      <c r="G2617" s="142"/>
      <c r="H2617" s="143"/>
      <c r="I2617" s="143"/>
      <c r="J2617" s="143"/>
      <c r="K2617" s="143"/>
      <c r="N2617" s="144"/>
    </row>
    <row r="2618" ht="15.75" customHeight="1">
      <c r="E2618" s="80"/>
      <c r="F2618" s="80"/>
      <c r="G2618" s="142"/>
      <c r="H2618" s="143"/>
      <c r="I2618" s="143"/>
      <c r="J2618" s="143"/>
      <c r="K2618" s="143"/>
      <c r="N2618" s="144"/>
    </row>
    <row r="2619" ht="15.75" customHeight="1">
      <c r="E2619" s="80"/>
      <c r="F2619" s="80"/>
      <c r="G2619" s="142"/>
      <c r="H2619" s="143"/>
      <c r="I2619" s="143"/>
      <c r="J2619" s="143"/>
      <c r="K2619" s="143"/>
      <c r="N2619" s="144"/>
    </row>
    <row r="2620" ht="15.75" customHeight="1">
      <c r="E2620" s="80"/>
      <c r="F2620" s="80"/>
      <c r="G2620" s="142"/>
      <c r="H2620" s="143"/>
      <c r="I2620" s="143"/>
      <c r="J2620" s="143"/>
      <c r="K2620" s="143"/>
      <c r="N2620" s="144"/>
    </row>
    <row r="2621" ht="15.75" customHeight="1">
      <c r="E2621" s="80"/>
      <c r="F2621" s="80"/>
      <c r="G2621" s="142"/>
      <c r="H2621" s="143"/>
      <c r="I2621" s="143"/>
      <c r="J2621" s="143"/>
      <c r="K2621" s="143"/>
      <c r="N2621" s="144"/>
    </row>
    <row r="2622" ht="15.75" customHeight="1">
      <c r="E2622" s="80"/>
      <c r="F2622" s="80"/>
      <c r="G2622" s="142"/>
      <c r="H2622" s="143"/>
      <c r="I2622" s="143"/>
      <c r="J2622" s="143"/>
      <c r="K2622" s="143"/>
      <c r="N2622" s="144"/>
    </row>
    <row r="2623" ht="15.75" customHeight="1">
      <c r="E2623" s="80"/>
      <c r="F2623" s="80"/>
      <c r="G2623" s="142"/>
      <c r="H2623" s="143"/>
      <c r="I2623" s="143"/>
      <c r="J2623" s="143"/>
      <c r="K2623" s="143"/>
      <c r="N2623" s="144"/>
    </row>
    <row r="2624" ht="15.75" customHeight="1">
      <c r="E2624" s="80"/>
      <c r="F2624" s="80"/>
      <c r="G2624" s="142"/>
      <c r="H2624" s="143"/>
      <c r="I2624" s="143"/>
      <c r="J2624" s="143"/>
      <c r="K2624" s="143"/>
      <c r="N2624" s="144"/>
    </row>
    <row r="2625" ht="15.75" customHeight="1">
      <c r="E2625" s="80"/>
      <c r="F2625" s="80"/>
      <c r="G2625" s="142"/>
      <c r="H2625" s="143"/>
      <c r="I2625" s="143"/>
      <c r="J2625" s="143"/>
      <c r="K2625" s="143"/>
      <c r="N2625" s="144"/>
    </row>
    <row r="2626" ht="15.75" customHeight="1">
      <c r="E2626" s="80"/>
      <c r="F2626" s="80"/>
      <c r="G2626" s="142"/>
      <c r="H2626" s="143"/>
      <c r="I2626" s="143"/>
      <c r="J2626" s="143"/>
      <c r="K2626" s="143"/>
      <c r="N2626" s="144"/>
    </row>
    <row r="2627" ht="15.75" customHeight="1">
      <c r="E2627" s="80"/>
      <c r="F2627" s="80"/>
      <c r="G2627" s="142"/>
      <c r="H2627" s="143"/>
      <c r="I2627" s="143"/>
      <c r="J2627" s="143"/>
      <c r="K2627" s="143"/>
      <c r="N2627" s="144"/>
    </row>
    <row r="2628" ht="15.75" customHeight="1">
      <c r="E2628" s="80"/>
      <c r="F2628" s="80"/>
      <c r="G2628" s="142"/>
      <c r="H2628" s="143"/>
      <c r="I2628" s="143"/>
      <c r="J2628" s="143"/>
      <c r="K2628" s="143"/>
      <c r="N2628" s="144"/>
    </row>
    <row r="2629" ht="15.75" customHeight="1">
      <c r="E2629" s="80"/>
      <c r="F2629" s="80"/>
      <c r="G2629" s="142"/>
      <c r="H2629" s="143"/>
      <c r="I2629" s="143"/>
      <c r="J2629" s="143"/>
      <c r="K2629" s="143"/>
      <c r="N2629" s="144"/>
    </row>
    <row r="2630" ht="15.75" customHeight="1">
      <c r="E2630" s="80"/>
      <c r="F2630" s="80"/>
      <c r="G2630" s="142"/>
      <c r="H2630" s="143"/>
      <c r="I2630" s="143"/>
      <c r="J2630" s="143"/>
      <c r="K2630" s="143"/>
      <c r="N2630" s="144"/>
    </row>
    <row r="2631" ht="15.75" customHeight="1">
      <c r="E2631" s="80"/>
      <c r="F2631" s="80"/>
      <c r="G2631" s="142"/>
      <c r="H2631" s="143"/>
      <c r="I2631" s="143"/>
      <c r="J2631" s="143"/>
      <c r="K2631" s="143"/>
      <c r="N2631" s="144"/>
    </row>
    <row r="2632" ht="15.75" customHeight="1">
      <c r="E2632" s="80"/>
      <c r="F2632" s="80"/>
      <c r="G2632" s="142"/>
      <c r="H2632" s="143"/>
      <c r="I2632" s="143"/>
      <c r="J2632" s="143"/>
      <c r="K2632" s="143"/>
      <c r="N2632" s="144"/>
    </row>
    <row r="2633" ht="15.75" customHeight="1">
      <c r="E2633" s="80"/>
      <c r="F2633" s="80"/>
      <c r="G2633" s="142"/>
      <c r="H2633" s="143"/>
      <c r="I2633" s="143"/>
      <c r="J2633" s="143"/>
      <c r="K2633" s="143"/>
      <c r="N2633" s="144"/>
    </row>
    <row r="2634" ht="15.75" customHeight="1">
      <c r="E2634" s="80"/>
      <c r="F2634" s="80"/>
      <c r="G2634" s="142"/>
      <c r="H2634" s="143"/>
      <c r="I2634" s="143"/>
      <c r="J2634" s="143"/>
      <c r="K2634" s="143"/>
      <c r="N2634" s="144"/>
    </row>
    <row r="2635" ht="15.75" customHeight="1">
      <c r="E2635" s="80"/>
      <c r="F2635" s="80"/>
      <c r="G2635" s="142"/>
      <c r="H2635" s="143"/>
      <c r="I2635" s="143"/>
      <c r="J2635" s="143"/>
      <c r="K2635" s="143"/>
      <c r="N2635" s="144"/>
    </row>
    <row r="2636" ht="15.75" customHeight="1">
      <c r="E2636" s="80"/>
      <c r="F2636" s="80"/>
      <c r="G2636" s="142"/>
      <c r="H2636" s="143"/>
      <c r="I2636" s="143"/>
      <c r="J2636" s="143"/>
      <c r="K2636" s="143"/>
      <c r="N2636" s="144"/>
    </row>
    <row r="2637" ht="15.75" customHeight="1">
      <c r="E2637" s="80"/>
      <c r="F2637" s="80"/>
      <c r="G2637" s="142"/>
      <c r="H2637" s="143"/>
      <c r="I2637" s="143"/>
      <c r="J2637" s="143"/>
      <c r="K2637" s="143"/>
      <c r="N2637" s="144"/>
    </row>
    <row r="2638" ht="15.75" customHeight="1">
      <c r="E2638" s="80"/>
      <c r="F2638" s="80"/>
      <c r="G2638" s="142"/>
      <c r="H2638" s="143"/>
      <c r="I2638" s="143"/>
      <c r="J2638" s="143"/>
      <c r="K2638" s="143"/>
      <c r="N2638" s="144"/>
    </row>
    <row r="2639" ht="15.75" customHeight="1">
      <c r="E2639" s="80"/>
      <c r="F2639" s="80"/>
      <c r="G2639" s="142"/>
      <c r="H2639" s="143"/>
      <c r="I2639" s="143"/>
      <c r="J2639" s="143"/>
      <c r="K2639" s="143"/>
      <c r="N2639" s="144"/>
    </row>
    <row r="2640" ht="15.75" customHeight="1">
      <c r="E2640" s="80"/>
      <c r="F2640" s="80"/>
      <c r="G2640" s="142"/>
      <c r="H2640" s="143"/>
      <c r="I2640" s="143"/>
      <c r="J2640" s="143"/>
      <c r="K2640" s="143"/>
      <c r="N2640" s="144"/>
    </row>
    <row r="2641" ht="15.75" customHeight="1">
      <c r="E2641" s="80"/>
      <c r="F2641" s="80"/>
      <c r="G2641" s="142"/>
      <c r="H2641" s="143"/>
      <c r="I2641" s="143"/>
      <c r="J2641" s="143"/>
      <c r="K2641" s="143"/>
      <c r="N2641" s="144"/>
    </row>
    <row r="2642" ht="15.75" customHeight="1">
      <c r="E2642" s="80"/>
      <c r="F2642" s="80"/>
      <c r="G2642" s="142"/>
      <c r="H2642" s="143"/>
      <c r="I2642" s="143"/>
      <c r="J2642" s="143"/>
      <c r="K2642" s="143"/>
      <c r="N2642" s="144"/>
    </row>
    <row r="2643" ht="15.75" customHeight="1">
      <c r="E2643" s="80"/>
      <c r="F2643" s="80"/>
      <c r="G2643" s="142"/>
      <c r="H2643" s="143"/>
      <c r="I2643" s="143"/>
      <c r="J2643" s="143"/>
      <c r="K2643" s="143"/>
      <c r="N2643" s="144"/>
    </row>
    <row r="2644" ht="15.75" customHeight="1">
      <c r="E2644" s="80"/>
      <c r="F2644" s="80"/>
      <c r="G2644" s="142"/>
      <c r="H2644" s="143"/>
      <c r="I2644" s="143"/>
      <c r="J2644" s="143"/>
      <c r="K2644" s="143"/>
      <c r="N2644" s="144"/>
    </row>
    <row r="2645" ht="15.75" customHeight="1">
      <c r="E2645" s="80"/>
      <c r="F2645" s="80"/>
      <c r="G2645" s="142"/>
      <c r="H2645" s="143"/>
      <c r="I2645" s="143"/>
      <c r="J2645" s="143"/>
      <c r="K2645" s="143"/>
      <c r="N2645" s="144"/>
    </row>
    <row r="2646" ht="15.75" customHeight="1">
      <c r="E2646" s="80"/>
      <c r="F2646" s="80"/>
      <c r="G2646" s="142"/>
      <c r="H2646" s="143"/>
      <c r="I2646" s="143"/>
      <c r="J2646" s="143"/>
      <c r="K2646" s="143"/>
      <c r="N2646" s="144"/>
    </row>
    <row r="2647" ht="15.75" customHeight="1">
      <c r="E2647" s="80"/>
      <c r="F2647" s="80"/>
      <c r="G2647" s="142"/>
      <c r="H2647" s="143"/>
      <c r="I2647" s="143"/>
      <c r="J2647" s="143"/>
      <c r="K2647" s="143"/>
      <c r="N2647" s="144"/>
    </row>
    <row r="2648" ht="15.75" customHeight="1">
      <c r="E2648" s="80"/>
      <c r="F2648" s="80"/>
      <c r="G2648" s="142"/>
      <c r="H2648" s="143"/>
      <c r="I2648" s="143"/>
      <c r="J2648" s="143"/>
      <c r="K2648" s="143"/>
      <c r="N2648" s="144"/>
    </row>
    <row r="2649" ht="15.75" customHeight="1">
      <c r="E2649" s="80"/>
      <c r="F2649" s="80"/>
      <c r="G2649" s="142"/>
      <c r="H2649" s="143"/>
      <c r="I2649" s="143"/>
      <c r="J2649" s="143"/>
      <c r="K2649" s="143"/>
      <c r="N2649" s="144"/>
    </row>
    <row r="2650" ht="15.75" customHeight="1">
      <c r="E2650" s="80"/>
      <c r="F2650" s="80"/>
      <c r="G2650" s="142"/>
      <c r="H2650" s="143"/>
      <c r="I2650" s="143"/>
      <c r="J2650" s="143"/>
      <c r="K2650" s="143"/>
      <c r="N2650" s="144"/>
    </row>
    <row r="2651" ht="15.75" customHeight="1">
      <c r="E2651" s="80"/>
      <c r="F2651" s="80"/>
      <c r="G2651" s="142"/>
      <c r="H2651" s="143"/>
      <c r="I2651" s="143"/>
      <c r="J2651" s="143"/>
      <c r="K2651" s="143"/>
      <c r="N2651" s="144"/>
    </row>
    <row r="2652" ht="15.75" customHeight="1">
      <c r="E2652" s="80"/>
      <c r="F2652" s="80"/>
      <c r="G2652" s="142"/>
      <c r="H2652" s="143"/>
      <c r="I2652" s="143"/>
      <c r="J2652" s="143"/>
      <c r="K2652" s="143"/>
      <c r="N2652" s="144"/>
    </row>
    <row r="2653" ht="15.75" customHeight="1">
      <c r="E2653" s="80"/>
      <c r="F2653" s="80"/>
      <c r="G2653" s="142"/>
      <c r="H2653" s="143"/>
      <c r="I2653" s="143"/>
      <c r="J2653" s="143"/>
      <c r="K2653" s="143"/>
      <c r="N2653" s="144"/>
    </row>
    <row r="2654" ht="15.75" customHeight="1">
      <c r="E2654" s="80"/>
      <c r="F2654" s="80"/>
      <c r="G2654" s="142"/>
      <c r="H2654" s="143"/>
      <c r="I2654" s="143"/>
      <c r="J2654" s="143"/>
      <c r="K2654" s="143"/>
      <c r="N2654" s="144"/>
    </row>
    <row r="2655" ht="15.75" customHeight="1">
      <c r="E2655" s="80"/>
      <c r="F2655" s="80"/>
      <c r="G2655" s="142"/>
      <c r="H2655" s="143"/>
      <c r="I2655" s="143"/>
      <c r="J2655" s="143"/>
      <c r="K2655" s="143"/>
      <c r="N2655" s="144"/>
    </row>
    <row r="2656" ht="15.75" customHeight="1">
      <c r="E2656" s="80"/>
      <c r="F2656" s="80"/>
      <c r="G2656" s="142"/>
      <c r="H2656" s="143"/>
      <c r="I2656" s="143"/>
      <c r="J2656" s="143"/>
      <c r="K2656" s="143"/>
      <c r="N2656" s="144"/>
    </row>
    <row r="2657" ht="15.75" customHeight="1">
      <c r="E2657" s="80"/>
      <c r="F2657" s="80"/>
      <c r="G2657" s="142"/>
      <c r="H2657" s="143"/>
      <c r="I2657" s="143"/>
      <c r="J2657" s="143"/>
      <c r="K2657" s="143"/>
      <c r="N2657" s="144"/>
    </row>
    <row r="2658" ht="15.75" customHeight="1">
      <c r="E2658" s="80"/>
      <c r="F2658" s="80"/>
      <c r="G2658" s="142"/>
      <c r="H2658" s="143"/>
      <c r="I2658" s="143"/>
      <c r="J2658" s="143"/>
      <c r="K2658" s="143"/>
      <c r="N2658" s="144"/>
    </row>
    <row r="2659" ht="15.75" customHeight="1">
      <c r="E2659" s="80"/>
      <c r="F2659" s="80"/>
      <c r="G2659" s="142"/>
      <c r="H2659" s="143"/>
      <c r="I2659" s="143"/>
      <c r="J2659" s="143"/>
      <c r="K2659" s="143"/>
      <c r="N2659" s="144"/>
    </row>
    <row r="2660" ht="15.75" customHeight="1">
      <c r="E2660" s="80"/>
      <c r="F2660" s="80"/>
      <c r="G2660" s="142"/>
      <c r="H2660" s="143"/>
      <c r="I2660" s="143"/>
      <c r="J2660" s="143"/>
      <c r="K2660" s="143"/>
      <c r="N2660" s="144"/>
    </row>
    <row r="2661" ht="15.75" customHeight="1">
      <c r="E2661" s="80"/>
      <c r="F2661" s="80"/>
      <c r="G2661" s="142"/>
      <c r="H2661" s="143"/>
      <c r="I2661" s="143"/>
      <c r="J2661" s="143"/>
      <c r="K2661" s="143"/>
      <c r="N2661" s="144"/>
    </row>
    <row r="2662" ht="15.75" customHeight="1">
      <c r="E2662" s="80"/>
      <c r="F2662" s="80"/>
      <c r="G2662" s="142"/>
      <c r="H2662" s="143"/>
      <c r="I2662" s="143"/>
      <c r="J2662" s="143"/>
      <c r="K2662" s="143"/>
      <c r="N2662" s="144"/>
    </row>
    <row r="2663" ht="15.75" customHeight="1">
      <c r="E2663" s="80"/>
      <c r="F2663" s="80"/>
      <c r="G2663" s="142"/>
      <c r="H2663" s="143"/>
      <c r="I2663" s="143"/>
      <c r="J2663" s="143"/>
      <c r="K2663" s="143"/>
      <c r="N2663" s="144"/>
    </row>
    <row r="2664" ht="15.75" customHeight="1">
      <c r="E2664" s="80"/>
      <c r="F2664" s="80"/>
      <c r="G2664" s="142"/>
      <c r="H2664" s="143"/>
      <c r="I2664" s="143"/>
      <c r="J2664" s="143"/>
      <c r="K2664" s="143"/>
      <c r="N2664" s="144"/>
    </row>
    <row r="2665" ht="15.75" customHeight="1">
      <c r="E2665" s="80"/>
      <c r="F2665" s="80"/>
      <c r="G2665" s="142"/>
      <c r="H2665" s="143"/>
      <c r="I2665" s="143"/>
      <c r="J2665" s="143"/>
      <c r="K2665" s="143"/>
      <c r="N2665" s="144"/>
    </row>
    <row r="2666" ht="15.75" customHeight="1">
      <c r="E2666" s="80"/>
      <c r="F2666" s="80"/>
      <c r="G2666" s="142"/>
      <c r="H2666" s="143"/>
      <c r="I2666" s="143"/>
      <c r="J2666" s="143"/>
      <c r="K2666" s="143"/>
      <c r="N2666" s="144"/>
    </row>
    <row r="2667" ht="15.75" customHeight="1">
      <c r="E2667" s="80"/>
      <c r="F2667" s="80"/>
      <c r="G2667" s="142"/>
      <c r="H2667" s="143"/>
      <c r="I2667" s="143"/>
      <c r="J2667" s="143"/>
      <c r="K2667" s="143"/>
      <c r="N2667" s="144"/>
    </row>
    <row r="2668" ht="15.75" customHeight="1">
      <c r="E2668" s="80"/>
      <c r="F2668" s="80"/>
      <c r="G2668" s="142"/>
      <c r="H2668" s="143"/>
      <c r="I2668" s="143"/>
      <c r="J2668" s="143"/>
      <c r="K2668" s="143"/>
      <c r="N2668" s="144"/>
    </row>
    <row r="2669" ht="15.75" customHeight="1">
      <c r="E2669" s="80"/>
      <c r="F2669" s="80"/>
      <c r="G2669" s="142"/>
      <c r="H2669" s="143"/>
      <c r="I2669" s="143"/>
      <c r="J2669" s="143"/>
      <c r="K2669" s="143"/>
      <c r="N2669" s="144"/>
    </row>
    <row r="2670" ht="15.75" customHeight="1">
      <c r="E2670" s="80"/>
      <c r="F2670" s="80"/>
      <c r="G2670" s="142"/>
      <c r="H2670" s="143"/>
      <c r="I2670" s="143"/>
      <c r="J2670" s="143"/>
      <c r="K2670" s="143"/>
      <c r="N2670" s="144"/>
    </row>
    <row r="2671" ht="15.75" customHeight="1">
      <c r="E2671" s="80"/>
      <c r="F2671" s="80"/>
      <c r="G2671" s="142"/>
      <c r="H2671" s="143"/>
      <c r="I2671" s="143"/>
      <c r="J2671" s="143"/>
      <c r="K2671" s="143"/>
      <c r="N2671" s="144"/>
    </row>
    <row r="2672" ht="15.75" customHeight="1">
      <c r="E2672" s="80"/>
      <c r="F2672" s="80"/>
      <c r="G2672" s="142"/>
      <c r="H2672" s="143"/>
      <c r="I2672" s="143"/>
      <c r="J2672" s="143"/>
      <c r="K2672" s="143"/>
      <c r="N2672" s="144"/>
    </row>
    <row r="2673" ht="15.75" customHeight="1">
      <c r="E2673" s="80"/>
      <c r="F2673" s="80"/>
      <c r="G2673" s="142"/>
      <c r="H2673" s="143"/>
      <c r="I2673" s="143"/>
      <c r="J2673" s="143"/>
      <c r="K2673" s="143"/>
      <c r="N2673" s="144"/>
    </row>
    <row r="2674" ht="15.75" customHeight="1">
      <c r="E2674" s="80"/>
      <c r="F2674" s="80"/>
      <c r="G2674" s="142"/>
      <c r="H2674" s="143"/>
      <c r="I2674" s="143"/>
      <c r="J2674" s="143"/>
      <c r="K2674" s="143"/>
      <c r="N2674" s="144"/>
    </row>
    <row r="2675" ht="15.75" customHeight="1">
      <c r="E2675" s="80"/>
      <c r="F2675" s="80"/>
      <c r="G2675" s="142"/>
      <c r="H2675" s="143"/>
      <c r="I2675" s="143"/>
      <c r="J2675" s="143"/>
      <c r="K2675" s="143"/>
      <c r="N2675" s="144"/>
    </row>
    <row r="2676" ht="15.75" customHeight="1">
      <c r="E2676" s="80"/>
      <c r="F2676" s="80"/>
      <c r="G2676" s="142"/>
      <c r="H2676" s="143"/>
      <c r="I2676" s="143"/>
      <c r="J2676" s="143"/>
      <c r="K2676" s="143"/>
      <c r="N2676" s="144"/>
    </row>
    <row r="2677" ht="15.75" customHeight="1">
      <c r="E2677" s="80"/>
      <c r="F2677" s="80"/>
      <c r="G2677" s="142"/>
      <c r="H2677" s="143"/>
      <c r="I2677" s="143"/>
      <c r="J2677" s="143"/>
      <c r="K2677" s="143"/>
      <c r="N2677" s="144"/>
    </row>
    <row r="2678" ht="15.75" customHeight="1">
      <c r="E2678" s="80"/>
      <c r="F2678" s="80"/>
      <c r="G2678" s="142"/>
      <c r="H2678" s="143"/>
      <c r="I2678" s="143"/>
      <c r="J2678" s="143"/>
      <c r="K2678" s="143"/>
      <c r="N2678" s="144"/>
    </row>
    <row r="2679" ht="15.75" customHeight="1">
      <c r="E2679" s="80"/>
      <c r="F2679" s="80"/>
      <c r="G2679" s="142"/>
      <c r="H2679" s="143"/>
      <c r="I2679" s="143"/>
      <c r="J2679" s="143"/>
      <c r="K2679" s="143"/>
      <c r="N2679" s="144"/>
    </row>
    <row r="2680" ht="15.75" customHeight="1">
      <c r="E2680" s="80"/>
      <c r="F2680" s="80"/>
      <c r="G2680" s="142"/>
      <c r="H2680" s="143"/>
      <c r="I2680" s="143"/>
      <c r="J2680" s="143"/>
      <c r="K2680" s="143"/>
      <c r="N2680" s="144"/>
    </row>
    <row r="2681" ht="15.75" customHeight="1">
      <c r="E2681" s="80"/>
      <c r="F2681" s="80"/>
      <c r="G2681" s="142"/>
      <c r="H2681" s="143"/>
      <c r="I2681" s="143"/>
      <c r="J2681" s="143"/>
      <c r="K2681" s="143"/>
      <c r="N2681" s="144"/>
    </row>
    <row r="2682" ht="15.75" customHeight="1">
      <c r="E2682" s="80"/>
      <c r="F2682" s="80"/>
      <c r="G2682" s="142"/>
      <c r="H2682" s="143"/>
      <c r="I2682" s="143"/>
      <c r="J2682" s="143"/>
      <c r="K2682" s="143"/>
      <c r="N2682" s="144"/>
    </row>
    <row r="2683" ht="15.75" customHeight="1">
      <c r="E2683" s="80"/>
      <c r="F2683" s="80"/>
      <c r="G2683" s="142"/>
      <c r="H2683" s="143"/>
      <c r="I2683" s="143"/>
      <c r="J2683" s="143"/>
      <c r="K2683" s="143"/>
      <c r="N2683" s="144"/>
    </row>
    <row r="2684" ht="15.75" customHeight="1">
      <c r="E2684" s="80"/>
      <c r="F2684" s="80"/>
      <c r="G2684" s="142"/>
      <c r="H2684" s="143"/>
      <c r="I2684" s="143"/>
      <c r="J2684" s="143"/>
      <c r="K2684" s="143"/>
      <c r="N2684" s="144"/>
    </row>
    <row r="2685" ht="15.75" customHeight="1">
      <c r="E2685" s="80"/>
      <c r="F2685" s="80"/>
      <c r="G2685" s="142"/>
      <c r="H2685" s="143"/>
      <c r="I2685" s="143"/>
      <c r="J2685" s="143"/>
      <c r="K2685" s="143"/>
      <c r="N2685" s="144"/>
    </row>
    <row r="2686" ht="15.75" customHeight="1">
      <c r="E2686" s="80"/>
      <c r="F2686" s="80"/>
      <c r="G2686" s="142"/>
      <c r="H2686" s="143"/>
      <c r="I2686" s="143"/>
      <c r="J2686" s="143"/>
      <c r="K2686" s="143"/>
      <c r="N2686" s="144"/>
    </row>
    <row r="2687" ht="15.75" customHeight="1">
      <c r="E2687" s="80"/>
      <c r="F2687" s="80"/>
      <c r="G2687" s="142"/>
      <c r="H2687" s="143"/>
      <c r="I2687" s="143"/>
      <c r="J2687" s="143"/>
      <c r="K2687" s="143"/>
      <c r="N2687" s="144"/>
    </row>
    <row r="2688" ht="15.75" customHeight="1">
      <c r="E2688" s="80"/>
      <c r="F2688" s="80"/>
      <c r="G2688" s="142"/>
      <c r="H2688" s="143"/>
      <c r="I2688" s="143"/>
      <c r="J2688" s="143"/>
      <c r="K2688" s="143"/>
      <c r="N2688" s="144"/>
    </row>
    <row r="2689" ht="15.75" customHeight="1">
      <c r="E2689" s="80"/>
      <c r="F2689" s="80"/>
      <c r="G2689" s="142"/>
      <c r="H2689" s="143"/>
      <c r="I2689" s="143"/>
      <c r="J2689" s="143"/>
      <c r="K2689" s="143"/>
      <c r="N2689" s="144"/>
    </row>
    <row r="2690" ht="15.75" customHeight="1">
      <c r="E2690" s="80"/>
      <c r="F2690" s="80"/>
      <c r="G2690" s="142"/>
      <c r="H2690" s="143"/>
      <c r="I2690" s="143"/>
      <c r="J2690" s="143"/>
      <c r="K2690" s="143"/>
      <c r="N2690" s="144"/>
    </row>
    <row r="2691" ht="15.75" customHeight="1">
      <c r="E2691" s="80"/>
      <c r="F2691" s="80"/>
      <c r="G2691" s="142"/>
      <c r="H2691" s="143"/>
      <c r="I2691" s="143"/>
      <c r="J2691" s="143"/>
      <c r="K2691" s="143"/>
      <c r="N2691" s="144"/>
    </row>
    <row r="2692" ht="15.75" customHeight="1">
      <c r="E2692" s="80"/>
      <c r="F2692" s="80"/>
      <c r="G2692" s="142"/>
      <c r="H2692" s="143"/>
      <c r="I2692" s="143"/>
      <c r="J2692" s="143"/>
      <c r="K2692" s="143"/>
      <c r="N2692" s="144"/>
    </row>
    <row r="2693" ht="15.75" customHeight="1">
      <c r="E2693" s="80"/>
      <c r="F2693" s="80"/>
      <c r="G2693" s="142"/>
      <c r="H2693" s="143"/>
      <c r="I2693" s="143"/>
      <c r="J2693" s="143"/>
      <c r="K2693" s="143"/>
      <c r="N2693" s="144"/>
    </row>
    <row r="2694" ht="15.75" customHeight="1">
      <c r="E2694" s="80"/>
      <c r="F2694" s="80"/>
      <c r="G2694" s="142"/>
      <c r="H2694" s="143"/>
      <c r="I2694" s="143"/>
      <c r="J2694" s="143"/>
      <c r="K2694" s="143"/>
      <c r="N2694" s="144"/>
    </row>
    <row r="2695" ht="15.75" customHeight="1">
      <c r="E2695" s="80"/>
      <c r="F2695" s="80"/>
      <c r="G2695" s="142"/>
      <c r="H2695" s="143"/>
      <c r="I2695" s="143"/>
      <c r="J2695" s="143"/>
      <c r="K2695" s="143"/>
      <c r="N2695" s="144"/>
    </row>
    <row r="2696" ht="15.75" customHeight="1">
      <c r="E2696" s="80"/>
      <c r="F2696" s="80"/>
      <c r="G2696" s="142"/>
      <c r="H2696" s="143"/>
      <c r="I2696" s="143"/>
      <c r="J2696" s="143"/>
      <c r="K2696" s="143"/>
      <c r="N2696" s="144"/>
    </row>
    <row r="2697" ht="15.75" customHeight="1">
      <c r="E2697" s="80"/>
      <c r="F2697" s="80"/>
      <c r="G2697" s="142"/>
      <c r="H2697" s="143"/>
      <c r="I2697" s="143"/>
      <c r="J2697" s="143"/>
      <c r="K2697" s="143"/>
      <c r="N2697" s="144"/>
    </row>
    <row r="2698" ht="15.75" customHeight="1">
      <c r="E2698" s="80"/>
      <c r="F2698" s="80"/>
      <c r="G2698" s="142"/>
      <c r="H2698" s="143"/>
      <c r="I2698" s="143"/>
      <c r="J2698" s="143"/>
      <c r="K2698" s="143"/>
      <c r="N2698" s="144"/>
    </row>
    <row r="2699" ht="15.75" customHeight="1">
      <c r="E2699" s="80"/>
      <c r="F2699" s="80"/>
      <c r="G2699" s="142"/>
      <c r="H2699" s="143"/>
      <c r="I2699" s="143"/>
      <c r="J2699" s="143"/>
      <c r="K2699" s="143"/>
      <c r="N2699" s="144"/>
    </row>
    <row r="2700" ht="15.75" customHeight="1">
      <c r="E2700" s="80"/>
      <c r="F2700" s="80"/>
      <c r="G2700" s="142"/>
      <c r="H2700" s="143"/>
      <c r="I2700" s="143"/>
      <c r="J2700" s="143"/>
      <c r="K2700" s="143"/>
      <c r="N2700" s="144"/>
    </row>
    <row r="2701" ht="15.75" customHeight="1">
      <c r="E2701" s="80"/>
      <c r="F2701" s="80"/>
      <c r="G2701" s="142"/>
      <c r="H2701" s="143"/>
      <c r="I2701" s="143"/>
      <c r="J2701" s="143"/>
      <c r="K2701" s="143"/>
      <c r="N2701" s="144"/>
    </row>
    <row r="2702" ht="15.75" customHeight="1">
      <c r="E2702" s="80"/>
      <c r="F2702" s="80"/>
      <c r="G2702" s="142"/>
      <c r="H2702" s="143"/>
      <c r="I2702" s="143"/>
      <c r="J2702" s="143"/>
      <c r="K2702" s="143"/>
      <c r="N2702" s="144"/>
    </row>
    <row r="2703" ht="15.75" customHeight="1">
      <c r="E2703" s="80"/>
      <c r="F2703" s="80"/>
      <c r="G2703" s="142"/>
      <c r="H2703" s="143"/>
      <c r="I2703" s="143"/>
      <c r="J2703" s="143"/>
      <c r="K2703" s="143"/>
      <c r="N2703" s="144"/>
    </row>
    <row r="2704" ht="15.75" customHeight="1">
      <c r="E2704" s="80"/>
      <c r="F2704" s="80"/>
      <c r="G2704" s="142"/>
      <c r="H2704" s="143"/>
      <c r="I2704" s="143"/>
      <c r="J2704" s="143"/>
      <c r="K2704" s="143"/>
      <c r="N2704" s="144"/>
    </row>
    <row r="2705" ht="15.75" customHeight="1">
      <c r="E2705" s="80"/>
      <c r="F2705" s="80"/>
      <c r="G2705" s="142"/>
      <c r="H2705" s="143"/>
      <c r="I2705" s="143"/>
      <c r="J2705" s="143"/>
      <c r="K2705" s="143"/>
      <c r="N2705" s="144"/>
    </row>
    <row r="2706" ht="15.75" customHeight="1">
      <c r="E2706" s="80"/>
      <c r="F2706" s="80"/>
      <c r="G2706" s="142"/>
      <c r="H2706" s="143"/>
      <c r="I2706" s="143"/>
      <c r="J2706" s="143"/>
      <c r="K2706" s="143"/>
      <c r="N2706" s="144"/>
    </row>
    <row r="2707" ht="15.75" customHeight="1">
      <c r="E2707" s="80"/>
      <c r="F2707" s="80"/>
      <c r="G2707" s="142"/>
      <c r="H2707" s="143"/>
      <c r="I2707" s="143"/>
      <c r="J2707" s="143"/>
      <c r="K2707" s="143"/>
      <c r="N2707" s="144"/>
    </row>
    <row r="2708" ht="15.75" customHeight="1">
      <c r="E2708" s="80"/>
      <c r="F2708" s="80"/>
      <c r="G2708" s="142"/>
      <c r="H2708" s="143"/>
      <c r="I2708" s="143"/>
      <c r="J2708" s="143"/>
      <c r="K2708" s="143"/>
      <c r="N2708" s="144"/>
    </row>
    <row r="2709" ht="15.75" customHeight="1">
      <c r="E2709" s="80"/>
      <c r="F2709" s="80"/>
      <c r="G2709" s="142"/>
      <c r="H2709" s="143"/>
      <c r="I2709" s="143"/>
      <c r="J2709" s="143"/>
      <c r="K2709" s="143"/>
      <c r="N2709" s="144"/>
    </row>
    <row r="2710" ht="15.75" customHeight="1">
      <c r="E2710" s="80"/>
      <c r="F2710" s="80"/>
      <c r="G2710" s="142"/>
      <c r="H2710" s="143"/>
      <c r="I2710" s="143"/>
      <c r="J2710" s="143"/>
      <c r="K2710" s="143"/>
      <c r="N2710" s="144"/>
    </row>
    <row r="2711" ht="15.75" customHeight="1">
      <c r="E2711" s="80"/>
      <c r="F2711" s="80"/>
      <c r="G2711" s="142"/>
      <c r="H2711" s="143"/>
      <c r="I2711" s="143"/>
      <c r="J2711" s="143"/>
      <c r="K2711" s="143"/>
      <c r="N2711" s="144"/>
    </row>
    <row r="2712" ht="15.75" customHeight="1">
      <c r="E2712" s="80"/>
      <c r="F2712" s="80"/>
      <c r="G2712" s="142"/>
      <c r="H2712" s="143"/>
      <c r="I2712" s="143"/>
      <c r="J2712" s="143"/>
      <c r="K2712" s="143"/>
      <c r="N2712" s="144"/>
    </row>
    <row r="2713" ht="15.75" customHeight="1">
      <c r="E2713" s="80"/>
      <c r="F2713" s="80"/>
      <c r="G2713" s="142"/>
      <c r="H2713" s="143"/>
      <c r="I2713" s="143"/>
      <c r="J2713" s="143"/>
      <c r="K2713" s="143"/>
      <c r="N2713" s="144"/>
    </row>
    <row r="2714" ht="15.75" customHeight="1">
      <c r="E2714" s="80"/>
      <c r="F2714" s="80"/>
      <c r="G2714" s="142"/>
      <c r="H2714" s="143"/>
      <c r="I2714" s="143"/>
      <c r="J2714" s="143"/>
      <c r="K2714" s="143"/>
      <c r="N2714" s="144"/>
    </row>
    <row r="2715" ht="15.75" customHeight="1">
      <c r="E2715" s="80"/>
      <c r="F2715" s="80"/>
      <c r="G2715" s="142"/>
      <c r="H2715" s="143"/>
      <c r="I2715" s="143"/>
      <c r="J2715" s="143"/>
      <c r="K2715" s="143"/>
      <c r="N2715" s="144"/>
    </row>
    <row r="2716" ht="15.75" customHeight="1">
      <c r="E2716" s="80"/>
      <c r="F2716" s="80"/>
      <c r="G2716" s="142"/>
      <c r="H2716" s="143"/>
      <c r="I2716" s="143"/>
      <c r="J2716" s="143"/>
      <c r="K2716" s="143"/>
      <c r="N2716" s="144"/>
    </row>
    <row r="2717" ht="15.75" customHeight="1">
      <c r="E2717" s="80"/>
      <c r="F2717" s="80"/>
      <c r="G2717" s="142"/>
      <c r="H2717" s="143"/>
      <c r="I2717" s="143"/>
      <c r="J2717" s="143"/>
      <c r="K2717" s="143"/>
      <c r="N2717" s="144"/>
    </row>
    <row r="2718" ht="15.75" customHeight="1">
      <c r="E2718" s="80"/>
      <c r="F2718" s="80"/>
      <c r="G2718" s="142"/>
      <c r="H2718" s="143"/>
      <c r="I2718" s="143"/>
      <c r="J2718" s="143"/>
      <c r="K2718" s="143"/>
      <c r="N2718" s="144"/>
    </row>
    <row r="2719" ht="15.75" customHeight="1">
      <c r="E2719" s="80"/>
      <c r="F2719" s="80"/>
      <c r="G2719" s="142"/>
      <c r="H2719" s="143"/>
      <c r="I2719" s="143"/>
      <c r="J2719" s="143"/>
      <c r="K2719" s="143"/>
      <c r="N2719" s="144"/>
    </row>
    <row r="2720" ht="15.75" customHeight="1">
      <c r="E2720" s="80"/>
      <c r="F2720" s="80"/>
      <c r="G2720" s="142"/>
      <c r="H2720" s="143"/>
      <c r="I2720" s="143"/>
      <c r="J2720" s="143"/>
      <c r="K2720" s="143"/>
      <c r="N2720" s="144"/>
    </row>
    <row r="2721" ht="15.75" customHeight="1">
      <c r="E2721" s="80"/>
      <c r="F2721" s="80"/>
      <c r="G2721" s="142"/>
      <c r="H2721" s="143"/>
      <c r="I2721" s="143"/>
      <c r="J2721" s="143"/>
      <c r="K2721" s="143"/>
      <c r="N2721" s="144"/>
    </row>
    <row r="2722" ht="15.75" customHeight="1">
      <c r="E2722" s="80"/>
      <c r="F2722" s="80"/>
      <c r="G2722" s="142"/>
      <c r="H2722" s="143"/>
      <c r="I2722" s="143"/>
      <c r="J2722" s="143"/>
      <c r="K2722" s="143"/>
      <c r="N2722" s="144"/>
    </row>
    <row r="2723" ht="15.75" customHeight="1">
      <c r="E2723" s="80"/>
      <c r="F2723" s="80"/>
      <c r="G2723" s="142"/>
      <c r="H2723" s="143"/>
      <c r="I2723" s="143"/>
      <c r="J2723" s="143"/>
      <c r="K2723" s="143"/>
      <c r="N2723" s="144"/>
    </row>
    <row r="2724" ht="15.75" customHeight="1">
      <c r="E2724" s="80"/>
      <c r="F2724" s="80"/>
      <c r="G2724" s="142"/>
      <c r="H2724" s="143"/>
      <c r="I2724" s="143"/>
      <c r="J2724" s="143"/>
      <c r="K2724" s="143"/>
      <c r="N2724" s="144"/>
    </row>
    <row r="2725" ht="15.75" customHeight="1">
      <c r="E2725" s="80"/>
      <c r="F2725" s="80"/>
      <c r="G2725" s="142"/>
      <c r="H2725" s="143"/>
      <c r="I2725" s="143"/>
      <c r="J2725" s="143"/>
      <c r="K2725" s="143"/>
      <c r="N2725" s="144"/>
    </row>
    <row r="2726" ht="15.75" customHeight="1">
      <c r="E2726" s="80"/>
      <c r="F2726" s="80"/>
      <c r="G2726" s="142"/>
      <c r="H2726" s="143"/>
      <c r="I2726" s="143"/>
      <c r="J2726" s="143"/>
      <c r="K2726" s="143"/>
      <c r="N2726" s="144"/>
    </row>
    <row r="2727" ht="15.75" customHeight="1">
      <c r="E2727" s="80"/>
      <c r="F2727" s="80"/>
      <c r="G2727" s="142"/>
      <c r="H2727" s="143"/>
      <c r="I2727" s="143"/>
      <c r="J2727" s="143"/>
      <c r="K2727" s="143"/>
      <c r="N2727" s="144"/>
    </row>
    <row r="2728" ht="15.75" customHeight="1">
      <c r="E2728" s="80"/>
      <c r="F2728" s="80"/>
      <c r="G2728" s="142"/>
      <c r="H2728" s="143"/>
      <c r="I2728" s="143"/>
      <c r="J2728" s="143"/>
      <c r="K2728" s="143"/>
      <c r="N2728" s="144"/>
    </row>
    <row r="2729" ht="15.75" customHeight="1">
      <c r="E2729" s="80"/>
      <c r="F2729" s="80"/>
      <c r="G2729" s="142"/>
      <c r="H2729" s="143"/>
      <c r="I2729" s="143"/>
      <c r="J2729" s="143"/>
      <c r="K2729" s="143"/>
      <c r="N2729" s="144"/>
    </row>
    <row r="2730" ht="15.75" customHeight="1">
      <c r="E2730" s="80"/>
      <c r="F2730" s="80"/>
      <c r="G2730" s="142"/>
      <c r="H2730" s="143"/>
      <c r="I2730" s="143"/>
      <c r="J2730" s="143"/>
      <c r="K2730" s="143"/>
      <c r="N2730" s="144"/>
    </row>
    <row r="2731" ht="15.75" customHeight="1">
      <c r="E2731" s="80"/>
      <c r="F2731" s="80"/>
      <c r="G2731" s="142"/>
      <c r="H2731" s="143"/>
      <c r="I2731" s="143"/>
      <c r="J2731" s="143"/>
      <c r="K2731" s="143"/>
      <c r="N2731" s="144"/>
    </row>
    <row r="2732" ht="15.75" customHeight="1">
      <c r="E2732" s="80"/>
      <c r="F2732" s="80"/>
      <c r="G2732" s="142"/>
      <c r="H2732" s="143"/>
      <c r="I2732" s="143"/>
      <c r="J2732" s="143"/>
      <c r="K2732" s="143"/>
      <c r="N2732" s="144"/>
    </row>
    <row r="2733" ht="15.75" customHeight="1">
      <c r="E2733" s="80"/>
      <c r="F2733" s="80"/>
      <c r="G2733" s="142"/>
      <c r="H2733" s="143"/>
      <c r="I2733" s="143"/>
      <c r="J2733" s="143"/>
      <c r="K2733" s="143"/>
      <c r="N2733" s="144"/>
    </row>
    <row r="2734" ht="15.75" customHeight="1">
      <c r="E2734" s="80"/>
      <c r="F2734" s="80"/>
      <c r="G2734" s="142"/>
      <c r="H2734" s="143"/>
      <c r="I2734" s="143"/>
      <c r="J2734" s="143"/>
      <c r="K2734" s="143"/>
      <c r="N2734" s="144"/>
    </row>
    <row r="2735" ht="15.75" customHeight="1">
      <c r="E2735" s="80"/>
      <c r="F2735" s="80"/>
      <c r="G2735" s="142"/>
      <c r="H2735" s="143"/>
      <c r="I2735" s="143"/>
      <c r="J2735" s="143"/>
      <c r="K2735" s="143"/>
      <c r="N2735" s="144"/>
    </row>
    <row r="2736" ht="15.75" customHeight="1">
      <c r="E2736" s="80"/>
      <c r="F2736" s="80"/>
      <c r="G2736" s="142"/>
      <c r="H2736" s="143"/>
      <c r="I2736" s="143"/>
      <c r="J2736" s="143"/>
      <c r="K2736" s="143"/>
      <c r="N2736" s="144"/>
    </row>
    <row r="2737" ht="15.75" customHeight="1">
      <c r="E2737" s="80"/>
      <c r="F2737" s="80"/>
      <c r="G2737" s="142"/>
      <c r="H2737" s="143"/>
      <c r="I2737" s="143"/>
      <c r="J2737" s="143"/>
      <c r="K2737" s="143"/>
      <c r="N2737" s="144"/>
    </row>
    <row r="2738" ht="15.75" customHeight="1">
      <c r="E2738" s="80"/>
      <c r="F2738" s="80"/>
      <c r="G2738" s="142"/>
      <c r="H2738" s="143"/>
      <c r="I2738" s="143"/>
      <c r="J2738" s="143"/>
      <c r="K2738" s="143"/>
      <c r="N2738" s="144"/>
    </row>
    <row r="2739" ht="15.75" customHeight="1">
      <c r="E2739" s="80"/>
      <c r="F2739" s="80"/>
      <c r="G2739" s="142"/>
      <c r="H2739" s="143"/>
      <c r="I2739" s="143"/>
      <c r="J2739" s="143"/>
      <c r="K2739" s="143"/>
      <c r="N2739" s="144"/>
    </row>
    <row r="2740" ht="15.75" customHeight="1">
      <c r="E2740" s="80"/>
      <c r="F2740" s="80"/>
      <c r="G2740" s="142"/>
      <c r="H2740" s="143"/>
      <c r="I2740" s="143"/>
      <c r="J2740" s="143"/>
      <c r="K2740" s="143"/>
      <c r="N2740" s="144"/>
    </row>
    <row r="2741" ht="15.75" customHeight="1">
      <c r="E2741" s="80"/>
      <c r="F2741" s="80"/>
      <c r="G2741" s="142"/>
      <c r="H2741" s="143"/>
      <c r="I2741" s="143"/>
      <c r="J2741" s="143"/>
      <c r="K2741" s="143"/>
      <c r="N2741" s="144"/>
    </row>
    <row r="2742" ht="15.75" customHeight="1">
      <c r="E2742" s="80"/>
      <c r="F2742" s="80"/>
      <c r="G2742" s="142"/>
      <c r="H2742" s="143"/>
      <c r="I2742" s="143"/>
      <c r="J2742" s="143"/>
      <c r="K2742" s="143"/>
      <c r="N2742" s="144"/>
    </row>
    <row r="2743" ht="15.75" customHeight="1">
      <c r="E2743" s="80"/>
      <c r="F2743" s="80"/>
      <c r="G2743" s="142"/>
      <c r="H2743" s="143"/>
      <c r="I2743" s="143"/>
      <c r="J2743" s="143"/>
      <c r="K2743" s="143"/>
      <c r="N2743" s="144"/>
    </row>
    <row r="2744" ht="15.75" customHeight="1">
      <c r="E2744" s="80"/>
      <c r="F2744" s="80"/>
      <c r="G2744" s="142"/>
      <c r="H2744" s="143"/>
      <c r="I2744" s="143"/>
      <c r="J2744" s="143"/>
      <c r="K2744" s="143"/>
      <c r="N2744" s="144"/>
    </row>
    <row r="2745" ht="15.75" customHeight="1">
      <c r="E2745" s="80"/>
      <c r="F2745" s="80"/>
      <c r="G2745" s="142"/>
      <c r="H2745" s="143"/>
      <c r="I2745" s="143"/>
      <c r="J2745" s="143"/>
      <c r="K2745" s="143"/>
      <c r="N2745" s="144"/>
    </row>
    <row r="2746" ht="15.75" customHeight="1">
      <c r="E2746" s="80"/>
      <c r="F2746" s="80"/>
      <c r="G2746" s="142"/>
      <c r="H2746" s="143"/>
      <c r="I2746" s="143"/>
      <c r="J2746" s="143"/>
      <c r="K2746" s="143"/>
      <c r="N2746" s="144"/>
    </row>
    <row r="2747" ht="15.75" customHeight="1">
      <c r="E2747" s="80"/>
      <c r="F2747" s="80"/>
      <c r="G2747" s="142"/>
      <c r="H2747" s="143"/>
      <c r="I2747" s="143"/>
      <c r="J2747" s="143"/>
      <c r="K2747" s="143"/>
      <c r="N2747" s="144"/>
    </row>
    <row r="2748" ht="15.75" customHeight="1">
      <c r="E2748" s="80"/>
      <c r="F2748" s="80"/>
      <c r="G2748" s="142"/>
      <c r="H2748" s="143"/>
      <c r="I2748" s="143"/>
      <c r="J2748" s="143"/>
      <c r="K2748" s="143"/>
      <c r="N2748" s="144"/>
    </row>
    <row r="2749" ht="15.75" customHeight="1">
      <c r="E2749" s="80"/>
      <c r="F2749" s="80"/>
      <c r="G2749" s="142"/>
      <c r="H2749" s="143"/>
      <c r="I2749" s="143"/>
      <c r="J2749" s="143"/>
      <c r="K2749" s="143"/>
      <c r="N2749" s="144"/>
    </row>
    <row r="2750" ht="15.75" customHeight="1">
      <c r="E2750" s="80"/>
      <c r="F2750" s="80"/>
      <c r="G2750" s="142"/>
      <c r="H2750" s="143"/>
      <c r="I2750" s="143"/>
      <c r="J2750" s="143"/>
      <c r="K2750" s="143"/>
      <c r="N2750" s="144"/>
    </row>
    <row r="2751" ht="15.75" customHeight="1">
      <c r="E2751" s="80"/>
      <c r="F2751" s="80"/>
      <c r="G2751" s="142"/>
      <c r="H2751" s="143"/>
      <c r="I2751" s="143"/>
      <c r="J2751" s="143"/>
      <c r="K2751" s="143"/>
      <c r="N2751" s="144"/>
    </row>
    <row r="2752" ht="15.75" customHeight="1">
      <c r="E2752" s="80"/>
      <c r="F2752" s="80"/>
      <c r="G2752" s="142"/>
      <c r="H2752" s="143"/>
      <c r="I2752" s="143"/>
      <c r="J2752" s="143"/>
      <c r="K2752" s="143"/>
      <c r="N2752" s="144"/>
    </row>
    <row r="2753" ht="15.75" customHeight="1">
      <c r="E2753" s="80"/>
      <c r="F2753" s="80"/>
      <c r="G2753" s="142"/>
      <c r="H2753" s="143"/>
      <c r="I2753" s="143"/>
      <c r="J2753" s="143"/>
      <c r="K2753" s="143"/>
      <c r="N2753" s="144"/>
    </row>
    <row r="2754" ht="15.75" customHeight="1">
      <c r="E2754" s="80"/>
      <c r="F2754" s="80"/>
      <c r="G2754" s="142"/>
      <c r="H2754" s="143"/>
      <c r="I2754" s="143"/>
      <c r="J2754" s="143"/>
      <c r="K2754" s="143"/>
      <c r="N2754" s="144"/>
    </row>
    <row r="2755" ht="15.75" customHeight="1">
      <c r="E2755" s="80"/>
      <c r="F2755" s="80"/>
      <c r="G2755" s="142"/>
      <c r="H2755" s="143"/>
      <c r="I2755" s="143"/>
      <c r="J2755" s="143"/>
      <c r="K2755" s="143"/>
      <c r="N2755" s="144"/>
    </row>
    <row r="2756" ht="15.75" customHeight="1">
      <c r="E2756" s="80"/>
      <c r="F2756" s="80"/>
      <c r="G2756" s="142"/>
      <c r="H2756" s="143"/>
      <c r="I2756" s="143"/>
      <c r="J2756" s="143"/>
      <c r="K2756" s="143"/>
      <c r="N2756" s="144"/>
    </row>
    <row r="2757" ht="15.75" customHeight="1">
      <c r="E2757" s="80"/>
      <c r="F2757" s="80"/>
      <c r="G2757" s="142"/>
      <c r="H2757" s="143"/>
      <c r="I2757" s="143"/>
      <c r="J2757" s="143"/>
      <c r="K2757" s="143"/>
      <c r="N2757" s="144"/>
    </row>
    <row r="2758" ht="15.75" customHeight="1">
      <c r="E2758" s="80"/>
      <c r="F2758" s="80"/>
      <c r="G2758" s="142"/>
      <c r="H2758" s="143"/>
      <c r="I2758" s="143"/>
      <c r="J2758" s="143"/>
      <c r="K2758" s="143"/>
      <c r="N2758" s="144"/>
    </row>
    <row r="2759" ht="15.75" customHeight="1">
      <c r="E2759" s="80"/>
      <c r="F2759" s="80"/>
      <c r="G2759" s="142"/>
      <c r="H2759" s="143"/>
      <c r="I2759" s="143"/>
      <c r="J2759" s="143"/>
      <c r="K2759" s="143"/>
      <c r="N2759" s="144"/>
    </row>
    <row r="2760" ht="15.75" customHeight="1">
      <c r="E2760" s="80"/>
      <c r="F2760" s="80"/>
      <c r="G2760" s="142"/>
      <c r="H2760" s="143"/>
      <c r="I2760" s="143"/>
      <c r="J2760" s="143"/>
      <c r="K2760" s="143"/>
      <c r="N2760" s="144"/>
    </row>
    <row r="2761" ht="15.75" customHeight="1">
      <c r="E2761" s="80"/>
      <c r="F2761" s="80"/>
      <c r="G2761" s="142"/>
      <c r="H2761" s="143"/>
      <c r="I2761" s="143"/>
      <c r="J2761" s="143"/>
      <c r="K2761" s="143"/>
      <c r="N2761" s="144"/>
    </row>
    <row r="2762" ht="15.75" customHeight="1">
      <c r="E2762" s="80"/>
      <c r="F2762" s="80"/>
      <c r="G2762" s="142"/>
      <c r="H2762" s="143"/>
      <c r="I2762" s="143"/>
      <c r="J2762" s="143"/>
      <c r="K2762" s="143"/>
      <c r="N2762" s="144"/>
    </row>
    <row r="2763" ht="15.75" customHeight="1">
      <c r="E2763" s="80"/>
      <c r="F2763" s="80"/>
      <c r="G2763" s="142"/>
      <c r="H2763" s="143"/>
      <c r="I2763" s="143"/>
      <c r="J2763" s="143"/>
      <c r="K2763" s="143"/>
      <c r="N2763" s="144"/>
    </row>
    <row r="2764" ht="15.75" customHeight="1">
      <c r="E2764" s="80"/>
      <c r="F2764" s="80"/>
      <c r="G2764" s="142"/>
      <c r="H2764" s="143"/>
      <c r="I2764" s="143"/>
      <c r="J2764" s="143"/>
      <c r="K2764" s="143"/>
      <c r="N2764" s="144"/>
    </row>
    <row r="2765" ht="15.75" customHeight="1">
      <c r="E2765" s="80"/>
      <c r="F2765" s="80"/>
      <c r="G2765" s="142"/>
      <c r="H2765" s="143"/>
      <c r="I2765" s="143"/>
      <c r="J2765" s="143"/>
      <c r="K2765" s="143"/>
      <c r="N2765" s="144"/>
    </row>
    <row r="2766" ht="15.75" customHeight="1">
      <c r="E2766" s="80"/>
      <c r="F2766" s="80"/>
      <c r="G2766" s="142"/>
      <c r="H2766" s="143"/>
      <c r="I2766" s="143"/>
      <c r="J2766" s="143"/>
      <c r="K2766" s="143"/>
      <c r="N2766" s="144"/>
    </row>
    <row r="2767" ht="15.75" customHeight="1">
      <c r="E2767" s="80"/>
      <c r="F2767" s="80"/>
      <c r="G2767" s="142"/>
      <c r="H2767" s="143"/>
      <c r="I2767" s="143"/>
      <c r="J2767" s="143"/>
      <c r="K2767" s="143"/>
      <c r="N2767" s="144"/>
    </row>
    <row r="2768" ht="15.75" customHeight="1">
      <c r="E2768" s="80"/>
      <c r="F2768" s="80"/>
      <c r="G2768" s="142"/>
      <c r="H2768" s="143"/>
      <c r="I2768" s="143"/>
      <c r="J2768" s="143"/>
      <c r="K2768" s="143"/>
      <c r="N2768" s="144"/>
    </row>
    <row r="2769" ht="15.75" customHeight="1">
      <c r="E2769" s="80"/>
      <c r="F2769" s="80"/>
      <c r="G2769" s="142"/>
      <c r="H2769" s="143"/>
      <c r="I2769" s="143"/>
      <c r="J2769" s="143"/>
      <c r="K2769" s="143"/>
      <c r="N2769" s="144"/>
    </row>
    <row r="2770" ht="15.75" customHeight="1">
      <c r="E2770" s="80"/>
      <c r="F2770" s="80"/>
      <c r="G2770" s="142"/>
      <c r="H2770" s="143"/>
      <c r="I2770" s="143"/>
      <c r="J2770" s="143"/>
      <c r="K2770" s="143"/>
      <c r="N2770" s="144"/>
    </row>
    <row r="2771" ht="15.75" customHeight="1">
      <c r="E2771" s="80"/>
      <c r="F2771" s="80"/>
      <c r="G2771" s="142"/>
      <c r="H2771" s="143"/>
      <c r="I2771" s="143"/>
      <c r="J2771" s="143"/>
      <c r="K2771" s="143"/>
      <c r="N2771" s="144"/>
    </row>
    <row r="2772" ht="15.75" customHeight="1">
      <c r="E2772" s="80"/>
      <c r="F2772" s="80"/>
      <c r="G2772" s="142"/>
      <c r="H2772" s="143"/>
      <c r="I2772" s="143"/>
      <c r="J2772" s="143"/>
      <c r="K2772" s="143"/>
      <c r="N2772" s="144"/>
    </row>
    <row r="2773" ht="15.75" customHeight="1">
      <c r="E2773" s="80"/>
      <c r="F2773" s="80"/>
      <c r="G2773" s="142"/>
      <c r="H2773" s="143"/>
      <c r="I2773" s="143"/>
      <c r="J2773" s="143"/>
      <c r="K2773" s="143"/>
      <c r="N2773" s="144"/>
    </row>
    <row r="2774" ht="15.75" customHeight="1">
      <c r="E2774" s="80"/>
      <c r="F2774" s="80"/>
      <c r="G2774" s="142"/>
      <c r="H2774" s="143"/>
      <c r="I2774" s="143"/>
      <c r="J2774" s="143"/>
      <c r="K2774" s="143"/>
      <c r="N2774" s="144"/>
    </row>
    <row r="2775" ht="15.75" customHeight="1">
      <c r="E2775" s="80"/>
      <c r="F2775" s="80"/>
      <c r="G2775" s="142"/>
      <c r="H2775" s="143"/>
      <c r="I2775" s="143"/>
      <c r="J2775" s="143"/>
      <c r="K2775" s="143"/>
      <c r="N2775" s="144"/>
    </row>
    <row r="2776" ht="15.75" customHeight="1">
      <c r="E2776" s="80"/>
      <c r="F2776" s="80"/>
      <c r="G2776" s="142"/>
      <c r="H2776" s="143"/>
      <c r="I2776" s="143"/>
      <c r="J2776" s="143"/>
      <c r="K2776" s="143"/>
      <c r="N2776" s="144"/>
    </row>
    <row r="2777" ht="15.75" customHeight="1">
      <c r="E2777" s="80"/>
      <c r="F2777" s="80"/>
      <c r="G2777" s="142"/>
      <c r="H2777" s="143"/>
      <c r="I2777" s="143"/>
      <c r="J2777" s="143"/>
      <c r="K2777" s="143"/>
      <c r="N2777" s="144"/>
    </row>
    <row r="2778" ht="15.75" customHeight="1">
      <c r="E2778" s="80"/>
      <c r="F2778" s="80"/>
      <c r="G2778" s="142"/>
      <c r="H2778" s="143"/>
      <c r="I2778" s="143"/>
      <c r="J2778" s="143"/>
      <c r="K2778" s="143"/>
      <c r="N2778" s="144"/>
    </row>
    <row r="2779" ht="15.75" customHeight="1">
      <c r="E2779" s="80"/>
      <c r="F2779" s="80"/>
      <c r="G2779" s="142"/>
      <c r="H2779" s="143"/>
      <c r="I2779" s="143"/>
      <c r="J2779" s="143"/>
      <c r="K2779" s="143"/>
      <c r="N2779" s="144"/>
    </row>
    <row r="2780" ht="15.75" customHeight="1">
      <c r="E2780" s="80"/>
      <c r="F2780" s="80"/>
      <c r="G2780" s="142"/>
      <c r="H2780" s="143"/>
      <c r="I2780" s="143"/>
      <c r="J2780" s="143"/>
      <c r="K2780" s="143"/>
      <c r="N2780" s="144"/>
    </row>
    <row r="2781" ht="15.75" customHeight="1">
      <c r="E2781" s="80"/>
      <c r="F2781" s="80"/>
      <c r="G2781" s="142"/>
      <c r="H2781" s="143"/>
      <c r="I2781" s="143"/>
      <c r="J2781" s="143"/>
      <c r="K2781" s="143"/>
      <c r="N2781" s="144"/>
    </row>
    <row r="2782" ht="15.75" customHeight="1">
      <c r="E2782" s="80"/>
      <c r="F2782" s="80"/>
      <c r="G2782" s="142"/>
      <c r="H2782" s="143"/>
      <c r="I2782" s="143"/>
      <c r="J2782" s="143"/>
      <c r="K2782" s="143"/>
      <c r="N2782" s="144"/>
    </row>
    <row r="2783" ht="15.75" customHeight="1">
      <c r="E2783" s="80"/>
      <c r="F2783" s="80"/>
      <c r="G2783" s="142"/>
      <c r="H2783" s="143"/>
      <c r="I2783" s="143"/>
      <c r="J2783" s="143"/>
      <c r="K2783" s="143"/>
      <c r="N2783" s="144"/>
    </row>
    <row r="2784" ht="15.75" customHeight="1">
      <c r="E2784" s="80"/>
      <c r="F2784" s="80"/>
      <c r="G2784" s="142"/>
      <c r="H2784" s="143"/>
      <c r="I2784" s="143"/>
      <c r="J2784" s="143"/>
      <c r="K2784" s="143"/>
      <c r="N2784" s="144"/>
    </row>
    <row r="2785" ht="15.75" customHeight="1">
      <c r="E2785" s="80"/>
      <c r="F2785" s="80"/>
      <c r="G2785" s="142"/>
      <c r="H2785" s="143"/>
      <c r="I2785" s="143"/>
      <c r="J2785" s="143"/>
      <c r="K2785" s="143"/>
      <c r="N2785" s="144"/>
    </row>
    <row r="2786" ht="15.75" customHeight="1">
      <c r="E2786" s="80"/>
      <c r="F2786" s="80"/>
      <c r="G2786" s="142"/>
      <c r="H2786" s="143"/>
      <c r="I2786" s="143"/>
      <c r="J2786" s="143"/>
      <c r="K2786" s="143"/>
      <c r="N2786" s="144"/>
    </row>
    <row r="2787" ht="15.75" customHeight="1">
      <c r="E2787" s="80"/>
      <c r="F2787" s="80"/>
      <c r="G2787" s="142"/>
      <c r="H2787" s="143"/>
      <c r="I2787" s="143"/>
      <c r="J2787" s="143"/>
      <c r="K2787" s="143"/>
      <c r="N2787" s="144"/>
    </row>
    <row r="2788" ht="15.75" customHeight="1">
      <c r="E2788" s="80"/>
      <c r="F2788" s="80"/>
      <c r="G2788" s="142"/>
      <c r="H2788" s="143"/>
      <c r="I2788" s="143"/>
      <c r="J2788" s="143"/>
      <c r="K2788" s="143"/>
      <c r="N2788" s="144"/>
    </row>
    <row r="2789" ht="15.75" customHeight="1">
      <c r="E2789" s="80"/>
      <c r="F2789" s="80"/>
      <c r="G2789" s="142"/>
      <c r="H2789" s="143"/>
      <c r="I2789" s="143"/>
      <c r="J2789" s="143"/>
      <c r="K2789" s="143"/>
      <c r="N2789" s="144"/>
    </row>
    <row r="2790" ht="15.75" customHeight="1">
      <c r="E2790" s="80"/>
      <c r="F2790" s="80"/>
      <c r="G2790" s="142"/>
      <c r="H2790" s="143"/>
      <c r="I2790" s="143"/>
      <c r="J2790" s="143"/>
      <c r="K2790" s="143"/>
      <c r="N2790" s="144"/>
    </row>
    <row r="2791" ht="15.75" customHeight="1">
      <c r="E2791" s="80"/>
      <c r="F2791" s="80"/>
      <c r="G2791" s="142"/>
      <c r="H2791" s="143"/>
      <c r="I2791" s="143"/>
      <c r="J2791" s="143"/>
      <c r="K2791" s="143"/>
      <c r="N2791" s="144"/>
    </row>
    <row r="2792" ht="15.75" customHeight="1">
      <c r="E2792" s="80"/>
      <c r="F2792" s="80"/>
      <c r="G2792" s="142"/>
      <c r="H2792" s="143"/>
      <c r="I2792" s="143"/>
      <c r="J2792" s="143"/>
      <c r="K2792" s="143"/>
      <c r="N2792" s="144"/>
    </row>
    <row r="2793" ht="15.75" customHeight="1">
      <c r="E2793" s="80"/>
      <c r="F2793" s="80"/>
      <c r="G2793" s="142"/>
      <c r="H2793" s="143"/>
      <c r="I2793" s="143"/>
      <c r="J2793" s="143"/>
      <c r="K2793" s="143"/>
      <c r="N2793" s="144"/>
    </row>
    <row r="2794" ht="15.75" customHeight="1">
      <c r="E2794" s="80"/>
      <c r="F2794" s="80"/>
      <c r="G2794" s="142"/>
      <c r="H2794" s="143"/>
      <c r="I2794" s="143"/>
      <c r="J2794" s="143"/>
      <c r="K2794" s="143"/>
      <c r="N2794" s="144"/>
    </row>
    <row r="2795" ht="15.75" customHeight="1">
      <c r="E2795" s="80"/>
      <c r="F2795" s="80"/>
      <c r="G2795" s="142"/>
      <c r="H2795" s="143"/>
      <c r="I2795" s="143"/>
      <c r="J2795" s="143"/>
      <c r="K2795" s="143"/>
      <c r="N2795" s="144"/>
    </row>
    <row r="2796" ht="15.75" customHeight="1">
      <c r="E2796" s="80"/>
      <c r="F2796" s="80"/>
      <c r="G2796" s="142"/>
      <c r="H2796" s="143"/>
      <c r="I2796" s="143"/>
      <c r="J2796" s="143"/>
      <c r="K2796" s="143"/>
      <c r="N2796" s="144"/>
    </row>
    <row r="2797" ht="15.75" customHeight="1">
      <c r="E2797" s="80"/>
      <c r="F2797" s="80"/>
      <c r="G2797" s="142"/>
      <c r="H2797" s="143"/>
      <c r="I2797" s="143"/>
      <c r="J2797" s="143"/>
      <c r="K2797" s="143"/>
      <c r="N2797" s="144"/>
    </row>
    <row r="2798" ht="15.75" customHeight="1">
      <c r="E2798" s="80"/>
      <c r="F2798" s="80"/>
      <c r="G2798" s="142"/>
      <c r="H2798" s="143"/>
      <c r="I2798" s="143"/>
      <c r="J2798" s="143"/>
      <c r="K2798" s="143"/>
      <c r="N2798" s="144"/>
    </row>
    <row r="2799" ht="15.75" customHeight="1">
      <c r="E2799" s="80"/>
      <c r="F2799" s="80"/>
      <c r="G2799" s="142"/>
      <c r="H2799" s="143"/>
      <c r="I2799" s="143"/>
      <c r="J2799" s="143"/>
      <c r="K2799" s="143"/>
      <c r="N2799" s="144"/>
    </row>
    <row r="2800" ht="15.75" customHeight="1">
      <c r="E2800" s="80"/>
      <c r="F2800" s="80"/>
      <c r="G2800" s="142"/>
      <c r="H2800" s="143"/>
      <c r="I2800" s="143"/>
      <c r="J2800" s="143"/>
      <c r="K2800" s="143"/>
      <c r="N2800" s="144"/>
    </row>
    <row r="2801" ht="15.75" customHeight="1">
      <c r="E2801" s="80"/>
      <c r="F2801" s="80"/>
      <c r="G2801" s="142"/>
      <c r="H2801" s="143"/>
      <c r="I2801" s="143"/>
      <c r="J2801" s="143"/>
      <c r="K2801" s="143"/>
      <c r="N2801" s="144"/>
    </row>
    <row r="2802" ht="15.75" customHeight="1">
      <c r="E2802" s="80"/>
      <c r="F2802" s="80"/>
      <c r="G2802" s="142"/>
      <c r="H2802" s="143"/>
      <c r="I2802" s="143"/>
      <c r="J2802" s="143"/>
      <c r="K2802" s="143"/>
      <c r="N2802" s="144"/>
    </row>
    <row r="2803" ht="15.75" customHeight="1">
      <c r="E2803" s="80"/>
      <c r="F2803" s="80"/>
      <c r="G2803" s="142"/>
      <c r="H2803" s="143"/>
      <c r="I2803" s="143"/>
      <c r="J2803" s="143"/>
      <c r="K2803" s="143"/>
      <c r="N2803" s="144"/>
    </row>
    <row r="2804" ht="15.75" customHeight="1">
      <c r="E2804" s="80"/>
      <c r="F2804" s="80"/>
      <c r="G2804" s="142"/>
      <c r="H2804" s="143"/>
      <c r="I2804" s="143"/>
      <c r="J2804" s="143"/>
      <c r="K2804" s="143"/>
      <c r="N2804" s="144"/>
    </row>
    <row r="2805" ht="15.75" customHeight="1">
      <c r="E2805" s="80"/>
      <c r="F2805" s="80"/>
      <c r="G2805" s="142"/>
      <c r="H2805" s="143"/>
      <c r="I2805" s="143"/>
      <c r="J2805" s="143"/>
      <c r="K2805" s="143"/>
      <c r="N2805" s="144"/>
    </row>
    <row r="2806" ht="15.75" customHeight="1">
      <c r="E2806" s="80"/>
      <c r="F2806" s="80"/>
      <c r="G2806" s="142"/>
      <c r="H2806" s="143"/>
      <c r="I2806" s="143"/>
      <c r="J2806" s="143"/>
      <c r="K2806" s="143"/>
      <c r="N2806" s="144"/>
    </row>
    <row r="2807" ht="15.75" customHeight="1">
      <c r="E2807" s="80"/>
      <c r="F2807" s="80"/>
      <c r="G2807" s="142"/>
      <c r="H2807" s="143"/>
      <c r="I2807" s="143"/>
      <c r="J2807" s="143"/>
      <c r="K2807" s="143"/>
      <c r="N2807" s="144"/>
    </row>
    <row r="2808" ht="15.75" customHeight="1">
      <c r="E2808" s="80"/>
      <c r="F2808" s="80"/>
      <c r="G2808" s="142"/>
      <c r="H2808" s="143"/>
      <c r="I2808" s="143"/>
      <c r="J2808" s="143"/>
      <c r="K2808" s="143"/>
      <c r="N2808" s="144"/>
    </row>
    <row r="2809" ht="15.75" customHeight="1">
      <c r="E2809" s="80"/>
      <c r="F2809" s="80"/>
      <c r="G2809" s="142"/>
      <c r="H2809" s="143"/>
      <c r="I2809" s="143"/>
      <c r="J2809" s="143"/>
      <c r="K2809" s="143"/>
      <c r="N2809" s="144"/>
    </row>
    <row r="2810" ht="15.75" customHeight="1">
      <c r="E2810" s="80"/>
      <c r="F2810" s="80"/>
      <c r="G2810" s="142"/>
      <c r="H2810" s="143"/>
      <c r="I2810" s="143"/>
      <c r="J2810" s="143"/>
      <c r="K2810" s="143"/>
      <c r="N2810" s="144"/>
    </row>
    <row r="2811" ht="15.75" customHeight="1">
      <c r="E2811" s="80"/>
      <c r="F2811" s="80"/>
      <c r="G2811" s="142"/>
      <c r="H2811" s="143"/>
      <c r="I2811" s="143"/>
      <c r="J2811" s="143"/>
      <c r="K2811" s="143"/>
      <c r="N2811" s="144"/>
    </row>
    <row r="2812" ht="15.75" customHeight="1">
      <c r="E2812" s="80"/>
      <c r="F2812" s="80"/>
      <c r="G2812" s="142"/>
      <c r="H2812" s="143"/>
      <c r="I2812" s="143"/>
      <c r="J2812" s="143"/>
      <c r="K2812" s="143"/>
      <c r="N2812" s="144"/>
    </row>
    <row r="2813" ht="15.75" customHeight="1">
      <c r="E2813" s="80"/>
      <c r="F2813" s="80"/>
      <c r="G2813" s="142"/>
      <c r="H2813" s="143"/>
      <c r="I2813" s="143"/>
      <c r="J2813" s="143"/>
      <c r="K2813" s="143"/>
      <c r="N2813" s="144"/>
    </row>
    <row r="2814" ht="15.75" customHeight="1">
      <c r="E2814" s="80"/>
      <c r="F2814" s="80"/>
      <c r="G2814" s="142"/>
      <c r="H2814" s="143"/>
      <c r="I2814" s="143"/>
      <c r="J2814" s="143"/>
      <c r="K2814" s="143"/>
      <c r="N2814" s="144"/>
    </row>
    <row r="2815" ht="15.75" customHeight="1">
      <c r="E2815" s="80"/>
      <c r="F2815" s="80"/>
      <c r="G2815" s="142"/>
      <c r="H2815" s="143"/>
      <c r="I2815" s="143"/>
      <c r="J2815" s="143"/>
      <c r="K2815" s="143"/>
      <c r="N2815" s="144"/>
    </row>
    <row r="2816" ht="15.75" customHeight="1">
      <c r="E2816" s="80"/>
      <c r="F2816" s="80"/>
      <c r="G2816" s="142"/>
      <c r="H2816" s="143"/>
      <c r="I2816" s="143"/>
      <c r="J2816" s="143"/>
      <c r="K2816" s="143"/>
      <c r="N2816" s="144"/>
    </row>
    <row r="2817" ht="15.75" customHeight="1">
      <c r="E2817" s="80"/>
      <c r="F2817" s="80"/>
      <c r="G2817" s="142"/>
      <c r="H2817" s="143"/>
      <c r="I2817" s="143"/>
      <c r="J2817" s="143"/>
      <c r="K2817" s="143"/>
      <c r="N2817" s="144"/>
    </row>
    <row r="2818" ht="15.75" customHeight="1">
      <c r="E2818" s="80"/>
      <c r="F2818" s="80"/>
      <c r="G2818" s="142"/>
      <c r="H2818" s="143"/>
      <c r="I2818" s="143"/>
      <c r="J2818" s="143"/>
      <c r="K2818" s="143"/>
      <c r="N2818" s="144"/>
    </row>
    <row r="2819" ht="15.75" customHeight="1">
      <c r="E2819" s="80"/>
      <c r="F2819" s="80"/>
      <c r="G2819" s="142"/>
      <c r="H2819" s="143"/>
      <c r="I2819" s="143"/>
      <c r="J2819" s="143"/>
      <c r="K2819" s="143"/>
      <c r="N2819" s="144"/>
    </row>
    <row r="2820" ht="15.75" customHeight="1">
      <c r="E2820" s="80"/>
      <c r="F2820" s="80"/>
      <c r="G2820" s="142"/>
      <c r="H2820" s="143"/>
      <c r="I2820" s="143"/>
      <c r="J2820" s="143"/>
      <c r="K2820" s="143"/>
      <c r="N2820" s="144"/>
    </row>
    <row r="2821" ht="15.75" customHeight="1">
      <c r="E2821" s="80"/>
      <c r="F2821" s="80"/>
      <c r="G2821" s="142"/>
      <c r="H2821" s="143"/>
      <c r="I2821" s="143"/>
      <c r="J2821" s="143"/>
      <c r="K2821" s="143"/>
      <c r="N2821" s="144"/>
    </row>
    <row r="2822" ht="15.75" customHeight="1">
      <c r="E2822" s="80"/>
      <c r="F2822" s="80"/>
      <c r="G2822" s="142"/>
      <c r="H2822" s="143"/>
      <c r="I2822" s="143"/>
      <c r="J2822" s="143"/>
      <c r="K2822" s="143"/>
      <c r="N2822" s="144"/>
    </row>
    <row r="2823" ht="15.75" customHeight="1">
      <c r="E2823" s="80"/>
      <c r="F2823" s="80"/>
      <c r="G2823" s="142"/>
      <c r="H2823" s="143"/>
      <c r="I2823" s="143"/>
      <c r="J2823" s="143"/>
      <c r="K2823" s="143"/>
      <c r="N2823" s="144"/>
    </row>
    <row r="2824" ht="15.75" customHeight="1">
      <c r="E2824" s="80"/>
      <c r="F2824" s="80"/>
      <c r="G2824" s="142"/>
      <c r="H2824" s="143"/>
      <c r="I2824" s="143"/>
      <c r="J2824" s="143"/>
      <c r="K2824" s="143"/>
      <c r="N2824" s="144"/>
    </row>
    <row r="2825" ht="15.75" customHeight="1">
      <c r="E2825" s="80"/>
      <c r="F2825" s="80"/>
      <c r="G2825" s="142"/>
      <c r="H2825" s="143"/>
      <c r="I2825" s="143"/>
      <c r="J2825" s="143"/>
      <c r="K2825" s="143"/>
      <c r="N2825" s="144"/>
    </row>
    <row r="2826" ht="15.75" customHeight="1">
      <c r="E2826" s="80"/>
      <c r="F2826" s="80"/>
      <c r="G2826" s="142"/>
      <c r="H2826" s="143"/>
      <c r="I2826" s="143"/>
      <c r="J2826" s="143"/>
      <c r="K2826" s="143"/>
      <c r="N2826" s="144"/>
    </row>
    <row r="2827" ht="15.75" customHeight="1">
      <c r="E2827" s="80"/>
      <c r="F2827" s="80"/>
      <c r="G2827" s="142"/>
      <c r="H2827" s="143"/>
      <c r="I2827" s="143"/>
      <c r="J2827" s="143"/>
      <c r="K2827" s="143"/>
      <c r="N2827" s="144"/>
    </row>
    <row r="2828" ht="15.75" customHeight="1">
      <c r="E2828" s="80"/>
      <c r="F2828" s="80"/>
      <c r="G2828" s="142"/>
      <c r="H2828" s="143"/>
      <c r="I2828" s="143"/>
      <c r="J2828" s="143"/>
      <c r="K2828" s="143"/>
      <c r="N2828" s="144"/>
    </row>
    <row r="2829" ht="15.75" customHeight="1">
      <c r="E2829" s="80"/>
      <c r="F2829" s="80"/>
      <c r="G2829" s="142"/>
      <c r="H2829" s="143"/>
      <c r="I2829" s="143"/>
      <c r="J2829" s="143"/>
      <c r="K2829" s="143"/>
      <c r="N2829" s="144"/>
    </row>
    <row r="2830" ht="15.75" customHeight="1">
      <c r="E2830" s="80"/>
      <c r="F2830" s="80"/>
      <c r="G2830" s="142"/>
      <c r="H2830" s="143"/>
      <c r="I2830" s="143"/>
      <c r="J2830" s="143"/>
      <c r="K2830" s="143"/>
      <c r="N2830" s="144"/>
    </row>
    <row r="2831" ht="15.75" customHeight="1">
      <c r="E2831" s="80"/>
      <c r="F2831" s="80"/>
      <c r="G2831" s="142"/>
      <c r="H2831" s="143"/>
      <c r="I2831" s="143"/>
      <c r="J2831" s="143"/>
      <c r="K2831" s="143"/>
      <c r="N2831" s="144"/>
    </row>
    <row r="2832" ht="15.75" customHeight="1">
      <c r="E2832" s="80"/>
      <c r="F2832" s="80"/>
      <c r="G2832" s="142"/>
      <c r="H2832" s="143"/>
      <c r="I2832" s="143"/>
      <c r="J2832" s="143"/>
      <c r="K2832" s="143"/>
      <c r="N2832" s="144"/>
    </row>
    <row r="2833" ht="15.75" customHeight="1">
      <c r="E2833" s="80"/>
      <c r="F2833" s="80"/>
      <c r="G2833" s="142"/>
      <c r="H2833" s="143"/>
      <c r="I2833" s="143"/>
      <c r="J2833" s="143"/>
      <c r="K2833" s="143"/>
      <c r="N2833" s="144"/>
    </row>
    <row r="2834" ht="15.75" customHeight="1">
      <c r="E2834" s="80"/>
      <c r="F2834" s="80"/>
      <c r="G2834" s="142"/>
      <c r="H2834" s="143"/>
      <c r="I2834" s="143"/>
      <c r="J2834" s="143"/>
      <c r="K2834" s="143"/>
      <c r="N2834" s="144"/>
    </row>
    <row r="2835" ht="15.75" customHeight="1">
      <c r="E2835" s="80"/>
      <c r="F2835" s="80"/>
      <c r="G2835" s="142"/>
      <c r="H2835" s="143"/>
      <c r="I2835" s="143"/>
      <c r="J2835" s="143"/>
      <c r="K2835" s="143"/>
      <c r="N2835" s="144"/>
    </row>
    <row r="2836" ht="15.75" customHeight="1">
      <c r="E2836" s="80"/>
      <c r="F2836" s="80"/>
      <c r="G2836" s="142"/>
      <c r="H2836" s="143"/>
      <c r="I2836" s="143"/>
      <c r="J2836" s="143"/>
      <c r="K2836" s="143"/>
      <c r="N2836" s="144"/>
    </row>
    <row r="2837" ht="15.75" customHeight="1">
      <c r="E2837" s="80"/>
      <c r="F2837" s="80"/>
      <c r="G2837" s="142"/>
      <c r="H2837" s="143"/>
      <c r="I2837" s="143"/>
      <c r="J2837" s="143"/>
      <c r="K2837" s="143"/>
      <c r="N2837" s="144"/>
    </row>
    <row r="2838" ht="15.75" customHeight="1">
      <c r="E2838" s="80"/>
      <c r="F2838" s="80"/>
      <c r="G2838" s="142"/>
      <c r="H2838" s="143"/>
      <c r="I2838" s="143"/>
      <c r="J2838" s="143"/>
      <c r="K2838" s="143"/>
      <c r="N2838" s="144"/>
    </row>
    <row r="2839" ht="15.75" customHeight="1">
      <c r="E2839" s="80"/>
      <c r="F2839" s="80"/>
      <c r="G2839" s="142"/>
      <c r="H2839" s="143"/>
      <c r="I2839" s="143"/>
      <c r="J2839" s="143"/>
      <c r="K2839" s="143"/>
      <c r="N2839" s="144"/>
    </row>
    <row r="2840" ht="15.75" customHeight="1">
      <c r="E2840" s="80"/>
      <c r="F2840" s="80"/>
      <c r="G2840" s="142"/>
      <c r="H2840" s="143"/>
      <c r="I2840" s="143"/>
      <c r="J2840" s="143"/>
      <c r="K2840" s="143"/>
      <c r="N2840" s="144"/>
    </row>
    <row r="2841" ht="15.75" customHeight="1">
      <c r="E2841" s="80"/>
      <c r="F2841" s="80"/>
      <c r="G2841" s="142"/>
      <c r="H2841" s="143"/>
      <c r="I2841" s="143"/>
      <c r="J2841" s="143"/>
      <c r="K2841" s="143"/>
      <c r="N2841" s="144"/>
    </row>
    <row r="2842" ht="15.75" customHeight="1">
      <c r="E2842" s="80"/>
      <c r="F2842" s="80"/>
      <c r="G2842" s="142"/>
      <c r="H2842" s="143"/>
      <c r="I2842" s="143"/>
      <c r="J2842" s="143"/>
      <c r="K2842" s="143"/>
      <c r="N2842" s="144"/>
    </row>
    <row r="2843" ht="15.75" customHeight="1">
      <c r="E2843" s="80"/>
      <c r="F2843" s="80"/>
      <c r="G2843" s="142"/>
      <c r="H2843" s="143"/>
      <c r="I2843" s="143"/>
      <c r="J2843" s="143"/>
      <c r="K2843" s="143"/>
      <c r="N2843" s="144"/>
    </row>
    <row r="2844" ht="15.75" customHeight="1">
      <c r="E2844" s="80"/>
      <c r="F2844" s="80"/>
      <c r="G2844" s="142"/>
      <c r="H2844" s="143"/>
      <c r="I2844" s="143"/>
      <c r="J2844" s="143"/>
      <c r="K2844" s="143"/>
      <c r="N2844" s="144"/>
    </row>
    <row r="2845" ht="15.75" customHeight="1">
      <c r="E2845" s="80"/>
      <c r="F2845" s="80"/>
      <c r="G2845" s="142"/>
      <c r="H2845" s="143"/>
      <c r="I2845" s="143"/>
      <c r="J2845" s="143"/>
      <c r="K2845" s="143"/>
      <c r="N2845" s="144"/>
    </row>
    <row r="2846" ht="15.75" customHeight="1">
      <c r="E2846" s="80"/>
      <c r="F2846" s="80"/>
      <c r="G2846" s="142"/>
      <c r="H2846" s="143"/>
      <c r="I2846" s="143"/>
      <c r="J2846" s="143"/>
      <c r="K2846" s="143"/>
      <c r="N2846" s="144"/>
    </row>
    <row r="2847" ht="15.75" customHeight="1">
      <c r="E2847" s="80"/>
      <c r="F2847" s="80"/>
      <c r="G2847" s="142"/>
      <c r="H2847" s="143"/>
      <c r="I2847" s="143"/>
      <c r="J2847" s="143"/>
      <c r="K2847" s="143"/>
      <c r="N2847" s="144"/>
    </row>
    <row r="2848" ht="15.75" customHeight="1">
      <c r="E2848" s="80"/>
      <c r="F2848" s="80"/>
      <c r="G2848" s="142"/>
      <c r="H2848" s="143"/>
      <c r="I2848" s="143"/>
      <c r="J2848" s="143"/>
      <c r="K2848" s="143"/>
      <c r="N2848" s="144"/>
    </row>
    <row r="2849" ht="15.75" customHeight="1">
      <c r="E2849" s="80"/>
      <c r="F2849" s="80"/>
      <c r="G2849" s="142"/>
      <c r="H2849" s="143"/>
      <c r="I2849" s="143"/>
      <c r="J2849" s="143"/>
      <c r="K2849" s="143"/>
      <c r="N2849" s="144"/>
    </row>
    <row r="2850" ht="15.75" customHeight="1">
      <c r="E2850" s="80"/>
      <c r="F2850" s="80"/>
      <c r="G2850" s="142"/>
      <c r="H2850" s="143"/>
      <c r="I2850" s="143"/>
      <c r="J2850" s="143"/>
      <c r="K2850" s="143"/>
      <c r="N2850" s="144"/>
    </row>
    <row r="2851" ht="15.75" customHeight="1">
      <c r="E2851" s="80"/>
      <c r="F2851" s="80"/>
      <c r="G2851" s="142"/>
      <c r="H2851" s="143"/>
      <c r="I2851" s="143"/>
      <c r="J2851" s="143"/>
      <c r="K2851" s="143"/>
      <c r="N2851" s="144"/>
    </row>
    <row r="2852" ht="15.75" customHeight="1">
      <c r="E2852" s="80"/>
      <c r="F2852" s="80"/>
      <c r="G2852" s="142"/>
      <c r="H2852" s="143"/>
      <c r="I2852" s="143"/>
      <c r="J2852" s="143"/>
      <c r="K2852" s="143"/>
      <c r="N2852" s="144"/>
    </row>
    <row r="2853" ht="15.75" customHeight="1">
      <c r="E2853" s="80"/>
      <c r="F2853" s="80"/>
      <c r="G2853" s="142"/>
      <c r="H2853" s="143"/>
      <c r="I2853" s="143"/>
      <c r="J2853" s="143"/>
      <c r="K2853" s="143"/>
      <c r="N2853" s="144"/>
    </row>
    <row r="2854" ht="15.75" customHeight="1">
      <c r="E2854" s="80"/>
      <c r="F2854" s="80"/>
      <c r="G2854" s="142"/>
      <c r="H2854" s="143"/>
      <c r="I2854" s="143"/>
      <c r="J2854" s="143"/>
      <c r="K2854" s="143"/>
      <c r="N2854" s="144"/>
    </row>
    <row r="2855" ht="15.75" customHeight="1">
      <c r="E2855" s="80"/>
      <c r="F2855" s="80"/>
      <c r="G2855" s="142"/>
      <c r="H2855" s="143"/>
      <c r="I2855" s="143"/>
      <c r="J2855" s="143"/>
      <c r="K2855" s="143"/>
      <c r="N2855" s="144"/>
    </row>
    <row r="2856" ht="15.75" customHeight="1">
      <c r="E2856" s="80"/>
      <c r="F2856" s="80"/>
      <c r="G2856" s="142"/>
      <c r="H2856" s="143"/>
      <c r="I2856" s="143"/>
      <c r="J2856" s="143"/>
      <c r="K2856" s="143"/>
      <c r="N2856" s="144"/>
    </row>
    <row r="2857" ht="15.75" customHeight="1">
      <c r="E2857" s="80"/>
      <c r="F2857" s="80"/>
      <c r="G2857" s="142"/>
      <c r="H2857" s="143"/>
      <c r="I2857" s="143"/>
      <c r="J2857" s="143"/>
      <c r="K2857" s="143"/>
      <c r="N2857" s="144"/>
    </row>
    <row r="2858" ht="15.75" customHeight="1">
      <c r="E2858" s="80"/>
      <c r="F2858" s="80"/>
      <c r="G2858" s="142"/>
      <c r="H2858" s="143"/>
      <c r="I2858" s="143"/>
      <c r="J2858" s="143"/>
      <c r="K2858" s="143"/>
      <c r="N2858" s="144"/>
    </row>
    <row r="2859" ht="15.75" customHeight="1">
      <c r="E2859" s="80"/>
      <c r="F2859" s="80"/>
      <c r="G2859" s="142"/>
      <c r="H2859" s="143"/>
      <c r="I2859" s="143"/>
      <c r="J2859" s="143"/>
      <c r="K2859" s="143"/>
      <c r="N2859" s="144"/>
    </row>
    <row r="2860" ht="15.75" customHeight="1">
      <c r="E2860" s="80"/>
      <c r="F2860" s="80"/>
      <c r="G2860" s="142"/>
      <c r="H2860" s="143"/>
      <c r="I2860" s="143"/>
      <c r="J2860" s="143"/>
      <c r="K2860" s="143"/>
      <c r="N2860" s="144"/>
    </row>
    <row r="2861" ht="15.75" customHeight="1">
      <c r="E2861" s="80"/>
      <c r="F2861" s="80"/>
      <c r="G2861" s="142"/>
      <c r="H2861" s="143"/>
      <c r="I2861" s="143"/>
      <c r="J2861" s="143"/>
      <c r="K2861" s="143"/>
      <c r="N2861" s="144"/>
    </row>
    <row r="2862" ht="15.75" customHeight="1">
      <c r="E2862" s="80"/>
      <c r="F2862" s="80"/>
      <c r="G2862" s="142"/>
      <c r="H2862" s="143"/>
      <c r="I2862" s="143"/>
      <c r="J2862" s="143"/>
      <c r="K2862" s="143"/>
      <c r="N2862" s="144"/>
    </row>
    <row r="2863" ht="15.75" customHeight="1">
      <c r="E2863" s="80"/>
      <c r="F2863" s="80"/>
      <c r="G2863" s="142"/>
      <c r="H2863" s="143"/>
      <c r="I2863" s="143"/>
      <c r="J2863" s="143"/>
      <c r="K2863" s="143"/>
      <c r="N2863" s="144"/>
    </row>
    <row r="2864" ht="15.75" customHeight="1">
      <c r="E2864" s="80"/>
      <c r="F2864" s="80"/>
      <c r="G2864" s="142"/>
      <c r="H2864" s="143"/>
      <c r="I2864" s="143"/>
      <c r="J2864" s="143"/>
      <c r="K2864" s="143"/>
      <c r="N2864" s="144"/>
    </row>
    <row r="2865" ht="15.75" customHeight="1">
      <c r="E2865" s="80"/>
      <c r="F2865" s="80"/>
      <c r="G2865" s="142"/>
      <c r="H2865" s="143"/>
      <c r="I2865" s="143"/>
      <c r="J2865" s="143"/>
      <c r="K2865" s="143"/>
      <c r="N2865" s="144"/>
    </row>
    <row r="2866" ht="15.75" customHeight="1">
      <c r="E2866" s="80"/>
      <c r="F2866" s="80"/>
      <c r="G2866" s="142"/>
      <c r="H2866" s="143"/>
      <c r="I2866" s="143"/>
      <c r="J2866" s="143"/>
      <c r="K2866" s="143"/>
      <c r="N2866" s="144"/>
    </row>
    <row r="2867" ht="15.75" customHeight="1">
      <c r="E2867" s="80"/>
      <c r="F2867" s="80"/>
      <c r="G2867" s="142"/>
      <c r="H2867" s="143"/>
      <c r="I2867" s="143"/>
      <c r="J2867" s="143"/>
      <c r="K2867" s="143"/>
      <c r="N2867" s="144"/>
    </row>
    <row r="2868" ht="15.75" customHeight="1">
      <c r="E2868" s="80"/>
      <c r="F2868" s="80"/>
      <c r="G2868" s="142"/>
      <c r="H2868" s="143"/>
      <c r="I2868" s="143"/>
      <c r="J2868" s="143"/>
      <c r="K2868" s="143"/>
      <c r="N2868" s="144"/>
    </row>
    <row r="2869" ht="15.75" customHeight="1">
      <c r="E2869" s="80"/>
      <c r="F2869" s="80"/>
      <c r="G2869" s="142"/>
      <c r="H2869" s="143"/>
      <c r="I2869" s="143"/>
      <c r="J2869" s="143"/>
      <c r="K2869" s="143"/>
      <c r="N2869" s="144"/>
    </row>
    <row r="2870" ht="15.75" customHeight="1">
      <c r="E2870" s="80"/>
      <c r="F2870" s="80"/>
      <c r="G2870" s="142"/>
      <c r="H2870" s="143"/>
      <c r="I2870" s="143"/>
      <c r="J2870" s="143"/>
      <c r="K2870" s="143"/>
      <c r="N2870" s="144"/>
    </row>
    <row r="2871" ht="15.75" customHeight="1">
      <c r="E2871" s="80"/>
      <c r="F2871" s="80"/>
      <c r="G2871" s="142"/>
      <c r="H2871" s="143"/>
      <c r="I2871" s="143"/>
      <c r="J2871" s="143"/>
      <c r="K2871" s="143"/>
      <c r="N2871" s="144"/>
    </row>
    <row r="2872" ht="15.75" customHeight="1">
      <c r="E2872" s="80"/>
      <c r="F2872" s="80"/>
      <c r="G2872" s="142"/>
      <c r="H2872" s="143"/>
      <c r="I2872" s="143"/>
      <c r="J2872" s="143"/>
      <c r="K2872" s="143"/>
      <c r="N2872" s="144"/>
    </row>
    <row r="2873" ht="15.75" customHeight="1">
      <c r="E2873" s="80"/>
      <c r="F2873" s="80"/>
      <c r="G2873" s="142"/>
      <c r="H2873" s="143"/>
      <c r="I2873" s="143"/>
      <c r="J2873" s="143"/>
      <c r="K2873" s="143"/>
      <c r="N2873" s="144"/>
    </row>
    <row r="2874" ht="15.75" customHeight="1">
      <c r="E2874" s="80"/>
      <c r="F2874" s="80"/>
      <c r="G2874" s="142"/>
      <c r="H2874" s="143"/>
      <c r="I2874" s="143"/>
      <c r="J2874" s="143"/>
      <c r="K2874" s="143"/>
      <c r="N2874" s="144"/>
    </row>
    <row r="2875" ht="15.75" customHeight="1">
      <c r="E2875" s="80"/>
      <c r="F2875" s="80"/>
      <c r="G2875" s="142"/>
      <c r="H2875" s="143"/>
      <c r="I2875" s="143"/>
      <c r="J2875" s="143"/>
      <c r="K2875" s="143"/>
      <c r="N2875" s="144"/>
    </row>
    <row r="2876" ht="15.75" customHeight="1">
      <c r="E2876" s="80"/>
      <c r="F2876" s="80"/>
      <c r="G2876" s="142"/>
      <c r="H2876" s="143"/>
      <c r="I2876" s="143"/>
      <c r="J2876" s="143"/>
      <c r="K2876" s="143"/>
      <c r="N2876" s="144"/>
    </row>
    <row r="2877" ht="15.75" customHeight="1">
      <c r="E2877" s="80"/>
      <c r="F2877" s="80"/>
      <c r="G2877" s="142"/>
      <c r="H2877" s="143"/>
      <c r="I2877" s="143"/>
      <c r="J2877" s="143"/>
      <c r="K2877" s="143"/>
      <c r="N2877" s="144"/>
    </row>
    <row r="2878" ht="15.75" customHeight="1">
      <c r="E2878" s="80"/>
      <c r="F2878" s="80"/>
      <c r="G2878" s="142"/>
      <c r="H2878" s="143"/>
      <c r="I2878" s="143"/>
      <c r="J2878" s="143"/>
      <c r="K2878" s="143"/>
      <c r="N2878" s="144"/>
    </row>
    <row r="2879" ht="15.75" customHeight="1">
      <c r="E2879" s="80"/>
      <c r="F2879" s="80"/>
      <c r="G2879" s="142"/>
      <c r="H2879" s="143"/>
      <c r="I2879" s="143"/>
      <c r="J2879" s="143"/>
      <c r="K2879" s="143"/>
      <c r="N2879" s="144"/>
    </row>
    <row r="2880" ht="15.75" customHeight="1">
      <c r="E2880" s="80"/>
      <c r="F2880" s="80"/>
      <c r="G2880" s="142"/>
      <c r="H2880" s="143"/>
      <c r="I2880" s="143"/>
      <c r="J2880" s="143"/>
      <c r="K2880" s="143"/>
      <c r="N2880" s="144"/>
    </row>
    <row r="2881" ht="15.75" customHeight="1">
      <c r="E2881" s="80"/>
      <c r="F2881" s="80"/>
      <c r="G2881" s="142"/>
      <c r="H2881" s="143"/>
      <c r="I2881" s="143"/>
      <c r="J2881" s="143"/>
      <c r="K2881" s="143"/>
      <c r="N2881" s="144"/>
    </row>
    <row r="2882" ht="15.75" customHeight="1">
      <c r="E2882" s="80"/>
      <c r="F2882" s="80"/>
      <c r="G2882" s="142"/>
      <c r="H2882" s="143"/>
      <c r="I2882" s="143"/>
      <c r="J2882" s="143"/>
      <c r="K2882" s="143"/>
      <c r="N2882" s="144"/>
    </row>
    <row r="2883" ht="15.75" customHeight="1">
      <c r="E2883" s="80"/>
      <c r="F2883" s="80"/>
      <c r="G2883" s="142"/>
      <c r="H2883" s="143"/>
      <c r="I2883" s="143"/>
      <c r="J2883" s="143"/>
      <c r="K2883" s="143"/>
      <c r="N2883" s="144"/>
    </row>
    <row r="2884" ht="15.75" customHeight="1">
      <c r="E2884" s="80"/>
      <c r="F2884" s="80"/>
      <c r="G2884" s="142"/>
      <c r="H2884" s="143"/>
      <c r="I2884" s="143"/>
      <c r="J2884" s="143"/>
      <c r="K2884" s="143"/>
      <c r="N2884" s="144"/>
    </row>
    <row r="2885" ht="15.75" customHeight="1">
      <c r="E2885" s="80"/>
      <c r="F2885" s="80"/>
      <c r="G2885" s="142"/>
      <c r="H2885" s="143"/>
      <c r="I2885" s="143"/>
      <c r="J2885" s="143"/>
      <c r="K2885" s="143"/>
      <c r="N2885" s="144"/>
    </row>
    <row r="2886" ht="15.75" customHeight="1">
      <c r="E2886" s="80"/>
      <c r="F2886" s="80"/>
      <c r="G2886" s="142"/>
      <c r="H2886" s="143"/>
      <c r="I2886" s="143"/>
      <c r="J2886" s="143"/>
      <c r="K2886" s="143"/>
      <c r="N2886" s="144"/>
    </row>
    <row r="2887" ht="15.75" customHeight="1">
      <c r="E2887" s="80"/>
      <c r="F2887" s="80"/>
      <c r="G2887" s="142"/>
      <c r="H2887" s="143"/>
      <c r="I2887" s="143"/>
      <c r="J2887" s="143"/>
      <c r="K2887" s="143"/>
      <c r="N2887" s="144"/>
    </row>
    <row r="2888" ht="15.75" customHeight="1">
      <c r="E2888" s="80"/>
      <c r="F2888" s="80"/>
      <c r="G2888" s="142"/>
      <c r="H2888" s="143"/>
      <c r="I2888" s="143"/>
      <c r="J2888" s="143"/>
      <c r="K2888" s="143"/>
      <c r="N2888" s="144"/>
    </row>
    <row r="2889" ht="15.75" customHeight="1">
      <c r="E2889" s="80"/>
      <c r="F2889" s="80"/>
      <c r="G2889" s="142"/>
      <c r="H2889" s="143"/>
      <c r="I2889" s="143"/>
      <c r="J2889" s="143"/>
      <c r="K2889" s="143"/>
      <c r="N2889" s="144"/>
    </row>
    <row r="2890" ht="15.75" customHeight="1">
      <c r="E2890" s="80"/>
      <c r="F2890" s="80"/>
      <c r="G2890" s="142"/>
      <c r="H2890" s="143"/>
      <c r="I2890" s="143"/>
      <c r="J2890" s="143"/>
      <c r="K2890" s="143"/>
      <c r="N2890" s="144"/>
    </row>
    <row r="2891" ht="15.75" customHeight="1">
      <c r="E2891" s="80"/>
      <c r="F2891" s="80"/>
      <c r="G2891" s="142"/>
      <c r="H2891" s="143"/>
      <c r="I2891" s="143"/>
      <c r="J2891" s="143"/>
      <c r="K2891" s="143"/>
      <c r="N2891" s="144"/>
    </row>
    <row r="2892" ht="15.75" customHeight="1">
      <c r="E2892" s="80"/>
      <c r="F2892" s="80"/>
      <c r="G2892" s="142"/>
      <c r="H2892" s="143"/>
      <c r="I2892" s="143"/>
      <c r="J2892" s="143"/>
      <c r="K2892" s="143"/>
      <c r="N2892" s="144"/>
    </row>
    <row r="2893" ht="15.75" customHeight="1">
      <c r="E2893" s="80"/>
      <c r="F2893" s="80"/>
      <c r="G2893" s="142"/>
      <c r="H2893" s="143"/>
      <c r="I2893" s="143"/>
      <c r="J2893" s="143"/>
      <c r="K2893" s="143"/>
      <c r="N2893" s="144"/>
    </row>
    <row r="2894" ht="15.75" customHeight="1">
      <c r="E2894" s="80"/>
      <c r="F2894" s="80"/>
      <c r="G2894" s="142"/>
      <c r="H2894" s="143"/>
      <c r="I2894" s="143"/>
      <c r="J2894" s="143"/>
      <c r="K2894" s="143"/>
      <c r="N2894" s="144"/>
    </row>
    <row r="2895" ht="15.75" customHeight="1">
      <c r="E2895" s="80"/>
      <c r="F2895" s="80"/>
      <c r="G2895" s="142"/>
      <c r="H2895" s="143"/>
      <c r="I2895" s="143"/>
      <c r="J2895" s="143"/>
      <c r="K2895" s="143"/>
      <c r="N2895" s="144"/>
    </row>
    <row r="2896" ht="15.75" customHeight="1">
      <c r="E2896" s="80"/>
      <c r="F2896" s="80"/>
      <c r="G2896" s="142"/>
      <c r="H2896" s="143"/>
      <c r="I2896" s="143"/>
      <c r="J2896" s="143"/>
      <c r="K2896" s="143"/>
      <c r="N2896" s="144"/>
    </row>
    <row r="2897" ht="15.75" customHeight="1">
      <c r="E2897" s="80"/>
      <c r="F2897" s="80"/>
      <c r="G2897" s="142"/>
      <c r="H2897" s="143"/>
      <c r="I2897" s="143"/>
      <c r="J2897" s="143"/>
      <c r="K2897" s="143"/>
      <c r="N2897" s="144"/>
    </row>
    <row r="2898" ht="15.75" customHeight="1">
      <c r="E2898" s="80"/>
      <c r="F2898" s="80"/>
      <c r="G2898" s="142"/>
      <c r="H2898" s="143"/>
      <c r="I2898" s="143"/>
      <c r="J2898" s="143"/>
      <c r="K2898" s="143"/>
      <c r="N2898" s="144"/>
    </row>
    <row r="2899" ht="15.75" customHeight="1">
      <c r="E2899" s="80"/>
      <c r="F2899" s="80"/>
      <c r="G2899" s="142"/>
      <c r="H2899" s="143"/>
      <c r="I2899" s="143"/>
      <c r="J2899" s="143"/>
      <c r="K2899" s="143"/>
      <c r="N2899" s="144"/>
    </row>
    <row r="2900" ht="15.75" customHeight="1">
      <c r="E2900" s="80"/>
      <c r="F2900" s="80"/>
      <c r="G2900" s="142"/>
      <c r="H2900" s="143"/>
      <c r="I2900" s="143"/>
      <c r="J2900" s="143"/>
      <c r="K2900" s="143"/>
      <c r="N2900" s="144"/>
    </row>
    <row r="2901" ht="15.75" customHeight="1">
      <c r="E2901" s="80"/>
      <c r="F2901" s="80"/>
      <c r="G2901" s="142"/>
      <c r="H2901" s="143"/>
      <c r="I2901" s="143"/>
      <c r="J2901" s="143"/>
      <c r="K2901" s="143"/>
      <c r="N2901" s="144"/>
    </row>
    <row r="2902" ht="15.75" customHeight="1">
      <c r="E2902" s="80"/>
      <c r="F2902" s="80"/>
      <c r="G2902" s="142"/>
      <c r="H2902" s="143"/>
      <c r="I2902" s="143"/>
      <c r="J2902" s="143"/>
      <c r="K2902" s="143"/>
      <c r="N2902" s="144"/>
    </row>
    <row r="2903" ht="15.75" customHeight="1">
      <c r="E2903" s="80"/>
      <c r="F2903" s="80"/>
      <c r="G2903" s="142"/>
      <c r="H2903" s="143"/>
      <c r="I2903" s="143"/>
      <c r="J2903" s="143"/>
      <c r="K2903" s="143"/>
      <c r="N2903" s="144"/>
    </row>
    <row r="2904" ht="15.75" customHeight="1">
      <c r="E2904" s="80"/>
      <c r="F2904" s="80"/>
      <c r="G2904" s="142"/>
      <c r="H2904" s="143"/>
      <c r="I2904" s="143"/>
      <c r="J2904" s="143"/>
      <c r="K2904" s="143"/>
      <c r="N2904" s="144"/>
    </row>
    <row r="2905" ht="15.75" customHeight="1">
      <c r="E2905" s="80"/>
      <c r="F2905" s="80"/>
      <c r="G2905" s="142"/>
      <c r="H2905" s="143"/>
      <c r="I2905" s="143"/>
      <c r="J2905" s="143"/>
      <c r="K2905" s="143"/>
      <c r="N2905" s="144"/>
    </row>
    <row r="2906" ht="15.75" customHeight="1">
      <c r="E2906" s="80"/>
      <c r="F2906" s="80"/>
      <c r="G2906" s="142"/>
      <c r="H2906" s="143"/>
      <c r="I2906" s="143"/>
      <c r="J2906" s="143"/>
      <c r="K2906" s="143"/>
      <c r="N2906" s="144"/>
    </row>
    <row r="2907" ht="15.75" customHeight="1">
      <c r="E2907" s="80"/>
      <c r="F2907" s="80"/>
      <c r="G2907" s="142"/>
      <c r="H2907" s="143"/>
      <c r="I2907" s="143"/>
      <c r="J2907" s="143"/>
      <c r="K2907" s="143"/>
      <c r="N2907" s="144"/>
    </row>
    <row r="2908" ht="15.75" customHeight="1">
      <c r="E2908" s="80"/>
      <c r="F2908" s="80"/>
      <c r="G2908" s="142"/>
      <c r="H2908" s="143"/>
      <c r="I2908" s="143"/>
      <c r="J2908" s="143"/>
      <c r="K2908" s="143"/>
      <c r="N2908" s="144"/>
    </row>
    <row r="2909" ht="15.75" customHeight="1">
      <c r="E2909" s="80"/>
      <c r="F2909" s="80"/>
      <c r="G2909" s="142"/>
      <c r="H2909" s="143"/>
      <c r="I2909" s="143"/>
      <c r="J2909" s="143"/>
      <c r="K2909" s="143"/>
      <c r="N2909" s="144"/>
    </row>
    <row r="2910" ht="15.75" customHeight="1">
      <c r="E2910" s="80"/>
      <c r="F2910" s="80"/>
      <c r="G2910" s="142"/>
      <c r="H2910" s="143"/>
      <c r="I2910" s="143"/>
      <c r="J2910" s="143"/>
      <c r="K2910" s="143"/>
      <c r="N2910" s="144"/>
    </row>
    <row r="2911" ht="15.75" customHeight="1">
      <c r="E2911" s="80"/>
      <c r="F2911" s="80"/>
      <c r="G2911" s="142"/>
      <c r="H2911" s="143"/>
      <c r="I2911" s="143"/>
      <c r="J2911" s="143"/>
      <c r="K2911" s="143"/>
      <c r="N2911" s="144"/>
    </row>
    <row r="2912" ht="15.75" customHeight="1">
      <c r="E2912" s="80"/>
      <c r="F2912" s="80"/>
      <c r="G2912" s="142"/>
      <c r="H2912" s="143"/>
      <c r="I2912" s="143"/>
      <c r="J2912" s="143"/>
      <c r="K2912" s="143"/>
      <c r="N2912" s="144"/>
    </row>
    <row r="2913" ht="15.75" customHeight="1">
      <c r="E2913" s="80"/>
      <c r="F2913" s="80"/>
      <c r="G2913" s="142"/>
      <c r="H2913" s="143"/>
      <c r="I2913" s="143"/>
      <c r="J2913" s="143"/>
      <c r="K2913" s="143"/>
      <c r="N2913" s="144"/>
    </row>
    <row r="2914" ht="15.75" customHeight="1">
      <c r="E2914" s="80"/>
      <c r="F2914" s="80"/>
      <c r="G2914" s="142"/>
      <c r="H2914" s="143"/>
      <c r="I2914" s="143"/>
      <c r="J2914" s="143"/>
      <c r="K2914" s="143"/>
      <c r="N2914" s="144"/>
    </row>
    <row r="2915" ht="15.75" customHeight="1">
      <c r="E2915" s="80"/>
      <c r="F2915" s="80"/>
      <c r="G2915" s="142"/>
      <c r="H2915" s="143"/>
      <c r="I2915" s="143"/>
      <c r="J2915" s="143"/>
      <c r="K2915" s="143"/>
      <c r="N2915" s="144"/>
    </row>
    <row r="2916" ht="15.75" customHeight="1">
      <c r="E2916" s="80"/>
      <c r="F2916" s="80"/>
      <c r="G2916" s="142"/>
      <c r="H2916" s="143"/>
      <c r="I2916" s="143"/>
      <c r="J2916" s="143"/>
      <c r="K2916" s="143"/>
      <c r="N2916" s="144"/>
    </row>
    <row r="2917" ht="15.75" customHeight="1">
      <c r="E2917" s="80"/>
      <c r="F2917" s="80"/>
      <c r="G2917" s="142"/>
      <c r="H2917" s="143"/>
      <c r="I2917" s="143"/>
      <c r="J2917" s="143"/>
      <c r="K2917" s="143"/>
      <c r="N2917" s="144"/>
    </row>
    <row r="2918" ht="15.75" customHeight="1">
      <c r="E2918" s="80"/>
      <c r="F2918" s="80"/>
      <c r="G2918" s="142"/>
      <c r="H2918" s="143"/>
      <c r="I2918" s="143"/>
      <c r="J2918" s="143"/>
      <c r="K2918" s="143"/>
      <c r="N2918" s="144"/>
    </row>
    <row r="2919" ht="15.75" customHeight="1">
      <c r="E2919" s="80"/>
      <c r="F2919" s="80"/>
      <c r="G2919" s="142"/>
      <c r="H2919" s="143"/>
      <c r="I2919" s="143"/>
      <c r="J2919" s="143"/>
      <c r="K2919" s="143"/>
      <c r="N2919" s="144"/>
    </row>
    <row r="2920" ht="15.75" customHeight="1">
      <c r="E2920" s="80"/>
      <c r="F2920" s="80"/>
      <c r="G2920" s="142"/>
      <c r="H2920" s="143"/>
      <c r="I2920" s="143"/>
      <c r="J2920" s="143"/>
      <c r="K2920" s="143"/>
      <c r="N2920" s="144"/>
    </row>
    <row r="2921" ht="15.75" customHeight="1">
      <c r="E2921" s="80"/>
      <c r="F2921" s="80"/>
      <c r="G2921" s="142"/>
      <c r="H2921" s="143"/>
      <c r="I2921" s="143"/>
      <c r="J2921" s="143"/>
      <c r="K2921" s="143"/>
      <c r="N2921" s="144"/>
    </row>
    <row r="2922" ht="15.75" customHeight="1">
      <c r="E2922" s="80"/>
      <c r="F2922" s="80"/>
      <c r="G2922" s="142"/>
      <c r="H2922" s="143"/>
      <c r="I2922" s="143"/>
      <c r="J2922" s="143"/>
      <c r="K2922" s="143"/>
      <c r="N2922" s="144"/>
    </row>
    <row r="2923" ht="15.75" customHeight="1">
      <c r="E2923" s="80"/>
      <c r="F2923" s="80"/>
      <c r="G2923" s="142"/>
      <c r="H2923" s="143"/>
      <c r="I2923" s="143"/>
      <c r="J2923" s="143"/>
      <c r="K2923" s="143"/>
      <c r="N2923" s="144"/>
    </row>
    <row r="2924" ht="15.75" customHeight="1">
      <c r="E2924" s="80"/>
      <c r="F2924" s="80"/>
      <c r="G2924" s="142"/>
      <c r="H2924" s="143"/>
      <c r="I2924" s="143"/>
      <c r="J2924" s="143"/>
      <c r="K2924" s="143"/>
      <c r="N2924" s="144"/>
    </row>
    <row r="2925" ht="15.75" customHeight="1">
      <c r="E2925" s="80"/>
      <c r="F2925" s="80"/>
      <c r="G2925" s="142"/>
      <c r="H2925" s="143"/>
      <c r="I2925" s="143"/>
      <c r="J2925" s="143"/>
      <c r="K2925" s="143"/>
      <c r="N2925" s="144"/>
    </row>
    <row r="2926" ht="15.75" customHeight="1">
      <c r="E2926" s="80"/>
      <c r="F2926" s="80"/>
      <c r="G2926" s="142"/>
      <c r="H2926" s="143"/>
      <c r="I2926" s="143"/>
      <c r="J2926" s="143"/>
      <c r="K2926" s="143"/>
      <c r="N2926" s="144"/>
    </row>
    <row r="2927" ht="15.75" customHeight="1">
      <c r="E2927" s="80"/>
      <c r="F2927" s="80"/>
      <c r="G2927" s="142"/>
      <c r="H2927" s="143"/>
      <c r="I2927" s="143"/>
      <c r="J2927" s="143"/>
      <c r="K2927" s="143"/>
      <c r="N2927" s="144"/>
    </row>
    <row r="2928" ht="15.75" customHeight="1">
      <c r="E2928" s="80"/>
      <c r="F2928" s="80"/>
      <c r="G2928" s="142"/>
      <c r="H2928" s="143"/>
      <c r="I2928" s="143"/>
      <c r="J2928" s="143"/>
      <c r="K2928" s="143"/>
      <c r="N2928" s="144"/>
    </row>
    <row r="2929" ht="15.75" customHeight="1">
      <c r="E2929" s="80"/>
      <c r="F2929" s="80"/>
      <c r="G2929" s="142"/>
      <c r="H2929" s="143"/>
      <c r="I2929" s="143"/>
      <c r="J2929" s="143"/>
      <c r="K2929" s="143"/>
      <c r="N2929" s="144"/>
    </row>
    <row r="2930" ht="15.75" customHeight="1">
      <c r="E2930" s="80"/>
      <c r="F2930" s="80"/>
      <c r="G2930" s="142"/>
      <c r="H2930" s="143"/>
      <c r="I2930" s="143"/>
      <c r="J2930" s="143"/>
      <c r="K2930" s="143"/>
      <c r="N2930" s="144"/>
    </row>
    <row r="2931" ht="15.75" customHeight="1">
      <c r="E2931" s="80"/>
      <c r="F2931" s="80"/>
      <c r="G2931" s="142"/>
      <c r="H2931" s="143"/>
      <c r="I2931" s="143"/>
      <c r="J2931" s="143"/>
      <c r="K2931" s="143"/>
      <c r="N2931" s="144"/>
    </row>
    <row r="2932" ht="15.75" customHeight="1">
      <c r="E2932" s="80"/>
      <c r="F2932" s="80"/>
      <c r="G2932" s="142"/>
      <c r="H2932" s="143"/>
      <c r="I2932" s="143"/>
      <c r="J2932" s="143"/>
      <c r="K2932" s="143"/>
      <c r="N2932" s="144"/>
    </row>
    <row r="2933" ht="15.75" customHeight="1">
      <c r="E2933" s="80"/>
      <c r="F2933" s="80"/>
      <c r="G2933" s="142"/>
      <c r="H2933" s="143"/>
      <c r="I2933" s="143"/>
      <c r="J2933" s="143"/>
      <c r="K2933" s="143"/>
      <c r="N2933" s="144"/>
    </row>
    <row r="2934" ht="15.75" customHeight="1">
      <c r="E2934" s="80"/>
      <c r="F2934" s="80"/>
      <c r="G2934" s="142"/>
      <c r="H2934" s="143"/>
      <c r="I2934" s="143"/>
      <c r="J2934" s="143"/>
      <c r="K2934" s="143"/>
      <c r="N2934" s="144"/>
    </row>
    <row r="2935" ht="15.75" customHeight="1">
      <c r="E2935" s="80"/>
      <c r="F2935" s="80"/>
      <c r="G2935" s="142"/>
      <c r="H2935" s="143"/>
      <c r="I2935" s="143"/>
      <c r="J2935" s="143"/>
      <c r="K2935" s="143"/>
      <c r="N2935" s="144"/>
    </row>
    <row r="2936" ht="15.75" customHeight="1">
      <c r="E2936" s="80"/>
      <c r="F2936" s="80"/>
      <c r="G2936" s="142"/>
      <c r="H2936" s="143"/>
      <c r="I2936" s="143"/>
      <c r="J2936" s="143"/>
      <c r="K2936" s="143"/>
      <c r="N2936" s="144"/>
    </row>
    <row r="2937" ht="15.75" customHeight="1">
      <c r="E2937" s="80"/>
      <c r="F2937" s="80"/>
      <c r="G2937" s="142"/>
      <c r="H2937" s="143"/>
      <c r="I2937" s="143"/>
      <c r="J2937" s="143"/>
      <c r="K2937" s="143"/>
      <c r="N2937" s="144"/>
    </row>
    <row r="2938" ht="15.75" customHeight="1">
      <c r="E2938" s="80"/>
      <c r="F2938" s="80"/>
      <c r="G2938" s="142"/>
      <c r="H2938" s="143"/>
      <c r="I2938" s="143"/>
      <c r="J2938" s="143"/>
      <c r="K2938" s="143"/>
      <c r="N2938" s="144"/>
    </row>
    <row r="2939" ht="15.75" customHeight="1">
      <c r="E2939" s="80"/>
      <c r="F2939" s="80"/>
      <c r="G2939" s="142"/>
      <c r="H2939" s="143"/>
      <c r="I2939" s="143"/>
      <c r="J2939" s="143"/>
      <c r="K2939" s="143"/>
      <c r="N2939" s="144"/>
    </row>
    <row r="2940" ht="15.75" customHeight="1">
      <c r="E2940" s="80"/>
      <c r="F2940" s="80"/>
      <c r="G2940" s="142"/>
      <c r="H2940" s="143"/>
      <c r="I2940" s="143"/>
      <c r="J2940" s="143"/>
      <c r="K2940" s="143"/>
      <c r="N2940" s="144"/>
    </row>
    <row r="2941" ht="15.75" customHeight="1">
      <c r="E2941" s="80"/>
      <c r="F2941" s="80"/>
      <c r="G2941" s="142"/>
      <c r="H2941" s="143"/>
      <c r="I2941" s="143"/>
      <c r="J2941" s="143"/>
      <c r="K2941" s="143"/>
      <c r="N2941" s="144"/>
    </row>
    <row r="2942" ht="15.75" customHeight="1">
      <c r="E2942" s="80"/>
      <c r="F2942" s="80"/>
      <c r="G2942" s="142"/>
      <c r="H2942" s="143"/>
      <c r="I2942" s="143"/>
      <c r="J2942" s="143"/>
      <c r="K2942" s="143"/>
      <c r="N2942" s="144"/>
    </row>
    <row r="2943" ht="15.75" customHeight="1">
      <c r="E2943" s="80"/>
      <c r="F2943" s="80"/>
      <c r="G2943" s="142"/>
      <c r="H2943" s="143"/>
      <c r="I2943" s="143"/>
      <c r="J2943" s="143"/>
      <c r="K2943" s="143"/>
      <c r="N2943" s="144"/>
    </row>
    <row r="2944" ht="15.75" customHeight="1">
      <c r="E2944" s="80"/>
      <c r="F2944" s="80"/>
      <c r="G2944" s="142"/>
      <c r="H2944" s="143"/>
      <c r="I2944" s="143"/>
      <c r="J2944" s="143"/>
      <c r="K2944" s="143"/>
      <c r="N2944" s="144"/>
    </row>
    <row r="2945" ht="15.75" customHeight="1">
      <c r="E2945" s="80"/>
      <c r="F2945" s="80"/>
      <c r="G2945" s="142"/>
      <c r="H2945" s="143"/>
      <c r="I2945" s="143"/>
      <c r="J2945" s="143"/>
      <c r="K2945" s="143"/>
      <c r="N2945" s="144"/>
    </row>
    <row r="2946" ht="15.75" customHeight="1">
      <c r="E2946" s="80"/>
      <c r="F2946" s="80"/>
      <c r="G2946" s="142"/>
      <c r="H2946" s="143"/>
      <c r="I2946" s="143"/>
      <c r="J2946" s="143"/>
      <c r="K2946" s="143"/>
      <c r="N2946" s="144"/>
    </row>
    <row r="2947" ht="15.75" customHeight="1">
      <c r="E2947" s="80"/>
      <c r="F2947" s="80"/>
      <c r="G2947" s="142"/>
      <c r="H2947" s="143"/>
      <c r="I2947" s="143"/>
      <c r="J2947" s="143"/>
      <c r="K2947" s="143"/>
      <c r="N2947" s="144"/>
    </row>
    <row r="2948" ht="15.75" customHeight="1">
      <c r="E2948" s="80"/>
      <c r="F2948" s="80"/>
      <c r="G2948" s="142"/>
      <c r="H2948" s="143"/>
      <c r="I2948" s="143"/>
      <c r="J2948" s="143"/>
      <c r="K2948" s="143"/>
      <c r="N2948" s="144"/>
    </row>
    <row r="2949" ht="15.75" customHeight="1">
      <c r="E2949" s="80"/>
      <c r="F2949" s="80"/>
      <c r="G2949" s="142"/>
      <c r="H2949" s="143"/>
      <c r="I2949" s="143"/>
      <c r="J2949" s="143"/>
      <c r="K2949" s="143"/>
      <c r="N2949" s="144"/>
    </row>
    <row r="2950" ht="15.75" customHeight="1">
      <c r="E2950" s="80"/>
      <c r="F2950" s="80"/>
      <c r="G2950" s="142"/>
      <c r="H2950" s="143"/>
      <c r="I2950" s="143"/>
      <c r="J2950" s="143"/>
      <c r="K2950" s="143"/>
      <c r="N2950" s="144"/>
    </row>
    <row r="2951" ht="15.75" customHeight="1">
      <c r="E2951" s="80"/>
      <c r="F2951" s="80"/>
      <c r="G2951" s="142"/>
      <c r="H2951" s="143"/>
      <c r="I2951" s="143"/>
      <c r="J2951" s="143"/>
      <c r="K2951" s="143"/>
      <c r="N2951" s="144"/>
    </row>
    <row r="2952" ht="15.75" customHeight="1">
      <c r="E2952" s="80"/>
      <c r="F2952" s="80"/>
      <c r="G2952" s="142"/>
      <c r="H2952" s="143"/>
      <c r="I2952" s="143"/>
      <c r="J2952" s="143"/>
      <c r="K2952" s="143"/>
      <c r="N2952" s="144"/>
    </row>
    <row r="2953" ht="15.75" customHeight="1">
      <c r="E2953" s="80"/>
      <c r="F2953" s="80"/>
      <c r="G2953" s="142"/>
      <c r="H2953" s="143"/>
      <c r="I2953" s="143"/>
      <c r="J2953" s="143"/>
      <c r="K2953" s="143"/>
      <c r="N2953" s="144"/>
    </row>
    <row r="2954" ht="15.75" customHeight="1">
      <c r="E2954" s="80"/>
      <c r="F2954" s="80"/>
      <c r="G2954" s="142"/>
      <c r="H2954" s="143"/>
      <c r="I2954" s="143"/>
      <c r="J2954" s="143"/>
      <c r="K2954" s="143"/>
      <c r="N2954" s="144"/>
    </row>
    <row r="2955" ht="15.75" customHeight="1">
      <c r="E2955" s="80"/>
      <c r="F2955" s="80"/>
      <c r="G2955" s="142"/>
      <c r="H2955" s="143"/>
      <c r="I2955" s="143"/>
      <c r="J2955" s="143"/>
      <c r="K2955" s="143"/>
      <c r="N2955" s="144"/>
    </row>
    <row r="2956" ht="15.75" customHeight="1">
      <c r="E2956" s="80"/>
      <c r="F2956" s="80"/>
      <c r="G2956" s="142"/>
      <c r="H2956" s="143"/>
      <c r="I2956" s="143"/>
      <c r="J2956" s="143"/>
      <c r="K2956" s="143"/>
      <c r="N2956" s="144"/>
    </row>
    <row r="2957" ht="15.75" customHeight="1">
      <c r="E2957" s="80"/>
      <c r="F2957" s="80"/>
      <c r="G2957" s="142"/>
      <c r="H2957" s="143"/>
      <c r="I2957" s="143"/>
      <c r="J2957" s="143"/>
      <c r="K2957" s="143"/>
      <c r="N2957" s="144"/>
    </row>
    <row r="2958" ht="15.75" customHeight="1">
      <c r="E2958" s="80"/>
      <c r="F2958" s="80"/>
      <c r="G2958" s="142"/>
      <c r="H2958" s="143"/>
      <c r="I2958" s="143"/>
      <c r="J2958" s="143"/>
      <c r="K2958" s="143"/>
      <c r="N2958" s="144"/>
    </row>
    <row r="2959" ht="15.75" customHeight="1">
      <c r="E2959" s="80"/>
      <c r="F2959" s="80"/>
      <c r="G2959" s="142"/>
      <c r="H2959" s="143"/>
      <c r="I2959" s="143"/>
      <c r="J2959" s="143"/>
      <c r="K2959" s="143"/>
      <c r="N2959" s="144"/>
    </row>
    <row r="2960" ht="15.75" customHeight="1">
      <c r="E2960" s="80"/>
      <c r="F2960" s="80"/>
      <c r="G2960" s="142"/>
      <c r="H2960" s="143"/>
      <c r="I2960" s="143"/>
      <c r="J2960" s="143"/>
      <c r="K2960" s="143"/>
      <c r="N2960" s="144"/>
    </row>
    <row r="2961" ht="15.75" customHeight="1">
      <c r="E2961" s="80"/>
      <c r="F2961" s="80"/>
      <c r="G2961" s="142"/>
      <c r="H2961" s="143"/>
      <c r="I2961" s="143"/>
      <c r="J2961" s="143"/>
      <c r="K2961" s="143"/>
      <c r="N2961" s="144"/>
    </row>
    <row r="2962" ht="15.75" customHeight="1">
      <c r="E2962" s="80"/>
      <c r="F2962" s="80"/>
      <c r="G2962" s="142"/>
      <c r="H2962" s="143"/>
      <c r="I2962" s="143"/>
      <c r="J2962" s="143"/>
      <c r="K2962" s="143"/>
      <c r="N2962" s="144"/>
    </row>
    <row r="2963" ht="15.75" customHeight="1">
      <c r="E2963" s="80"/>
      <c r="F2963" s="80"/>
      <c r="G2963" s="142"/>
      <c r="H2963" s="143"/>
      <c r="I2963" s="143"/>
      <c r="J2963" s="143"/>
      <c r="K2963" s="143"/>
      <c r="N2963" s="144"/>
    </row>
    <row r="2964" ht="15.75" customHeight="1">
      <c r="E2964" s="80"/>
      <c r="F2964" s="80"/>
      <c r="G2964" s="142"/>
      <c r="H2964" s="143"/>
      <c r="I2964" s="143"/>
      <c r="J2964" s="143"/>
      <c r="K2964" s="143"/>
      <c r="N2964" s="144"/>
    </row>
    <row r="2965" ht="15.75" customHeight="1">
      <c r="E2965" s="80"/>
      <c r="F2965" s="80"/>
      <c r="G2965" s="142"/>
      <c r="H2965" s="143"/>
      <c r="I2965" s="143"/>
      <c r="J2965" s="143"/>
      <c r="K2965" s="143"/>
      <c r="N2965" s="144"/>
    </row>
    <row r="2966" ht="15.75" customHeight="1">
      <c r="E2966" s="80"/>
      <c r="F2966" s="80"/>
      <c r="G2966" s="142"/>
      <c r="H2966" s="143"/>
      <c r="I2966" s="143"/>
      <c r="J2966" s="143"/>
      <c r="K2966" s="143"/>
      <c r="N2966" s="144"/>
    </row>
    <row r="2967" ht="15.75" customHeight="1">
      <c r="E2967" s="80"/>
      <c r="F2967" s="80"/>
      <c r="G2967" s="142"/>
      <c r="H2967" s="143"/>
      <c r="I2967" s="143"/>
      <c r="J2967" s="143"/>
      <c r="K2967" s="143"/>
      <c r="N2967" s="144"/>
    </row>
    <row r="2968" ht="15.75" customHeight="1">
      <c r="E2968" s="80"/>
      <c r="F2968" s="80"/>
      <c r="G2968" s="142"/>
      <c r="H2968" s="143"/>
      <c r="I2968" s="143"/>
      <c r="J2968" s="143"/>
      <c r="K2968" s="143"/>
      <c r="N2968" s="144"/>
    </row>
    <row r="2969" ht="15.75" customHeight="1">
      <c r="E2969" s="80"/>
      <c r="F2969" s="80"/>
      <c r="G2969" s="142"/>
      <c r="H2969" s="143"/>
      <c r="I2969" s="143"/>
      <c r="J2969" s="143"/>
      <c r="K2969" s="143"/>
      <c r="N2969" s="144"/>
    </row>
    <row r="2970" ht="15.75" customHeight="1">
      <c r="E2970" s="80"/>
      <c r="F2970" s="80"/>
      <c r="G2970" s="142"/>
      <c r="H2970" s="143"/>
      <c r="I2970" s="143"/>
      <c r="J2970" s="143"/>
      <c r="K2970" s="143"/>
      <c r="N2970" s="144"/>
    </row>
    <row r="2971" ht="15.75" customHeight="1">
      <c r="E2971" s="80"/>
      <c r="F2971" s="80"/>
      <c r="G2971" s="142"/>
      <c r="H2971" s="143"/>
      <c r="I2971" s="143"/>
      <c r="J2971" s="143"/>
      <c r="K2971" s="143"/>
      <c r="N2971" s="144"/>
    </row>
    <row r="2972" ht="15.75" customHeight="1">
      <c r="E2972" s="80"/>
      <c r="F2972" s="80"/>
      <c r="G2972" s="142"/>
      <c r="H2972" s="143"/>
      <c r="I2972" s="143"/>
      <c r="J2972" s="143"/>
      <c r="K2972" s="143"/>
      <c r="N2972" s="144"/>
    </row>
    <row r="2973" ht="15.75" customHeight="1">
      <c r="E2973" s="80"/>
      <c r="F2973" s="80"/>
      <c r="G2973" s="142"/>
      <c r="H2973" s="143"/>
      <c r="I2973" s="143"/>
      <c r="J2973" s="143"/>
      <c r="K2973" s="143"/>
      <c r="N2973" s="144"/>
    </row>
    <row r="2974" ht="15.75" customHeight="1">
      <c r="E2974" s="80"/>
      <c r="F2974" s="80"/>
      <c r="G2974" s="142"/>
      <c r="H2974" s="143"/>
      <c r="I2974" s="143"/>
      <c r="J2974" s="143"/>
      <c r="K2974" s="143"/>
      <c r="N2974" s="144"/>
    </row>
    <row r="2975" ht="15.75" customHeight="1">
      <c r="E2975" s="80"/>
      <c r="F2975" s="80"/>
      <c r="G2975" s="142"/>
      <c r="H2975" s="143"/>
      <c r="I2975" s="143"/>
      <c r="J2975" s="143"/>
      <c r="K2975" s="143"/>
      <c r="N2975" s="144"/>
    </row>
    <row r="2976" ht="15.75" customHeight="1">
      <c r="E2976" s="80"/>
      <c r="F2976" s="80"/>
      <c r="G2976" s="142"/>
      <c r="H2976" s="143"/>
      <c r="I2976" s="143"/>
      <c r="J2976" s="143"/>
      <c r="K2976" s="143"/>
      <c r="N2976" s="144"/>
    </row>
    <row r="2977" ht="15.75" customHeight="1">
      <c r="E2977" s="80"/>
      <c r="F2977" s="80"/>
      <c r="G2977" s="142"/>
      <c r="H2977" s="143"/>
      <c r="I2977" s="143"/>
      <c r="J2977" s="143"/>
      <c r="K2977" s="143"/>
      <c r="N2977" s="144"/>
    </row>
    <row r="2978" ht="15.75" customHeight="1">
      <c r="E2978" s="80"/>
      <c r="F2978" s="80"/>
      <c r="G2978" s="142"/>
      <c r="H2978" s="143"/>
      <c r="I2978" s="143"/>
      <c r="J2978" s="143"/>
      <c r="K2978" s="143"/>
      <c r="N2978" s="144"/>
    </row>
    <row r="2979" ht="15.75" customHeight="1">
      <c r="E2979" s="80"/>
      <c r="F2979" s="80"/>
      <c r="G2979" s="142"/>
      <c r="H2979" s="143"/>
      <c r="I2979" s="143"/>
      <c r="J2979" s="143"/>
      <c r="K2979" s="143"/>
      <c r="N2979" s="144"/>
    </row>
    <row r="2980" ht="15.75" customHeight="1">
      <c r="E2980" s="80"/>
      <c r="F2980" s="80"/>
      <c r="G2980" s="142"/>
      <c r="H2980" s="143"/>
      <c r="I2980" s="143"/>
      <c r="J2980" s="143"/>
      <c r="K2980" s="143"/>
      <c r="N2980" s="144"/>
    </row>
    <row r="2981" ht="15.75" customHeight="1">
      <c r="E2981" s="80"/>
      <c r="F2981" s="80"/>
      <c r="G2981" s="142"/>
      <c r="H2981" s="143"/>
      <c r="I2981" s="143"/>
      <c r="J2981" s="143"/>
      <c r="K2981" s="143"/>
      <c r="N2981" s="144"/>
    </row>
    <row r="2982" ht="15.75" customHeight="1">
      <c r="E2982" s="80"/>
      <c r="F2982" s="80"/>
      <c r="G2982" s="142"/>
      <c r="H2982" s="143"/>
      <c r="I2982" s="143"/>
      <c r="J2982" s="143"/>
      <c r="K2982" s="143"/>
      <c r="N2982" s="144"/>
    </row>
    <row r="2983" ht="15.75" customHeight="1">
      <c r="E2983" s="80"/>
      <c r="F2983" s="80"/>
      <c r="G2983" s="142"/>
      <c r="H2983" s="143"/>
      <c r="I2983" s="143"/>
      <c r="J2983" s="143"/>
      <c r="K2983" s="143"/>
      <c r="N2983" s="144"/>
    </row>
    <row r="2984" ht="15.75" customHeight="1">
      <c r="E2984" s="80"/>
      <c r="F2984" s="80"/>
      <c r="G2984" s="142"/>
      <c r="H2984" s="143"/>
      <c r="I2984" s="143"/>
      <c r="J2984" s="143"/>
      <c r="K2984" s="143"/>
      <c r="N2984" s="144"/>
    </row>
    <row r="2985" ht="15.75" customHeight="1">
      <c r="E2985" s="80"/>
      <c r="F2985" s="80"/>
      <c r="G2985" s="142"/>
      <c r="H2985" s="143"/>
      <c r="I2985" s="143"/>
      <c r="J2985" s="143"/>
      <c r="K2985" s="143"/>
      <c r="N2985" s="144"/>
    </row>
    <row r="2986" ht="15.75" customHeight="1">
      <c r="E2986" s="80"/>
      <c r="F2986" s="80"/>
      <c r="G2986" s="142"/>
      <c r="H2986" s="143"/>
      <c r="I2986" s="143"/>
      <c r="J2986" s="143"/>
      <c r="K2986" s="143"/>
      <c r="N2986" s="144"/>
    </row>
    <row r="2987" ht="15.75" customHeight="1">
      <c r="E2987" s="80"/>
      <c r="F2987" s="80"/>
      <c r="G2987" s="142"/>
      <c r="H2987" s="143"/>
      <c r="I2987" s="143"/>
      <c r="J2987" s="143"/>
      <c r="K2987" s="143"/>
      <c r="N2987" s="144"/>
    </row>
    <row r="2988" ht="15.75" customHeight="1">
      <c r="E2988" s="80"/>
      <c r="F2988" s="80"/>
      <c r="G2988" s="142"/>
      <c r="H2988" s="143"/>
      <c r="I2988" s="143"/>
      <c r="J2988" s="143"/>
      <c r="K2988" s="143"/>
      <c r="N2988" s="144"/>
    </row>
    <row r="2989" ht="15.75" customHeight="1">
      <c r="E2989" s="80"/>
      <c r="F2989" s="80"/>
      <c r="G2989" s="142"/>
      <c r="H2989" s="143"/>
      <c r="I2989" s="143"/>
      <c r="J2989" s="143"/>
      <c r="K2989" s="143"/>
      <c r="N2989" s="144"/>
    </row>
    <row r="2990" ht="15.75" customHeight="1">
      <c r="E2990" s="80"/>
      <c r="F2990" s="80"/>
      <c r="G2990" s="142"/>
      <c r="H2990" s="143"/>
      <c r="I2990" s="143"/>
      <c r="J2990" s="143"/>
      <c r="K2990" s="143"/>
      <c r="N2990" s="144"/>
    </row>
    <row r="2991" ht="15.75" customHeight="1">
      <c r="E2991" s="80"/>
      <c r="F2991" s="80"/>
      <c r="G2991" s="142"/>
      <c r="H2991" s="143"/>
      <c r="I2991" s="143"/>
      <c r="J2991" s="143"/>
      <c r="K2991" s="143"/>
      <c r="N2991" s="144"/>
    </row>
    <row r="2992" ht="15.75" customHeight="1">
      <c r="E2992" s="80"/>
      <c r="F2992" s="80"/>
      <c r="G2992" s="142"/>
      <c r="H2992" s="143"/>
      <c r="I2992" s="143"/>
      <c r="J2992" s="143"/>
      <c r="K2992" s="143"/>
      <c r="N2992" s="144"/>
    </row>
    <row r="2993" ht="15.75" customHeight="1">
      <c r="E2993" s="80"/>
      <c r="F2993" s="80"/>
      <c r="G2993" s="142"/>
      <c r="H2993" s="143"/>
      <c r="I2993" s="143"/>
      <c r="J2993" s="143"/>
      <c r="K2993" s="143"/>
      <c r="N2993" s="144"/>
    </row>
    <row r="2994" ht="15.75" customHeight="1">
      <c r="E2994" s="80"/>
      <c r="F2994" s="80"/>
      <c r="G2994" s="142"/>
      <c r="H2994" s="143"/>
      <c r="I2994" s="143"/>
      <c r="J2994" s="143"/>
      <c r="K2994" s="143"/>
      <c r="N2994" s="144"/>
    </row>
    <row r="2995" ht="15.75" customHeight="1">
      <c r="E2995" s="80"/>
      <c r="F2995" s="80"/>
      <c r="G2995" s="142"/>
      <c r="H2995" s="143"/>
      <c r="I2995" s="143"/>
      <c r="J2995" s="143"/>
      <c r="K2995" s="143"/>
      <c r="N2995" s="144"/>
    </row>
    <row r="2996" ht="15.75" customHeight="1">
      <c r="E2996" s="80"/>
      <c r="F2996" s="80"/>
      <c r="G2996" s="142"/>
      <c r="H2996" s="143"/>
      <c r="I2996" s="143"/>
      <c r="J2996" s="143"/>
      <c r="K2996" s="143"/>
      <c r="N2996" s="144"/>
    </row>
    <row r="2997" ht="15.75" customHeight="1">
      <c r="E2997" s="80"/>
      <c r="F2997" s="80"/>
      <c r="G2997" s="142"/>
      <c r="H2997" s="143"/>
      <c r="I2997" s="143"/>
      <c r="J2997" s="143"/>
      <c r="K2997" s="143"/>
      <c r="N2997" s="144"/>
    </row>
    <row r="2998" ht="15.75" customHeight="1">
      <c r="E2998" s="80"/>
      <c r="F2998" s="80"/>
      <c r="G2998" s="142"/>
      <c r="H2998" s="143"/>
      <c r="I2998" s="143"/>
      <c r="J2998" s="143"/>
      <c r="K2998" s="143"/>
      <c r="N2998" s="144"/>
    </row>
    <row r="2999" ht="15.75" customHeight="1">
      <c r="E2999" s="80"/>
      <c r="F2999" s="80"/>
      <c r="G2999" s="142"/>
      <c r="H2999" s="143"/>
      <c r="I2999" s="143"/>
      <c r="J2999" s="143"/>
      <c r="K2999" s="143"/>
      <c r="N2999" s="144"/>
    </row>
    <row r="3000" ht="15.75" customHeight="1">
      <c r="E3000" s="80"/>
      <c r="F3000" s="80"/>
      <c r="G3000" s="142"/>
      <c r="H3000" s="143"/>
      <c r="I3000" s="143"/>
      <c r="J3000" s="143"/>
      <c r="K3000" s="143"/>
      <c r="N3000" s="144"/>
    </row>
    <row r="3001" ht="15.75" customHeight="1">
      <c r="E3001" s="80"/>
      <c r="F3001" s="80"/>
      <c r="G3001" s="142"/>
      <c r="H3001" s="143"/>
      <c r="I3001" s="143"/>
      <c r="J3001" s="143"/>
      <c r="K3001" s="143"/>
      <c r="N3001" s="144"/>
    </row>
    <row r="3002" ht="15.75" customHeight="1">
      <c r="E3002" s="80"/>
      <c r="F3002" s="80"/>
      <c r="G3002" s="142"/>
      <c r="H3002" s="143"/>
      <c r="I3002" s="143"/>
      <c r="J3002" s="143"/>
      <c r="K3002" s="143"/>
      <c r="N3002" s="144"/>
    </row>
    <row r="3003" ht="15.75" customHeight="1">
      <c r="E3003" s="80"/>
      <c r="F3003" s="80"/>
      <c r="G3003" s="142"/>
      <c r="H3003" s="143"/>
      <c r="I3003" s="143"/>
      <c r="J3003" s="143"/>
      <c r="K3003" s="143"/>
      <c r="N3003" s="144"/>
    </row>
    <row r="3004" ht="15.75" customHeight="1">
      <c r="E3004" s="80"/>
      <c r="F3004" s="80"/>
      <c r="G3004" s="142"/>
      <c r="H3004" s="143"/>
      <c r="I3004" s="143"/>
      <c r="J3004" s="143"/>
      <c r="K3004" s="143"/>
      <c r="N3004" s="144"/>
    </row>
    <row r="3005" ht="15.75" customHeight="1">
      <c r="E3005" s="80"/>
      <c r="F3005" s="80"/>
      <c r="G3005" s="142"/>
      <c r="H3005" s="143"/>
      <c r="I3005" s="143"/>
      <c r="J3005" s="143"/>
      <c r="K3005" s="143"/>
      <c r="N3005" s="144"/>
    </row>
    <row r="3006" ht="15.75" customHeight="1">
      <c r="E3006" s="80"/>
      <c r="F3006" s="80"/>
      <c r="G3006" s="142"/>
      <c r="H3006" s="143"/>
      <c r="I3006" s="143"/>
      <c r="J3006" s="143"/>
      <c r="K3006" s="143"/>
      <c r="N3006" s="144"/>
    </row>
    <row r="3007" ht="15.75" customHeight="1">
      <c r="E3007" s="80"/>
      <c r="F3007" s="80"/>
      <c r="G3007" s="142"/>
      <c r="H3007" s="143"/>
      <c r="I3007" s="143"/>
      <c r="J3007" s="143"/>
      <c r="K3007" s="143"/>
      <c r="N3007" s="144"/>
    </row>
    <row r="3008" ht="15.75" customHeight="1">
      <c r="E3008" s="80"/>
      <c r="F3008" s="80"/>
      <c r="G3008" s="142"/>
      <c r="H3008" s="143"/>
      <c r="I3008" s="143"/>
      <c r="J3008" s="143"/>
      <c r="K3008" s="143"/>
      <c r="N3008" s="144"/>
    </row>
    <row r="3009" ht="15.75" customHeight="1">
      <c r="E3009" s="80"/>
      <c r="F3009" s="80"/>
      <c r="G3009" s="142"/>
      <c r="H3009" s="143"/>
      <c r="I3009" s="143"/>
      <c r="J3009" s="143"/>
      <c r="K3009" s="143"/>
      <c r="N3009" s="144"/>
    </row>
    <row r="3010" ht="15.75" customHeight="1">
      <c r="E3010" s="80"/>
      <c r="F3010" s="80"/>
      <c r="G3010" s="142"/>
      <c r="H3010" s="143"/>
      <c r="I3010" s="143"/>
      <c r="J3010" s="143"/>
      <c r="K3010" s="143"/>
      <c r="N3010" s="144"/>
    </row>
    <row r="3011" ht="15.75" customHeight="1">
      <c r="E3011" s="80"/>
      <c r="F3011" s="80"/>
      <c r="G3011" s="142"/>
      <c r="H3011" s="143"/>
      <c r="I3011" s="143"/>
      <c r="J3011" s="143"/>
      <c r="K3011" s="143"/>
      <c r="N3011" s="144"/>
    </row>
    <row r="3012" ht="15.75" customHeight="1">
      <c r="E3012" s="80"/>
      <c r="F3012" s="80"/>
      <c r="G3012" s="142"/>
      <c r="H3012" s="143"/>
      <c r="I3012" s="143"/>
      <c r="J3012" s="143"/>
      <c r="K3012" s="143"/>
      <c r="N3012" s="144"/>
    </row>
    <row r="3013" ht="15.75" customHeight="1">
      <c r="E3013" s="80"/>
      <c r="F3013" s="80"/>
      <c r="G3013" s="142"/>
      <c r="H3013" s="143"/>
      <c r="I3013" s="143"/>
      <c r="J3013" s="143"/>
      <c r="K3013" s="143"/>
      <c r="N3013" s="144"/>
    </row>
    <row r="3014" ht="15.75" customHeight="1">
      <c r="E3014" s="80"/>
      <c r="F3014" s="80"/>
      <c r="G3014" s="142"/>
      <c r="H3014" s="143"/>
      <c r="I3014" s="143"/>
      <c r="J3014" s="143"/>
      <c r="K3014" s="143"/>
      <c r="N3014" s="144"/>
    </row>
    <row r="3015" ht="15.75" customHeight="1">
      <c r="E3015" s="80"/>
      <c r="F3015" s="80"/>
      <c r="G3015" s="142"/>
      <c r="H3015" s="143"/>
      <c r="I3015" s="143"/>
      <c r="J3015" s="143"/>
      <c r="K3015" s="143"/>
      <c r="N3015" s="144"/>
    </row>
    <row r="3016" ht="15.75" customHeight="1">
      <c r="E3016" s="80"/>
      <c r="F3016" s="80"/>
      <c r="G3016" s="142"/>
      <c r="H3016" s="143"/>
      <c r="I3016" s="143"/>
      <c r="J3016" s="143"/>
      <c r="K3016" s="143"/>
      <c r="N3016" s="144"/>
    </row>
    <row r="3017" ht="15.75" customHeight="1">
      <c r="E3017" s="80"/>
      <c r="F3017" s="80"/>
      <c r="G3017" s="142"/>
      <c r="H3017" s="143"/>
      <c r="I3017" s="143"/>
      <c r="J3017" s="143"/>
      <c r="K3017" s="143"/>
      <c r="N3017" s="144"/>
    </row>
    <row r="3018" ht="15.75" customHeight="1">
      <c r="E3018" s="80"/>
      <c r="F3018" s="80"/>
      <c r="G3018" s="142"/>
      <c r="H3018" s="143"/>
      <c r="I3018" s="143"/>
      <c r="J3018" s="143"/>
      <c r="K3018" s="143"/>
      <c r="N3018" s="144"/>
    </row>
    <row r="3019" ht="15.75" customHeight="1">
      <c r="E3019" s="80"/>
      <c r="F3019" s="80"/>
      <c r="G3019" s="142"/>
      <c r="H3019" s="143"/>
      <c r="I3019" s="143"/>
      <c r="J3019" s="143"/>
      <c r="K3019" s="143"/>
      <c r="N3019" s="144"/>
    </row>
    <row r="3020" ht="15.75" customHeight="1">
      <c r="E3020" s="80"/>
      <c r="F3020" s="80"/>
      <c r="G3020" s="142"/>
      <c r="H3020" s="143"/>
      <c r="I3020" s="143"/>
      <c r="J3020" s="143"/>
      <c r="K3020" s="143"/>
      <c r="N3020" s="144"/>
    </row>
    <row r="3021" ht="15.75" customHeight="1">
      <c r="E3021" s="80"/>
      <c r="F3021" s="80"/>
      <c r="G3021" s="142"/>
      <c r="H3021" s="143"/>
      <c r="I3021" s="143"/>
      <c r="J3021" s="143"/>
      <c r="K3021" s="143"/>
      <c r="N3021" s="144"/>
    </row>
    <row r="3022" ht="15.75" customHeight="1">
      <c r="E3022" s="80"/>
      <c r="F3022" s="80"/>
      <c r="G3022" s="142"/>
      <c r="H3022" s="143"/>
      <c r="I3022" s="143"/>
      <c r="J3022" s="143"/>
      <c r="K3022" s="143"/>
      <c r="N3022" s="144"/>
    </row>
    <row r="3023" ht="15.75" customHeight="1">
      <c r="E3023" s="80"/>
      <c r="F3023" s="80"/>
      <c r="G3023" s="142"/>
      <c r="H3023" s="143"/>
      <c r="I3023" s="143"/>
      <c r="J3023" s="143"/>
      <c r="K3023" s="143"/>
      <c r="N3023" s="144"/>
    </row>
    <row r="3024" ht="15.75" customHeight="1">
      <c r="E3024" s="80"/>
      <c r="F3024" s="80"/>
      <c r="G3024" s="142"/>
      <c r="H3024" s="143"/>
      <c r="I3024" s="143"/>
      <c r="J3024" s="143"/>
      <c r="K3024" s="143"/>
      <c r="N3024" s="144"/>
    </row>
    <row r="3025" ht="15.75" customHeight="1">
      <c r="E3025" s="80"/>
      <c r="F3025" s="80"/>
      <c r="G3025" s="142"/>
      <c r="H3025" s="143"/>
      <c r="I3025" s="143"/>
      <c r="J3025" s="143"/>
      <c r="K3025" s="143"/>
      <c r="N3025" s="144"/>
    </row>
    <row r="3026" ht="15.75" customHeight="1">
      <c r="E3026" s="80"/>
      <c r="F3026" s="80"/>
      <c r="G3026" s="142"/>
      <c r="H3026" s="143"/>
      <c r="I3026" s="143"/>
      <c r="J3026" s="143"/>
      <c r="K3026" s="143"/>
      <c r="N3026" s="144"/>
    </row>
    <row r="3027" ht="15.75" customHeight="1">
      <c r="E3027" s="80"/>
      <c r="F3027" s="80"/>
      <c r="G3027" s="142"/>
      <c r="H3027" s="143"/>
      <c r="I3027" s="143"/>
      <c r="J3027" s="143"/>
      <c r="K3027" s="143"/>
      <c r="N3027" s="144"/>
    </row>
    <row r="3028" ht="15.75" customHeight="1">
      <c r="E3028" s="80"/>
      <c r="F3028" s="80"/>
      <c r="G3028" s="142"/>
      <c r="H3028" s="143"/>
      <c r="I3028" s="143"/>
      <c r="J3028" s="143"/>
      <c r="K3028" s="143"/>
      <c r="N3028" s="144"/>
    </row>
    <row r="3029" ht="15.75" customHeight="1">
      <c r="E3029" s="80"/>
      <c r="F3029" s="80"/>
      <c r="G3029" s="142"/>
      <c r="H3029" s="143"/>
      <c r="I3029" s="143"/>
      <c r="J3029" s="143"/>
      <c r="K3029" s="143"/>
      <c r="N3029" s="144"/>
    </row>
    <row r="3030" ht="15.75" customHeight="1">
      <c r="E3030" s="80"/>
      <c r="F3030" s="80"/>
      <c r="G3030" s="142"/>
      <c r="H3030" s="143"/>
      <c r="I3030" s="143"/>
      <c r="J3030" s="143"/>
      <c r="K3030" s="143"/>
      <c r="N3030" s="144"/>
    </row>
    <row r="3031" ht="15.75" customHeight="1">
      <c r="E3031" s="80"/>
      <c r="F3031" s="80"/>
      <c r="G3031" s="142"/>
      <c r="H3031" s="143"/>
      <c r="I3031" s="143"/>
      <c r="J3031" s="143"/>
      <c r="K3031" s="143"/>
      <c r="N3031" s="144"/>
    </row>
    <row r="3032" ht="15.75" customHeight="1">
      <c r="E3032" s="80"/>
      <c r="F3032" s="80"/>
      <c r="G3032" s="142"/>
      <c r="H3032" s="143"/>
      <c r="I3032" s="143"/>
      <c r="J3032" s="143"/>
      <c r="K3032" s="143"/>
      <c r="N3032" s="144"/>
    </row>
    <row r="3033" ht="15.75" customHeight="1">
      <c r="E3033" s="80"/>
      <c r="F3033" s="80"/>
      <c r="G3033" s="142"/>
      <c r="H3033" s="143"/>
      <c r="I3033" s="143"/>
      <c r="J3033" s="143"/>
      <c r="K3033" s="143"/>
      <c r="N3033" s="144"/>
    </row>
    <row r="3034" ht="15.75" customHeight="1">
      <c r="E3034" s="80"/>
      <c r="F3034" s="80"/>
      <c r="G3034" s="142"/>
      <c r="H3034" s="143"/>
      <c r="I3034" s="143"/>
      <c r="J3034" s="143"/>
      <c r="K3034" s="143"/>
      <c r="N3034" s="144"/>
    </row>
    <row r="3035" ht="15.75" customHeight="1">
      <c r="E3035" s="80"/>
      <c r="F3035" s="80"/>
      <c r="G3035" s="142"/>
      <c r="H3035" s="143"/>
      <c r="I3035" s="143"/>
      <c r="J3035" s="143"/>
      <c r="K3035" s="143"/>
      <c r="N3035" s="144"/>
    </row>
    <row r="3036" ht="15.75" customHeight="1">
      <c r="E3036" s="80"/>
      <c r="F3036" s="80"/>
      <c r="G3036" s="142"/>
      <c r="H3036" s="143"/>
      <c r="I3036" s="143"/>
      <c r="J3036" s="143"/>
      <c r="K3036" s="143"/>
      <c r="N3036" s="144"/>
    </row>
    <row r="3037" ht="15.75" customHeight="1">
      <c r="E3037" s="80"/>
      <c r="F3037" s="80"/>
      <c r="G3037" s="142"/>
      <c r="H3037" s="143"/>
      <c r="I3037" s="143"/>
      <c r="J3037" s="143"/>
      <c r="K3037" s="143"/>
      <c r="N3037" s="144"/>
    </row>
    <row r="3038" ht="15.75" customHeight="1">
      <c r="E3038" s="80"/>
      <c r="F3038" s="80"/>
      <c r="G3038" s="142"/>
      <c r="H3038" s="143"/>
      <c r="I3038" s="143"/>
      <c r="J3038" s="143"/>
      <c r="K3038" s="143"/>
      <c r="N3038" s="144"/>
    </row>
    <row r="3039" ht="15.75" customHeight="1">
      <c r="E3039" s="80"/>
      <c r="F3039" s="80"/>
      <c r="G3039" s="142"/>
      <c r="H3039" s="143"/>
      <c r="I3039" s="143"/>
      <c r="J3039" s="143"/>
      <c r="K3039" s="143"/>
      <c r="N3039" s="144"/>
    </row>
    <row r="3040" ht="15.75" customHeight="1">
      <c r="E3040" s="80"/>
      <c r="F3040" s="80"/>
      <c r="G3040" s="142"/>
      <c r="H3040" s="143"/>
      <c r="I3040" s="143"/>
      <c r="J3040" s="143"/>
      <c r="K3040" s="143"/>
      <c r="N3040" s="144"/>
    </row>
    <row r="3041" ht="15.75" customHeight="1">
      <c r="E3041" s="80"/>
      <c r="F3041" s="80"/>
      <c r="G3041" s="142"/>
      <c r="H3041" s="143"/>
      <c r="I3041" s="143"/>
      <c r="J3041" s="143"/>
      <c r="K3041" s="143"/>
      <c r="N3041" s="144"/>
    </row>
    <row r="3042" ht="15.75" customHeight="1">
      <c r="E3042" s="80"/>
      <c r="F3042" s="80"/>
      <c r="G3042" s="142"/>
      <c r="H3042" s="143"/>
      <c r="I3042" s="143"/>
      <c r="J3042" s="143"/>
      <c r="K3042" s="143"/>
      <c r="N3042" s="144"/>
    </row>
    <row r="3043" ht="15.75" customHeight="1">
      <c r="E3043" s="80"/>
      <c r="F3043" s="80"/>
      <c r="G3043" s="142"/>
      <c r="H3043" s="143"/>
      <c r="I3043" s="143"/>
      <c r="J3043" s="143"/>
      <c r="K3043" s="143"/>
      <c r="N3043" s="144"/>
    </row>
    <row r="3044" ht="15.75" customHeight="1">
      <c r="E3044" s="80"/>
      <c r="F3044" s="80"/>
      <c r="G3044" s="142"/>
      <c r="H3044" s="143"/>
      <c r="I3044" s="143"/>
      <c r="J3044" s="143"/>
      <c r="K3044" s="143"/>
      <c r="N3044" s="144"/>
    </row>
    <row r="3045" ht="15.75" customHeight="1">
      <c r="E3045" s="80"/>
      <c r="F3045" s="80"/>
      <c r="G3045" s="142"/>
      <c r="H3045" s="143"/>
      <c r="I3045" s="143"/>
      <c r="J3045" s="143"/>
      <c r="K3045" s="143"/>
      <c r="N3045" s="144"/>
    </row>
    <row r="3046" ht="15.75" customHeight="1">
      <c r="E3046" s="80"/>
      <c r="F3046" s="80"/>
      <c r="G3046" s="142"/>
      <c r="H3046" s="143"/>
      <c r="I3046" s="143"/>
      <c r="J3046" s="143"/>
      <c r="K3046" s="143"/>
      <c r="N3046" s="144"/>
    </row>
    <row r="3047" ht="15.75" customHeight="1">
      <c r="E3047" s="80"/>
      <c r="F3047" s="80"/>
      <c r="G3047" s="142"/>
      <c r="H3047" s="143"/>
      <c r="I3047" s="143"/>
      <c r="J3047" s="143"/>
      <c r="K3047" s="143"/>
      <c r="N3047" s="144"/>
    </row>
    <row r="3048" ht="15.75" customHeight="1">
      <c r="E3048" s="80"/>
      <c r="F3048" s="80"/>
      <c r="G3048" s="142"/>
      <c r="H3048" s="143"/>
      <c r="I3048" s="143"/>
      <c r="J3048" s="143"/>
      <c r="K3048" s="143"/>
      <c r="N3048" s="144"/>
    </row>
    <row r="3049" ht="15.75" customHeight="1">
      <c r="E3049" s="80"/>
      <c r="F3049" s="80"/>
      <c r="G3049" s="142"/>
      <c r="H3049" s="143"/>
      <c r="I3049" s="143"/>
      <c r="J3049" s="143"/>
      <c r="K3049" s="143"/>
      <c r="N3049" s="144"/>
    </row>
    <row r="3050" ht="15.75" customHeight="1">
      <c r="E3050" s="80"/>
      <c r="F3050" s="80"/>
      <c r="G3050" s="142"/>
      <c r="H3050" s="143"/>
      <c r="I3050" s="143"/>
      <c r="J3050" s="143"/>
      <c r="K3050" s="143"/>
      <c r="N3050" s="144"/>
    </row>
    <row r="3051" ht="15.75" customHeight="1">
      <c r="E3051" s="80"/>
      <c r="F3051" s="80"/>
      <c r="G3051" s="142"/>
      <c r="H3051" s="143"/>
      <c r="I3051" s="143"/>
      <c r="J3051" s="143"/>
      <c r="K3051" s="143"/>
      <c r="N3051" s="144"/>
    </row>
    <row r="3052" ht="15.75" customHeight="1">
      <c r="E3052" s="80"/>
      <c r="F3052" s="80"/>
      <c r="G3052" s="142"/>
      <c r="H3052" s="143"/>
      <c r="I3052" s="143"/>
      <c r="J3052" s="143"/>
      <c r="K3052" s="143"/>
      <c r="N3052" s="144"/>
    </row>
    <row r="3053" ht="15.75" customHeight="1">
      <c r="E3053" s="80"/>
      <c r="F3053" s="80"/>
      <c r="G3053" s="142"/>
      <c r="H3053" s="143"/>
      <c r="I3053" s="143"/>
      <c r="J3053" s="143"/>
      <c r="K3053" s="143"/>
      <c r="N3053" s="144"/>
    </row>
    <row r="3054" ht="15.75" customHeight="1">
      <c r="E3054" s="80"/>
      <c r="F3054" s="80"/>
      <c r="G3054" s="142"/>
      <c r="H3054" s="143"/>
      <c r="I3054" s="143"/>
      <c r="J3054" s="143"/>
      <c r="K3054" s="143"/>
      <c r="N3054" s="144"/>
    </row>
    <row r="3055" ht="15.75" customHeight="1">
      <c r="E3055" s="80"/>
      <c r="F3055" s="80"/>
      <c r="G3055" s="142"/>
      <c r="H3055" s="143"/>
      <c r="I3055" s="143"/>
      <c r="J3055" s="143"/>
      <c r="K3055" s="143"/>
      <c r="N3055" s="144"/>
    </row>
    <row r="3056" ht="15.75" customHeight="1">
      <c r="E3056" s="80"/>
      <c r="F3056" s="80"/>
      <c r="G3056" s="142"/>
      <c r="H3056" s="143"/>
      <c r="I3056" s="143"/>
      <c r="J3056" s="143"/>
      <c r="K3056" s="143"/>
      <c r="N3056" s="144"/>
    </row>
    <row r="3057" ht="15.75" customHeight="1">
      <c r="E3057" s="80"/>
      <c r="F3057" s="80"/>
      <c r="G3057" s="142"/>
      <c r="H3057" s="143"/>
      <c r="I3057" s="143"/>
      <c r="J3057" s="143"/>
      <c r="K3057" s="143"/>
      <c r="N3057" s="144"/>
    </row>
    <row r="3058" ht="15.75" customHeight="1">
      <c r="E3058" s="80"/>
      <c r="F3058" s="80"/>
      <c r="G3058" s="142"/>
      <c r="H3058" s="143"/>
      <c r="I3058" s="143"/>
      <c r="J3058" s="143"/>
      <c r="K3058" s="143"/>
      <c r="N3058" s="144"/>
    </row>
    <row r="3059" ht="15.75" customHeight="1">
      <c r="E3059" s="80"/>
      <c r="F3059" s="80"/>
      <c r="G3059" s="142"/>
      <c r="H3059" s="143"/>
      <c r="I3059" s="143"/>
      <c r="J3059" s="143"/>
      <c r="K3059" s="143"/>
      <c r="N3059" s="144"/>
    </row>
    <row r="3060" ht="15.75" customHeight="1">
      <c r="E3060" s="80"/>
      <c r="F3060" s="80"/>
      <c r="G3060" s="142"/>
      <c r="H3060" s="143"/>
      <c r="I3060" s="143"/>
      <c r="J3060" s="143"/>
      <c r="K3060" s="143"/>
      <c r="N3060" s="144"/>
    </row>
    <row r="3061" ht="15.75" customHeight="1">
      <c r="E3061" s="80"/>
      <c r="F3061" s="80"/>
      <c r="G3061" s="142"/>
      <c r="H3061" s="143"/>
      <c r="I3061" s="143"/>
      <c r="J3061" s="143"/>
      <c r="K3061" s="143"/>
      <c r="N3061" s="144"/>
    </row>
    <row r="3062" ht="15.75" customHeight="1">
      <c r="E3062" s="80"/>
      <c r="F3062" s="80"/>
      <c r="G3062" s="142"/>
      <c r="H3062" s="143"/>
      <c r="I3062" s="143"/>
      <c r="J3062" s="143"/>
      <c r="K3062" s="143"/>
      <c r="N3062" s="144"/>
    </row>
    <row r="3063" ht="15.75" customHeight="1">
      <c r="E3063" s="80"/>
      <c r="F3063" s="80"/>
      <c r="G3063" s="142"/>
      <c r="H3063" s="143"/>
      <c r="I3063" s="143"/>
      <c r="J3063" s="143"/>
      <c r="K3063" s="143"/>
      <c r="N3063" s="144"/>
    </row>
    <row r="3064" ht="15.75" customHeight="1">
      <c r="E3064" s="80"/>
      <c r="F3064" s="80"/>
      <c r="G3064" s="142"/>
      <c r="H3064" s="143"/>
      <c r="I3064" s="143"/>
      <c r="J3064" s="143"/>
      <c r="K3064" s="143"/>
      <c r="N3064" s="144"/>
    </row>
    <row r="3065" ht="15.75" customHeight="1">
      <c r="E3065" s="80"/>
      <c r="F3065" s="80"/>
      <c r="G3065" s="142"/>
      <c r="H3065" s="143"/>
      <c r="I3065" s="143"/>
      <c r="J3065" s="143"/>
      <c r="K3065" s="143"/>
      <c r="N3065" s="144"/>
    </row>
    <row r="3066" ht="15.75" customHeight="1">
      <c r="E3066" s="80"/>
      <c r="F3066" s="80"/>
      <c r="G3066" s="142"/>
      <c r="H3066" s="143"/>
      <c r="I3066" s="143"/>
      <c r="J3066" s="143"/>
      <c r="K3066" s="143"/>
      <c r="N3066" s="144"/>
    </row>
    <row r="3067" ht="15.75" customHeight="1">
      <c r="E3067" s="80"/>
      <c r="F3067" s="80"/>
      <c r="G3067" s="142"/>
      <c r="H3067" s="143"/>
      <c r="I3067" s="143"/>
      <c r="J3067" s="143"/>
      <c r="K3067" s="143"/>
      <c r="N3067" s="144"/>
    </row>
    <row r="3068" ht="15.75" customHeight="1">
      <c r="E3068" s="80"/>
      <c r="F3068" s="80"/>
      <c r="G3068" s="142"/>
      <c r="H3068" s="143"/>
      <c r="I3068" s="143"/>
      <c r="J3068" s="143"/>
      <c r="K3068" s="143"/>
      <c r="N3068" s="144"/>
    </row>
    <row r="3069" ht="15.75" customHeight="1">
      <c r="E3069" s="80"/>
      <c r="F3069" s="80"/>
      <c r="G3069" s="142"/>
      <c r="H3069" s="143"/>
      <c r="I3069" s="143"/>
      <c r="J3069" s="143"/>
      <c r="K3069" s="143"/>
      <c r="N3069" s="144"/>
    </row>
    <row r="3070" ht="15.75" customHeight="1">
      <c r="E3070" s="80"/>
      <c r="F3070" s="80"/>
      <c r="G3070" s="142"/>
      <c r="H3070" s="143"/>
      <c r="I3070" s="143"/>
      <c r="J3070" s="143"/>
      <c r="K3070" s="143"/>
      <c r="N3070" s="144"/>
    </row>
    <row r="3071" ht="15.75" customHeight="1">
      <c r="E3071" s="80"/>
      <c r="F3071" s="80"/>
      <c r="G3071" s="142"/>
      <c r="H3071" s="143"/>
      <c r="I3071" s="143"/>
      <c r="J3071" s="143"/>
      <c r="K3071" s="143"/>
      <c r="N3071" s="144"/>
    </row>
    <row r="3072" ht="15.75" customHeight="1">
      <c r="E3072" s="80"/>
      <c r="F3072" s="80"/>
      <c r="G3072" s="142"/>
      <c r="H3072" s="143"/>
      <c r="I3072" s="143"/>
      <c r="J3072" s="143"/>
      <c r="K3072" s="143"/>
      <c r="N3072" s="144"/>
    </row>
    <row r="3073" ht="15.75" customHeight="1">
      <c r="E3073" s="80"/>
      <c r="F3073" s="80"/>
      <c r="G3073" s="142"/>
      <c r="H3073" s="143"/>
      <c r="I3073" s="143"/>
      <c r="J3073" s="143"/>
      <c r="K3073" s="143"/>
      <c r="N3073" s="144"/>
    </row>
    <row r="3074" ht="15.75" customHeight="1">
      <c r="E3074" s="80"/>
      <c r="F3074" s="80"/>
      <c r="G3074" s="142"/>
      <c r="H3074" s="143"/>
      <c r="I3074" s="143"/>
      <c r="J3074" s="143"/>
      <c r="K3074" s="143"/>
      <c r="N3074" s="144"/>
    </row>
    <row r="3075" ht="15.75" customHeight="1">
      <c r="E3075" s="80"/>
      <c r="F3075" s="80"/>
      <c r="G3075" s="142"/>
      <c r="H3075" s="143"/>
      <c r="I3075" s="143"/>
      <c r="J3075" s="143"/>
      <c r="K3075" s="143"/>
      <c r="N3075" s="144"/>
    </row>
    <row r="3076" ht="15.75" customHeight="1">
      <c r="E3076" s="80"/>
      <c r="F3076" s="80"/>
      <c r="G3076" s="142"/>
      <c r="H3076" s="143"/>
      <c r="I3076" s="143"/>
      <c r="J3076" s="143"/>
      <c r="K3076" s="143"/>
      <c r="N3076" s="144"/>
    </row>
    <row r="3077" ht="15.75" customHeight="1">
      <c r="E3077" s="80"/>
      <c r="F3077" s="80"/>
      <c r="G3077" s="142"/>
      <c r="H3077" s="143"/>
      <c r="I3077" s="143"/>
      <c r="J3077" s="143"/>
      <c r="K3077" s="143"/>
      <c r="N3077" s="144"/>
    </row>
    <row r="3078" ht="15.75" customHeight="1">
      <c r="E3078" s="80"/>
      <c r="F3078" s="80"/>
      <c r="G3078" s="142"/>
      <c r="H3078" s="143"/>
      <c r="I3078" s="143"/>
      <c r="J3078" s="143"/>
      <c r="K3078" s="143"/>
      <c r="N3078" s="144"/>
    </row>
    <row r="3079" ht="15.75" customHeight="1">
      <c r="E3079" s="80"/>
      <c r="F3079" s="80"/>
      <c r="G3079" s="142"/>
      <c r="H3079" s="143"/>
      <c r="I3079" s="143"/>
      <c r="J3079" s="143"/>
      <c r="K3079" s="143"/>
      <c r="N3079" s="144"/>
    </row>
    <row r="3080" ht="15.75" customHeight="1">
      <c r="E3080" s="80"/>
      <c r="F3080" s="80"/>
      <c r="G3080" s="142"/>
      <c r="H3080" s="143"/>
      <c r="I3080" s="143"/>
      <c r="J3080" s="143"/>
      <c r="K3080" s="143"/>
      <c r="N3080" s="144"/>
    </row>
    <row r="3081" ht="15.75" customHeight="1">
      <c r="E3081" s="80"/>
      <c r="F3081" s="80"/>
      <c r="G3081" s="142"/>
      <c r="H3081" s="143"/>
      <c r="I3081" s="143"/>
      <c r="J3081" s="143"/>
      <c r="K3081" s="143"/>
      <c r="N3081" s="144"/>
    </row>
    <row r="3082" ht="15.75" customHeight="1">
      <c r="E3082" s="80"/>
      <c r="F3082" s="80"/>
      <c r="G3082" s="142"/>
      <c r="H3082" s="143"/>
      <c r="I3082" s="143"/>
      <c r="J3082" s="143"/>
      <c r="K3082" s="143"/>
      <c r="N3082" s="144"/>
    </row>
    <row r="3083" ht="15.75" customHeight="1">
      <c r="E3083" s="80"/>
      <c r="F3083" s="80"/>
      <c r="G3083" s="142"/>
      <c r="H3083" s="143"/>
      <c r="I3083" s="143"/>
      <c r="J3083" s="143"/>
      <c r="K3083" s="143"/>
      <c r="N3083" s="144"/>
    </row>
    <row r="3084" ht="15.75" customHeight="1">
      <c r="E3084" s="80"/>
      <c r="F3084" s="80"/>
      <c r="G3084" s="142"/>
      <c r="H3084" s="143"/>
      <c r="I3084" s="143"/>
      <c r="J3084" s="143"/>
      <c r="K3084" s="143"/>
      <c r="N3084" s="144"/>
    </row>
    <row r="3085" ht="15.75" customHeight="1">
      <c r="E3085" s="80"/>
      <c r="F3085" s="80"/>
      <c r="G3085" s="142"/>
      <c r="H3085" s="143"/>
      <c r="I3085" s="143"/>
      <c r="J3085" s="143"/>
      <c r="K3085" s="143"/>
      <c r="N3085" s="144"/>
    </row>
    <row r="3086" ht="15.75" customHeight="1">
      <c r="E3086" s="80"/>
      <c r="F3086" s="80"/>
      <c r="G3086" s="142"/>
      <c r="H3086" s="143"/>
      <c r="I3086" s="143"/>
      <c r="J3086" s="143"/>
      <c r="K3086" s="143"/>
      <c r="N3086" s="144"/>
    </row>
    <row r="3087" ht="15.75" customHeight="1">
      <c r="E3087" s="80"/>
      <c r="F3087" s="80"/>
      <c r="G3087" s="142"/>
      <c r="H3087" s="143"/>
      <c r="I3087" s="143"/>
      <c r="J3087" s="143"/>
      <c r="K3087" s="143"/>
      <c r="N3087" s="144"/>
    </row>
    <row r="3088" ht="15.75" customHeight="1">
      <c r="E3088" s="80"/>
      <c r="F3088" s="80"/>
      <c r="G3088" s="142"/>
      <c r="H3088" s="143"/>
      <c r="I3088" s="143"/>
      <c r="J3088" s="143"/>
      <c r="K3088" s="143"/>
      <c r="N3088" s="144"/>
    </row>
    <row r="3089" ht="15.75" customHeight="1">
      <c r="E3089" s="80"/>
      <c r="F3089" s="80"/>
      <c r="G3089" s="142"/>
      <c r="H3089" s="143"/>
      <c r="I3089" s="143"/>
      <c r="J3089" s="143"/>
      <c r="K3089" s="143"/>
      <c r="N3089" s="144"/>
    </row>
    <row r="3090" ht="15.75" customHeight="1">
      <c r="E3090" s="80"/>
      <c r="F3090" s="80"/>
      <c r="G3090" s="142"/>
      <c r="H3090" s="143"/>
      <c r="I3090" s="143"/>
      <c r="J3090" s="143"/>
      <c r="K3090" s="143"/>
      <c r="N3090" s="144"/>
    </row>
    <row r="3091" ht="15.75" customHeight="1">
      <c r="E3091" s="80"/>
      <c r="F3091" s="80"/>
      <c r="G3091" s="142"/>
      <c r="H3091" s="143"/>
      <c r="I3091" s="143"/>
      <c r="J3091" s="143"/>
      <c r="K3091" s="143"/>
      <c r="N3091" s="144"/>
    </row>
    <row r="3092" ht="15.75" customHeight="1">
      <c r="E3092" s="80"/>
      <c r="F3092" s="80"/>
      <c r="G3092" s="142"/>
      <c r="H3092" s="143"/>
      <c r="I3092" s="143"/>
      <c r="J3092" s="143"/>
      <c r="K3092" s="143"/>
      <c r="N3092" s="144"/>
    </row>
    <row r="3093" ht="15.75" customHeight="1">
      <c r="E3093" s="80"/>
      <c r="F3093" s="80"/>
      <c r="G3093" s="142"/>
      <c r="H3093" s="143"/>
      <c r="I3093" s="143"/>
      <c r="J3093" s="143"/>
      <c r="K3093" s="143"/>
      <c r="N3093" s="144"/>
    </row>
    <row r="3094" ht="15.75" customHeight="1">
      <c r="E3094" s="80"/>
      <c r="F3094" s="80"/>
      <c r="G3094" s="142"/>
      <c r="H3094" s="143"/>
      <c r="I3094" s="143"/>
      <c r="J3094" s="143"/>
      <c r="K3094" s="143"/>
      <c r="N3094" s="144"/>
    </row>
    <row r="3095" ht="15.75" customHeight="1">
      <c r="E3095" s="80"/>
      <c r="F3095" s="80"/>
      <c r="G3095" s="142"/>
      <c r="H3095" s="143"/>
      <c r="I3095" s="143"/>
      <c r="J3095" s="143"/>
      <c r="K3095" s="143"/>
      <c r="N3095" s="144"/>
    </row>
    <row r="3096" ht="15.75" customHeight="1">
      <c r="E3096" s="80"/>
      <c r="F3096" s="80"/>
      <c r="G3096" s="142"/>
      <c r="H3096" s="143"/>
      <c r="I3096" s="143"/>
      <c r="J3096" s="143"/>
      <c r="K3096" s="143"/>
      <c r="N3096" s="144"/>
    </row>
    <row r="3097" ht="15.75" customHeight="1">
      <c r="E3097" s="80"/>
      <c r="F3097" s="80"/>
      <c r="G3097" s="142"/>
      <c r="H3097" s="143"/>
      <c r="I3097" s="143"/>
      <c r="J3097" s="143"/>
      <c r="K3097" s="143"/>
      <c r="N3097" s="144"/>
    </row>
    <row r="3098" ht="15.75" customHeight="1">
      <c r="E3098" s="80"/>
      <c r="F3098" s="80"/>
      <c r="G3098" s="142"/>
      <c r="H3098" s="143"/>
      <c r="I3098" s="143"/>
      <c r="J3098" s="143"/>
      <c r="K3098" s="143"/>
      <c r="N3098" s="144"/>
    </row>
    <row r="3099" ht="15.75" customHeight="1">
      <c r="E3099" s="80"/>
      <c r="F3099" s="80"/>
      <c r="G3099" s="142"/>
      <c r="H3099" s="143"/>
      <c r="I3099" s="143"/>
      <c r="J3099" s="143"/>
      <c r="K3099" s="143"/>
      <c r="N3099" s="144"/>
    </row>
    <row r="3100" ht="15.75" customHeight="1">
      <c r="E3100" s="80"/>
      <c r="F3100" s="80"/>
      <c r="G3100" s="142"/>
      <c r="H3100" s="143"/>
      <c r="I3100" s="143"/>
      <c r="J3100" s="143"/>
      <c r="K3100" s="143"/>
      <c r="N3100" s="144"/>
    </row>
    <row r="3101" ht="15.75" customHeight="1">
      <c r="E3101" s="80"/>
      <c r="F3101" s="80"/>
      <c r="G3101" s="142"/>
      <c r="H3101" s="143"/>
      <c r="I3101" s="143"/>
      <c r="J3101" s="143"/>
      <c r="K3101" s="143"/>
      <c r="N3101" s="144"/>
    </row>
    <row r="3102" ht="15.75" customHeight="1">
      <c r="E3102" s="80"/>
      <c r="F3102" s="80"/>
      <c r="G3102" s="142"/>
      <c r="H3102" s="143"/>
      <c r="I3102" s="143"/>
      <c r="J3102" s="143"/>
      <c r="K3102" s="143"/>
      <c r="N3102" s="144"/>
    </row>
    <row r="3103" ht="15.75" customHeight="1">
      <c r="E3103" s="80"/>
      <c r="F3103" s="80"/>
      <c r="G3103" s="142"/>
      <c r="H3103" s="143"/>
      <c r="I3103" s="143"/>
      <c r="J3103" s="143"/>
      <c r="K3103" s="143"/>
      <c r="N3103" s="144"/>
    </row>
    <row r="3104" ht="15.75" customHeight="1">
      <c r="E3104" s="80"/>
      <c r="F3104" s="80"/>
      <c r="G3104" s="142"/>
      <c r="H3104" s="143"/>
      <c r="I3104" s="143"/>
      <c r="J3104" s="143"/>
      <c r="K3104" s="143"/>
      <c r="N3104" s="144"/>
    </row>
    <row r="3105" ht="15.75" customHeight="1">
      <c r="E3105" s="80"/>
      <c r="F3105" s="80"/>
      <c r="G3105" s="142"/>
      <c r="H3105" s="143"/>
      <c r="I3105" s="143"/>
      <c r="J3105" s="143"/>
      <c r="K3105" s="143"/>
      <c r="N3105" s="144"/>
    </row>
    <row r="3106" ht="15.75" customHeight="1">
      <c r="E3106" s="80"/>
      <c r="F3106" s="80"/>
      <c r="G3106" s="142"/>
      <c r="H3106" s="143"/>
      <c r="I3106" s="143"/>
      <c r="J3106" s="143"/>
      <c r="K3106" s="143"/>
      <c r="N3106" s="144"/>
    </row>
    <row r="3107" ht="15.75" customHeight="1">
      <c r="E3107" s="80"/>
      <c r="F3107" s="80"/>
      <c r="G3107" s="142"/>
      <c r="H3107" s="143"/>
      <c r="I3107" s="143"/>
      <c r="J3107" s="143"/>
      <c r="K3107" s="143"/>
      <c r="N3107" s="144"/>
    </row>
    <row r="3108" ht="15.75" customHeight="1">
      <c r="E3108" s="80"/>
      <c r="F3108" s="80"/>
      <c r="G3108" s="142"/>
      <c r="H3108" s="143"/>
      <c r="I3108" s="143"/>
      <c r="J3108" s="143"/>
      <c r="K3108" s="143"/>
      <c r="N3108" s="144"/>
    </row>
    <row r="3109" ht="15.75" customHeight="1">
      <c r="E3109" s="80"/>
      <c r="F3109" s="80"/>
      <c r="G3109" s="142"/>
      <c r="H3109" s="143"/>
      <c r="I3109" s="143"/>
      <c r="J3109" s="143"/>
      <c r="K3109" s="143"/>
      <c r="N3109" s="144"/>
    </row>
    <row r="3110" ht="15.75" customHeight="1">
      <c r="E3110" s="80"/>
      <c r="F3110" s="80"/>
      <c r="G3110" s="142"/>
      <c r="H3110" s="143"/>
      <c r="I3110" s="143"/>
      <c r="J3110" s="143"/>
      <c r="K3110" s="143"/>
      <c r="N3110" s="144"/>
    </row>
    <row r="3111" ht="15.75" customHeight="1">
      <c r="E3111" s="80"/>
      <c r="F3111" s="80"/>
      <c r="G3111" s="142"/>
      <c r="H3111" s="143"/>
      <c r="I3111" s="143"/>
      <c r="J3111" s="143"/>
      <c r="K3111" s="143"/>
      <c r="N3111" s="144"/>
    </row>
    <row r="3112" ht="15.75" customHeight="1">
      <c r="E3112" s="80"/>
      <c r="F3112" s="80"/>
      <c r="G3112" s="142"/>
      <c r="H3112" s="143"/>
      <c r="I3112" s="143"/>
      <c r="J3112" s="143"/>
      <c r="K3112" s="143"/>
      <c r="N3112" s="144"/>
    </row>
    <row r="3113" ht="15.75" customHeight="1">
      <c r="E3113" s="80"/>
      <c r="F3113" s="80"/>
      <c r="G3113" s="142"/>
      <c r="H3113" s="143"/>
      <c r="I3113" s="143"/>
      <c r="J3113" s="143"/>
      <c r="K3113" s="143"/>
      <c r="N3113" s="144"/>
    </row>
    <row r="3114" ht="15.75" customHeight="1">
      <c r="E3114" s="80"/>
      <c r="F3114" s="80"/>
      <c r="G3114" s="142"/>
      <c r="H3114" s="143"/>
      <c r="I3114" s="143"/>
      <c r="J3114" s="143"/>
      <c r="K3114" s="143"/>
      <c r="N3114" s="144"/>
    </row>
    <row r="3115" ht="15.75" customHeight="1">
      <c r="E3115" s="80"/>
      <c r="F3115" s="80"/>
      <c r="G3115" s="142"/>
      <c r="H3115" s="143"/>
      <c r="I3115" s="143"/>
      <c r="J3115" s="143"/>
      <c r="K3115" s="143"/>
      <c r="N3115" s="144"/>
    </row>
    <row r="3116" ht="15.75" customHeight="1">
      <c r="E3116" s="80"/>
      <c r="F3116" s="80"/>
      <c r="G3116" s="142"/>
      <c r="H3116" s="143"/>
      <c r="I3116" s="143"/>
      <c r="J3116" s="143"/>
      <c r="K3116" s="143"/>
      <c r="N3116" s="144"/>
    </row>
    <row r="3117" ht="15.75" customHeight="1">
      <c r="E3117" s="80"/>
      <c r="F3117" s="80"/>
      <c r="G3117" s="142"/>
      <c r="H3117" s="143"/>
      <c r="I3117" s="143"/>
      <c r="J3117" s="143"/>
      <c r="K3117" s="143"/>
      <c r="N3117" s="144"/>
    </row>
    <row r="3118" ht="15.75" customHeight="1">
      <c r="E3118" s="80"/>
      <c r="F3118" s="80"/>
      <c r="G3118" s="142"/>
      <c r="H3118" s="143"/>
      <c r="I3118" s="143"/>
      <c r="J3118" s="143"/>
      <c r="K3118" s="143"/>
      <c r="N3118" s="144"/>
    </row>
    <row r="3119" ht="15.75" customHeight="1">
      <c r="E3119" s="80"/>
      <c r="F3119" s="80"/>
      <c r="G3119" s="142"/>
      <c r="H3119" s="143"/>
      <c r="I3119" s="143"/>
      <c r="J3119" s="143"/>
      <c r="K3119" s="143"/>
      <c r="N3119" s="144"/>
    </row>
    <row r="3120" ht="15.75" customHeight="1">
      <c r="E3120" s="80"/>
      <c r="F3120" s="80"/>
      <c r="G3120" s="142"/>
      <c r="H3120" s="143"/>
      <c r="I3120" s="143"/>
      <c r="J3120" s="143"/>
      <c r="K3120" s="143"/>
      <c r="N3120" s="144"/>
    </row>
    <row r="3121" ht="15.75" customHeight="1">
      <c r="E3121" s="80"/>
      <c r="F3121" s="80"/>
      <c r="G3121" s="142"/>
      <c r="H3121" s="143"/>
      <c r="I3121" s="143"/>
      <c r="J3121" s="143"/>
      <c r="K3121" s="143"/>
      <c r="N3121" s="144"/>
    </row>
    <row r="3122" ht="15.75" customHeight="1">
      <c r="E3122" s="80"/>
      <c r="F3122" s="80"/>
      <c r="G3122" s="142"/>
      <c r="H3122" s="143"/>
      <c r="I3122" s="143"/>
      <c r="J3122" s="143"/>
      <c r="K3122" s="143"/>
      <c r="N3122" s="144"/>
    </row>
    <row r="3123" ht="15.75" customHeight="1">
      <c r="E3123" s="80"/>
      <c r="F3123" s="80"/>
      <c r="G3123" s="142"/>
      <c r="H3123" s="143"/>
      <c r="I3123" s="143"/>
      <c r="J3123" s="143"/>
      <c r="K3123" s="143"/>
      <c r="N3123" s="144"/>
    </row>
    <row r="3124" ht="15.75" customHeight="1">
      <c r="E3124" s="80"/>
      <c r="F3124" s="80"/>
      <c r="G3124" s="142"/>
      <c r="H3124" s="143"/>
      <c r="I3124" s="143"/>
      <c r="J3124" s="143"/>
      <c r="K3124" s="143"/>
      <c r="N3124" s="144"/>
    </row>
    <row r="3125" ht="15.75" customHeight="1">
      <c r="E3125" s="80"/>
      <c r="F3125" s="80"/>
      <c r="G3125" s="142"/>
      <c r="H3125" s="143"/>
      <c r="I3125" s="143"/>
      <c r="J3125" s="143"/>
      <c r="K3125" s="143"/>
      <c r="N3125" s="144"/>
    </row>
    <row r="3126" ht="15.75" customHeight="1">
      <c r="E3126" s="80"/>
      <c r="F3126" s="80"/>
      <c r="G3126" s="142"/>
      <c r="H3126" s="143"/>
      <c r="I3126" s="143"/>
      <c r="J3126" s="143"/>
      <c r="K3126" s="143"/>
      <c r="N3126" s="144"/>
    </row>
    <row r="3127" ht="15.75" customHeight="1">
      <c r="E3127" s="80"/>
      <c r="F3127" s="80"/>
      <c r="G3127" s="142"/>
      <c r="H3127" s="143"/>
      <c r="I3127" s="143"/>
      <c r="J3127" s="143"/>
      <c r="K3127" s="143"/>
      <c r="N3127" s="144"/>
    </row>
    <row r="3128" ht="15.75" customHeight="1">
      <c r="E3128" s="80"/>
      <c r="F3128" s="80"/>
      <c r="G3128" s="142"/>
      <c r="H3128" s="143"/>
      <c r="I3128" s="143"/>
      <c r="J3128" s="143"/>
      <c r="K3128" s="143"/>
      <c r="N3128" s="144"/>
    </row>
    <row r="3129" ht="15.75" customHeight="1">
      <c r="E3129" s="80"/>
      <c r="F3129" s="80"/>
      <c r="G3129" s="142"/>
      <c r="H3129" s="143"/>
      <c r="I3129" s="143"/>
      <c r="J3129" s="143"/>
      <c r="K3129" s="143"/>
      <c r="N3129" s="144"/>
    </row>
    <row r="3130" ht="15.75" customHeight="1">
      <c r="E3130" s="80"/>
      <c r="F3130" s="80"/>
      <c r="G3130" s="142"/>
      <c r="H3130" s="143"/>
      <c r="I3130" s="143"/>
      <c r="J3130" s="143"/>
      <c r="K3130" s="143"/>
      <c r="N3130" s="144"/>
    </row>
    <row r="3131" ht="15.75" customHeight="1">
      <c r="E3131" s="80"/>
      <c r="F3131" s="80"/>
      <c r="G3131" s="142"/>
      <c r="H3131" s="143"/>
      <c r="I3131" s="143"/>
      <c r="J3131" s="143"/>
      <c r="K3131" s="143"/>
      <c r="N3131" s="144"/>
    </row>
    <row r="3132" ht="15.75" customHeight="1">
      <c r="E3132" s="80"/>
      <c r="F3132" s="80"/>
      <c r="G3132" s="142"/>
      <c r="H3132" s="143"/>
      <c r="I3132" s="143"/>
      <c r="J3132" s="143"/>
      <c r="K3132" s="143"/>
      <c r="N3132" s="144"/>
    </row>
    <row r="3133" ht="15.75" customHeight="1">
      <c r="E3133" s="80"/>
      <c r="F3133" s="80"/>
      <c r="G3133" s="142"/>
      <c r="H3133" s="143"/>
      <c r="I3133" s="143"/>
      <c r="J3133" s="143"/>
      <c r="K3133" s="143"/>
      <c r="N3133" s="144"/>
    </row>
    <row r="3134" ht="15.75" customHeight="1">
      <c r="E3134" s="80"/>
      <c r="F3134" s="80"/>
      <c r="G3134" s="142"/>
      <c r="H3134" s="143"/>
      <c r="I3134" s="143"/>
      <c r="J3134" s="143"/>
      <c r="K3134" s="143"/>
      <c r="N3134" s="144"/>
    </row>
    <row r="3135" ht="15.75" customHeight="1">
      <c r="E3135" s="80"/>
      <c r="F3135" s="80"/>
      <c r="G3135" s="142"/>
      <c r="H3135" s="143"/>
      <c r="I3135" s="143"/>
      <c r="J3135" s="143"/>
      <c r="K3135" s="143"/>
      <c r="N3135" s="144"/>
    </row>
    <row r="3136" ht="15.75" customHeight="1">
      <c r="E3136" s="80"/>
      <c r="F3136" s="80"/>
      <c r="G3136" s="142"/>
      <c r="H3136" s="143"/>
      <c r="I3136" s="143"/>
      <c r="J3136" s="143"/>
      <c r="K3136" s="143"/>
      <c r="N3136" s="144"/>
    </row>
    <row r="3137" ht="15.75" customHeight="1">
      <c r="E3137" s="80"/>
      <c r="F3137" s="80"/>
      <c r="G3137" s="142"/>
      <c r="H3137" s="143"/>
      <c r="I3137" s="143"/>
      <c r="J3137" s="143"/>
      <c r="K3137" s="143"/>
      <c r="N3137" s="144"/>
    </row>
    <row r="3138" ht="15.75" customHeight="1">
      <c r="E3138" s="80"/>
      <c r="F3138" s="80"/>
      <c r="G3138" s="142"/>
      <c r="H3138" s="143"/>
      <c r="I3138" s="143"/>
      <c r="J3138" s="143"/>
      <c r="K3138" s="143"/>
      <c r="N3138" s="144"/>
    </row>
    <row r="3139" ht="15.75" customHeight="1">
      <c r="E3139" s="80"/>
      <c r="F3139" s="80"/>
      <c r="G3139" s="142"/>
      <c r="H3139" s="143"/>
      <c r="I3139" s="143"/>
      <c r="J3139" s="143"/>
      <c r="K3139" s="143"/>
      <c r="N3139" s="144"/>
    </row>
    <row r="3140" ht="15.75" customHeight="1">
      <c r="E3140" s="80"/>
      <c r="F3140" s="80"/>
      <c r="G3140" s="142"/>
      <c r="H3140" s="143"/>
      <c r="I3140" s="143"/>
      <c r="J3140" s="143"/>
      <c r="K3140" s="143"/>
      <c r="N3140" s="144"/>
    </row>
    <row r="3141" ht="15.75" customHeight="1">
      <c r="E3141" s="80"/>
      <c r="F3141" s="80"/>
      <c r="G3141" s="142"/>
      <c r="H3141" s="143"/>
      <c r="I3141" s="143"/>
      <c r="J3141" s="143"/>
      <c r="K3141" s="143"/>
      <c r="N3141" s="144"/>
    </row>
    <row r="3142" ht="15.75" customHeight="1">
      <c r="E3142" s="80"/>
      <c r="F3142" s="80"/>
      <c r="G3142" s="142"/>
      <c r="H3142" s="143"/>
      <c r="I3142" s="143"/>
      <c r="J3142" s="143"/>
      <c r="K3142" s="143"/>
      <c r="N3142" s="144"/>
    </row>
    <row r="3143" ht="15.75" customHeight="1">
      <c r="E3143" s="80"/>
      <c r="F3143" s="80"/>
      <c r="G3143" s="142"/>
      <c r="H3143" s="143"/>
      <c r="I3143" s="143"/>
      <c r="J3143" s="143"/>
      <c r="K3143" s="143"/>
      <c r="N3143" s="144"/>
    </row>
    <row r="3144" ht="15.75" customHeight="1">
      <c r="E3144" s="80"/>
      <c r="F3144" s="80"/>
      <c r="G3144" s="142"/>
      <c r="H3144" s="143"/>
      <c r="I3144" s="143"/>
      <c r="J3144" s="143"/>
      <c r="K3144" s="143"/>
      <c r="N3144" s="144"/>
    </row>
    <row r="3145" ht="15.75" customHeight="1">
      <c r="E3145" s="80"/>
      <c r="F3145" s="80"/>
      <c r="G3145" s="142"/>
      <c r="H3145" s="143"/>
      <c r="I3145" s="143"/>
      <c r="J3145" s="143"/>
      <c r="K3145" s="143"/>
      <c r="N3145" s="144"/>
    </row>
    <row r="3146" ht="15.75" customHeight="1">
      <c r="E3146" s="80"/>
      <c r="F3146" s="80"/>
      <c r="G3146" s="142"/>
      <c r="H3146" s="143"/>
      <c r="I3146" s="143"/>
      <c r="J3146" s="143"/>
      <c r="K3146" s="143"/>
      <c r="N3146" s="144"/>
    </row>
    <row r="3147" ht="15.75" customHeight="1">
      <c r="E3147" s="80"/>
      <c r="F3147" s="80"/>
      <c r="G3147" s="142"/>
      <c r="H3147" s="143"/>
      <c r="I3147" s="143"/>
      <c r="J3147" s="143"/>
      <c r="K3147" s="143"/>
      <c r="N3147" s="144"/>
    </row>
    <row r="3148" ht="15.75" customHeight="1">
      <c r="E3148" s="80"/>
      <c r="F3148" s="80"/>
      <c r="G3148" s="142"/>
      <c r="H3148" s="143"/>
      <c r="I3148" s="143"/>
      <c r="J3148" s="143"/>
      <c r="K3148" s="143"/>
      <c r="N3148" s="144"/>
    </row>
    <row r="3149" ht="15.75" customHeight="1">
      <c r="E3149" s="80"/>
      <c r="F3149" s="80"/>
      <c r="G3149" s="142"/>
      <c r="H3149" s="143"/>
      <c r="I3149" s="143"/>
      <c r="J3149" s="143"/>
      <c r="K3149" s="143"/>
      <c r="N3149" s="144"/>
    </row>
    <row r="3150" ht="15.75" customHeight="1">
      <c r="E3150" s="80"/>
      <c r="F3150" s="80"/>
      <c r="G3150" s="142"/>
      <c r="H3150" s="143"/>
      <c r="I3150" s="143"/>
      <c r="J3150" s="143"/>
      <c r="K3150" s="143"/>
      <c r="N3150" s="144"/>
    </row>
    <row r="3151" ht="15.75" customHeight="1">
      <c r="E3151" s="80"/>
      <c r="F3151" s="80"/>
      <c r="G3151" s="142"/>
      <c r="H3151" s="143"/>
      <c r="I3151" s="143"/>
      <c r="J3151" s="143"/>
      <c r="K3151" s="143"/>
      <c r="N3151" s="144"/>
    </row>
    <row r="3152" ht="15.75" customHeight="1">
      <c r="E3152" s="80"/>
      <c r="F3152" s="80"/>
      <c r="G3152" s="142"/>
      <c r="H3152" s="143"/>
      <c r="I3152" s="143"/>
      <c r="J3152" s="143"/>
      <c r="K3152" s="143"/>
      <c r="N3152" s="144"/>
    </row>
    <row r="3153" ht="15.75" customHeight="1">
      <c r="E3153" s="80"/>
      <c r="F3153" s="80"/>
      <c r="G3153" s="142"/>
      <c r="H3153" s="143"/>
      <c r="I3153" s="143"/>
      <c r="J3153" s="143"/>
      <c r="K3153" s="143"/>
      <c r="N3153" s="144"/>
    </row>
    <row r="3154" ht="15.75" customHeight="1">
      <c r="E3154" s="80"/>
      <c r="F3154" s="80"/>
      <c r="G3154" s="142"/>
      <c r="H3154" s="143"/>
      <c r="I3154" s="143"/>
      <c r="J3154" s="143"/>
      <c r="K3154" s="143"/>
      <c r="N3154" s="144"/>
    </row>
    <row r="3155" ht="15.75" customHeight="1">
      <c r="E3155" s="80"/>
      <c r="F3155" s="80"/>
      <c r="G3155" s="142"/>
      <c r="H3155" s="143"/>
      <c r="I3155" s="143"/>
      <c r="J3155" s="143"/>
      <c r="K3155" s="143"/>
      <c r="N3155" s="144"/>
    </row>
    <row r="3156" ht="15.75" customHeight="1">
      <c r="E3156" s="80"/>
      <c r="F3156" s="80"/>
      <c r="G3156" s="142"/>
      <c r="H3156" s="143"/>
      <c r="I3156" s="143"/>
      <c r="J3156" s="143"/>
      <c r="K3156" s="143"/>
      <c r="N3156" s="144"/>
    </row>
    <row r="3157" ht="15.75" customHeight="1">
      <c r="E3157" s="80"/>
      <c r="F3157" s="80"/>
      <c r="G3157" s="142"/>
      <c r="H3157" s="143"/>
      <c r="I3157" s="143"/>
      <c r="J3157" s="143"/>
      <c r="K3157" s="143"/>
      <c r="N3157" s="144"/>
    </row>
    <row r="3158" ht="15.75" customHeight="1">
      <c r="E3158" s="80"/>
      <c r="F3158" s="80"/>
      <c r="G3158" s="142"/>
      <c r="H3158" s="143"/>
      <c r="I3158" s="143"/>
      <c r="J3158" s="143"/>
      <c r="K3158" s="143"/>
      <c r="N3158" s="144"/>
    </row>
    <row r="3159" ht="15.75" customHeight="1">
      <c r="E3159" s="80"/>
      <c r="F3159" s="80"/>
      <c r="G3159" s="142"/>
      <c r="H3159" s="143"/>
      <c r="I3159" s="143"/>
      <c r="J3159" s="143"/>
      <c r="K3159" s="143"/>
      <c r="N3159" s="144"/>
    </row>
    <row r="3160" ht="15.75" customHeight="1">
      <c r="E3160" s="80"/>
      <c r="F3160" s="80"/>
      <c r="G3160" s="142"/>
      <c r="H3160" s="143"/>
      <c r="I3160" s="143"/>
      <c r="J3160" s="143"/>
      <c r="K3160" s="143"/>
      <c r="N3160" s="144"/>
    </row>
    <row r="3161" ht="15.75" customHeight="1">
      <c r="E3161" s="80"/>
      <c r="F3161" s="80"/>
      <c r="G3161" s="142"/>
      <c r="H3161" s="143"/>
      <c r="I3161" s="143"/>
      <c r="J3161" s="143"/>
      <c r="K3161" s="143"/>
      <c r="N3161" s="144"/>
    </row>
    <row r="3162" ht="15.75" customHeight="1">
      <c r="E3162" s="80"/>
      <c r="F3162" s="80"/>
      <c r="G3162" s="142"/>
      <c r="H3162" s="143"/>
      <c r="I3162" s="143"/>
      <c r="J3162" s="143"/>
      <c r="K3162" s="143"/>
      <c r="N3162" s="144"/>
    </row>
    <row r="3163" ht="15.75" customHeight="1">
      <c r="E3163" s="80"/>
      <c r="F3163" s="80"/>
      <c r="G3163" s="142"/>
      <c r="H3163" s="143"/>
      <c r="I3163" s="143"/>
      <c r="J3163" s="143"/>
      <c r="K3163" s="143"/>
      <c r="N3163" s="144"/>
    </row>
    <row r="3164" ht="15.75" customHeight="1">
      <c r="E3164" s="80"/>
      <c r="F3164" s="80"/>
      <c r="G3164" s="142"/>
      <c r="H3164" s="143"/>
      <c r="I3164" s="143"/>
      <c r="J3164" s="143"/>
      <c r="K3164" s="143"/>
      <c r="N3164" s="144"/>
    </row>
    <row r="3165" ht="15.75" customHeight="1">
      <c r="E3165" s="80"/>
      <c r="F3165" s="80"/>
      <c r="G3165" s="142"/>
      <c r="H3165" s="143"/>
      <c r="I3165" s="143"/>
      <c r="J3165" s="143"/>
      <c r="K3165" s="143"/>
      <c r="N3165" s="144"/>
    </row>
    <row r="3166" ht="15.75" customHeight="1">
      <c r="E3166" s="80"/>
      <c r="F3166" s="80"/>
      <c r="G3166" s="142"/>
      <c r="H3166" s="143"/>
      <c r="I3166" s="143"/>
      <c r="J3166" s="143"/>
      <c r="K3166" s="143"/>
      <c r="N3166" s="144"/>
    </row>
    <row r="3167" ht="15.75" customHeight="1">
      <c r="E3167" s="80"/>
      <c r="F3167" s="80"/>
      <c r="G3167" s="142"/>
      <c r="H3167" s="143"/>
      <c r="I3167" s="143"/>
      <c r="J3167" s="143"/>
      <c r="K3167" s="143"/>
      <c r="N3167" s="144"/>
    </row>
    <row r="3168" ht="15.75" customHeight="1">
      <c r="E3168" s="80"/>
      <c r="F3168" s="80"/>
      <c r="G3168" s="142"/>
      <c r="H3168" s="143"/>
      <c r="I3168" s="143"/>
      <c r="J3168" s="143"/>
      <c r="K3168" s="143"/>
      <c r="N3168" s="144"/>
    </row>
    <row r="3169" ht="15.75" customHeight="1">
      <c r="E3169" s="80"/>
      <c r="F3169" s="80"/>
      <c r="G3169" s="142"/>
      <c r="H3169" s="143"/>
      <c r="I3169" s="143"/>
      <c r="J3169" s="143"/>
      <c r="K3169" s="143"/>
      <c r="N3169" s="144"/>
    </row>
    <row r="3170" ht="15.75" customHeight="1">
      <c r="E3170" s="80"/>
      <c r="F3170" s="80"/>
      <c r="G3170" s="142"/>
      <c r="H3170" s="143"/>
      <c r="I3170" s="143"/>
      <c r="J3170" s="143"/>
      <c r="K3170" s="143"/>
      <c r="N3170" s="144"/>
    </row>
    <row r="3171" ht="15.75" customHeight="1">
      <c r="E3171" s="80"/>
      <c r="F3171" s="80"/>
      <c r="G3171" s="142"/>
      <c r="H3171" s="143"/>
      <c r="I3171" s="143"/>
      <c r="J3171" s="143"/>
      <c r="K3171" s="143"/>
      <c r="N3171" s="144"/>
    </row>
    <row r="3172" ht="15.75" customHeight="1">
      <c r="E3172" s="80"/>
      <c r="F3172" s="80"/>
      <c r="G3172" s="142"/>
      <c r="H3172" s="143"/>
      <c r="I3172" s="143"/>
      <c r="J3172" s="143"/>
      <c r="K3172" s="143"/>
      <c r="N3172" s="144"/>
    </row>
    <row r="3173" ht="15.75" customHeight="1">
      <c r="E3173" s="80"/>
      <c r="F3173" s="80"/>
      <c r="G3173" s="142"/>
      <c r="H3173" s="143"/>
      <c r="I3173" s="143"/>
      <c r="J3173" s="143"/>
      <c r="K3173" s="143"/>
      <c r="N3173" s="144"/>
    </row>
    <row r="3174" ht="15.75" customHeight="1">
      <c r="E3174" s="80"/>
      <c r="F3174" s="80"/>
      <c r="G3174" s="142"/>
      <c r="H3174" s="143"/>
      <c r="I3174" s="143"/>
      <c r="J3174" s="143"/>
      <c r="K3174" s="143"/>
      <c r="N3174" s="144"/>
    </row>
    <row r="3175" ht="15.75" customHeight="1">
      <c r="E3175" s="80"/>
      <c r="F3175" s="80"/>
      <c r="G3175" s="142"/>
      <c r="H3175" s="143"/>
      <c r="I3175" s="143"/>
      <c r="J3175" s="143"/>
      <c r="K3175" s="143"/>
      <c r="N3175" s="144"/>
    </row>
    <row r="3176" ht="15.75" customHeight="1">
      <c r="E3176" s="80"/>
      <c r="F3176" s="80"/>
      <c r="G3176" s="142"/>
      <c r="H3176" s="143"/>
      <c r="I3176" s="143"/>
      <c r="J3176" s="143"/>
      <c r="K3176" s="143"/>
      <c r="N3176" s="144"/>
    </row>
    <row r="3177" ht="15.75" customHeight="1">
      <c r="E3177" s="80"/>
      <c r="F3177" s="80"/>
      <c r="G3177" s="142"/>
      <c r="H3177" s="143"/>
      <c r="I3177" s="143"/>
      <c r="J3177" s="143"/>
      <c r="K3177" s="143"/>
      <c r="N3177" s="144"/>
    </row>
    <row r="3178" ht="15.75" customHeight="1">
      <c r="E3178" s="80"/>
      <c r="F3178" s="80"/>
      <c r="G3178" s="142"/>
      <c r="H3178" s="143"/>
      <c r="I3178" s="143"/>
      <c r="J3178" s="143"/>
      <c r="K3178" s="143"/>
      <c r="N3178" s="144"/>
    </row>
    <row r="3179" ht="15.75" customHeight="1">
      <c r="E3179" s="80"/>
      <c r="F3179" s="80"/>
      <c r="G3179" s="142"/>
      <c r="H3179" s="143"/>
      <c r="I3179" s="143"/>
      <c r="J3179" s="143"/>
      <c r="K3179" s="143"/>
      <c r="N3179" s="144"/>
    </row>
    <row r="3180" ht="15.75" customHeight="1">
      <c r="E3180" s="80"/>
      <c r="F3180" s="80"/>
      <c r="G3180" s="142"/>
      <c r="H3180" s="143"/>
      <c r="I3180" s="143"/>
      <c r="J3180" s="143"/>
      <c r="K3180" s="143"/>
      <c r="N3180" s="144"/>
    </row>
    <row r="3181" ht="15.75" customHeight="1">
      <c r="E3181" s="80"/>
      <c r="F3181" s="80"/>
      <c r="G3181" s="142"/>
      <c r="H3181" s="143"/>
      <c r="I3181" s="143"/>
      <c r="J3181" s="143"/>
      <c r="K3181" s="143"/>
      <c r="N3181" s="144"/>
    </row>
    <row r="3182" ht="15.75" customHeight="1">
      <c r="E3182" s="80"/>
      <c r="F3182" s="80"/>
      <c r="G3182" s="142"/>
      <c r="H3182" s="143"/>
      <c r="I3182" s="143"/>
      <c r="J3182" s="143"/>
      <c r="K3182" s="143"/>
      <c r="N3182" s="144"/>
    </row>
    <row r="3183" ht="15.75" customHeight="1">
      <c r="E3183" s="80"/>
      <c r="F3183" s="80"/>
      <c r="G3183" s="142"/>
      <c r="H3183" s="143"/>
      <c r="I3183" s="143"/>
      <c r="J3183" s="143"/>
      <c r="K3183" s="143"/>
      <c r="N3183" s="144"/>
    </row>
    <row r="3184" ht="15.75" customHeight="1">
      <c r="E3184" s="80"/>
      <c r="F3184" s="80"/>
      <c r="G3184" s="142"/>
      <c r="H3184" s="143"/>
      <c r="I3184" s="143"/>
      <c r="J3184" s="143"/>
      <c r="K3184" s="143"/>
      <c r="N3184" s="144"/>
    </row>
    <row r="3185" ht="15.75" customHeight="1">
      <c r="E3185" s="80"/>
      <c r="F3185" s="80"/>
      <c r="G3185" s="142"/>
      <c r="H3185" s="143"/>
      <c r="I3185" s="143"/>
      <c r="J3185" s="143"/>
      <c r="K3185" s="143"/>
      <c r="N3185" s="144"/>
    </row>
    <row r="3186" ht="15.75" customHeight="1">
      <c r="E3186" s="80"/>
      <c r="F3186" s="80"/>
      <c r="G3186" s="142"/>
      <c r="H3186" s="143"/>
      <c r="I3186" s="143"/>
      <c r="J3186" s="143"/>
      <c r="K3186" s="143"/>
      <c r="N3186" s="144"/>
    </row>
    <row r="3187" ht="15.75" customHeight="1">
      <c r="E3187" s="80"/>
      <c r="F3187" s="80"/>
      <c r="G3187" s="142"/>
      <c r="H3187" s="143"/>
      <c r="I3187" s="143"/>
      <c r="J3187" s="143"/>
      <c r="K3187" s="143"/>
      <c r="N3187" s="144"/>
    </row>
    <row r="3188" ht="15.75" customHeight="1">
      <c r="E3188" s="80"/>
      <c r="F3188" s="80"/>
      <c r="G3188" s="142"/>
      <c r="H3188" s="143"/>
      <c r="I3188" s="143"/>
      <c r="J3188" s="143"/>
      <c r="K3188" s="143"/>
      <c r="N3188" s="144"/>
    </row>
    <row r="3189" ht="15.75" customHeight="1">
      <c r="E3189" s="80"/>
      <c r="F3189" s="80"/>
      <c r="G3189" s="142"/>
      <c r="H3189" s="143"/>
      <c r="I3189" s="143"/>
      <c r="J3189" s="143"/>
      <c r="K3189" s="143"/>
      <c r="N3189" s="144"/>
    </row>
    <row r="3190" ht="15.75" customHeight="1">
      <c r="E3190" s="80"/>
      <c r="F3190" s="80"/>
      <c r="G3190" s="142"/>
      <c r="H3190" s="143"/>
      <c r="I3190" s="143"/>
      <c r="J3190" s="143"/>
      <c r="K3190" s="143"/>
      <c r="N3190" s="144"/>
    </row>
    <row r="3191" ht="15.75" customHeight="1">
      <c r="E3191" s="80"/>
      <c r="F3191" s="80"/>
      <c r="G3191" s="142"/>
      <c r="H3191" s="143"/>
      <c r="I3191" s="143"/>
      <c r="J3191" s="143"/>
      <c r="K3191" s="143"/>
      <c r="N3191" s="144"/>
    </row>
    <row r="3192" ht="15.75" customHeight="1">
      <c r="E3192" s="80"/>
      <c r="F3192" s="80"/>
      <c r="G3192" s="142"/>
      <c r="H3192" s="143"/>
      <c r="I3192" s="143"/>
      <c r="J3192" s="143"/>
      <c r="K3192" s="143"/>
      <c r="N3192" s="144"/>
    </row>
    <row r="3193" ht="15.75" customHeight="1">
      <c r="E3193" s="80"/>
      <c r="F3193" s="80"/>
      <c r="G3193" s="142"/>
      <c r="H3193" s="143"/>
      <c r="I3193" s="143"/>
      <c r="J3193" s="143"/>
      <c r="K3193" s="143"/>
      <c r="N3193" s="144"/>
    </row>
    <row r="3194" ht="15.75" customHeight="1">
      <c r="E3194" s="80"/>
      <c r="F3194" s="80"/>
      <c r="G3194" s="142"/>
      <c r="H3194" s="143"/>
      <c r="I3194" s="143"/>
      <c r="J3194" s="143"/>
      <c r="K3194" s="143"/>
      <c r="N3194" s="144"/>
    </row>
    <row r="3195" ht="15.75" customHeight="1">
      <c r="E3195" s="80"/>
      <c r="F3195" s="80"/>
      <c r="G3195" s="142"/>
      <c r="H3195" s="143"/>
      <c r="I3195" s="143"/>
      <c r="J3195" s="143"/>
      <c r="K3195" s="143"/>
      <c r="N3195" s="144"/>
    </row>
    <row r="3196" ht="15.75" customHeight="1">
      <c r="E3196" s="80"/>
      <c r="F3196" s="80"/>
      <c r="G3196" s="142"/>
      <c r="H3196" s="143"/>
      <c r="I3196" s="143"/>
      <c r="J3196" s="143"/>
      <c r="K3196" s="143"/>
      <c r="N3196" s="144"/>
    </row>
    <row r="3197" ht="15.75" customHeight="1">
      <c r="E3197" s="80"/>
      <c r="F3197" s="80"/>
      <c r="G3197" s="142"/>
      <c r="H3197" s="143"/>
      <c r="I3197" s="143"/>
      <c r="J3197" s="143"/>
      <c r="K3197" s="143"/>
      <c r="N3197" s="144"/>
    </row>
    <row r="3198" ht="15.75" customHeight="1">
      <c r="E3198" s="80"/>
      <c r="F3198" s="80"/>
      <c r="G3198" s="142"/>
      <c r="H3198" s="143"/>
      <c r="I3198" s="143"/>
      <c r="J3198" s="143"/>
      <c r="K3198" s="143"/>
      <c r="N3198" s="144"/>
    </row>
    <row r="3199" ht="15.75" customHeight="1">
      <c r="E3199" s="80"/>
      <c r="F3199" s="80"/>
      <c r="G3199" s="142"/>
      <c r="H3199" s="143"/>
      <c r="I3199" s="143"/>
      <c r="J3199" s="143"/>
      <c r="K3199" s="143"/>
      <c r="N3199" s="144"/>
    </row>
    <row r="3200" ht="15.75" customHeight="1">
      <c r="E3200" s="80"/>
      <c r="F3200" s="80"/>
      <c r="G3200" s="142"/>
      <c r="H3200" s="143"/>
      <c r="I3200" s="143"/>
      <c r="J3200" s="143"/>
      <c r="K3200" s="143"/>
      <c r="N3200" s="144"/>
    </row>
    <row r="3201" ht="15.75" customHeight="1">
      <c r="E3201" s="80"/>
      <c r="F3201" s="80"/>
      <c r="G3201" s="142"/>
      <c r="H3201" s="143"/>
      <c r="I3201" s="143"/>
      <c r="J3201" s="143"/>
      <c r="K3201" s="143"/>
      <c r="N3201" s="144"/>
    </row>
    <row r="3202" ht="15.75" customHeight="1">
      <c r="E3202" s="80"/>
      <c r="F3202" s="80"/>
      <c r="G3202" s="142"/>
      <c r="H3202" s="143"/>
      <c r="I3202" s="143"/>
      <c r="J3202" s="143"/>
      <c r="K3202" s="143"/>
      <c r="N3202" s="144"/>
    </row>
    <row r="3203" ht="15.75" customHeight="1">
      <c r="E3203" s="80"/>
      <c r="F3203" s="80"/>
      <c r="G3203" s="142"/>
      <c r="H3203" s="143"/>
      <c r="I3203" s="143"/>
      <c r="J3203" s="143"/>
      <c r="K3203" s="143"/>
      <c r="N3203" s="144"/>
    </row>
    <row r="3204" ht="15.75" customHeight="1">
      <c r="E3204" s="80"/>
      <c r="F3204" s="80"/>
      <c r="G3204" s="142"/>
      <c r="H3204" s="143"/>
      <c r="I3204" s="143"/>
      <c r="J3204" s="143"/>
      <c r="K3204" s="143"/>
      <c r="N3204" s="144"/>
    </row>
    <row r="3205" ht="15.75" customHeight="1">
      <c r="E3205" s="80"/>
      <c r="F3205" s="80"/>
      <c r="G3205" s="142"/>
      <c r="H3205" s="143"/>
      <c r="I3205" s="143"/>
      <c r="J3205" s="143"/>
      <c r="K3205" s="143"/>
      <c r="N3205" s="144"/>
    </row>
    <row r="3206" ht="15.75" customHeight="1">
      <c r="E3206" s="80"/>
      <c r="F3206" s="80"/>
      <c r="G3206" s="142"/>
      <c r="H3206" s="143"/>
      <c r="I3206" s="143"/>
      <c r="J3206" s="143"/>
      <c r="K3206" s="143"/>
      <c r="N3206" s="144"/>
    </row>
    <row r="3207" ht="15.75" customHeight="1">
      <c r="E3207" s="80"/>
      <c r="F3207" s="80"/>
      <c r="G3207" s="142"/>
      <c r="H3207" s="143"/>
      <c r="I3207" s="143"/>
      <c r="J3207" s="143"/>
      <c r="K3207" s="143"/>
      <c r="N3207" s="144"/>
    </row>
    <row r="3208" ht="15.75" customHeight="1">
      <c r="E3208" s="80"/>
      <c r="F3208" s="80"/>
      <c r="G3208" s="142"/>
      <c r="H3208" s="143"/>
      <c r="I3208" s="143"/>
      <c r="J3208" s="143"/>
      <c r="K3208" s="143"/>
      <c r="N3208" s="144"/>
    </row>
    <row r="3209" ht="15.75" customHeight="1">
      <c r="E3209" s="80"/>
      <c r="F3209" s="80"/>
      <c r="G3209" s="142"/>
      <c r="H3209" s="143"/>
      <c r="I3209" s="143"/>
      <c r="J3209" s="143"/>
      <c r="K3209" s="143"/>
      <c r="N3209" s="144"/>
    </row>
    <row r="3210" ht="15.75" customHeight="1">
      <c r="E3210" s="80"/>
      <c r="F3210" s="80"/>
      <c r="G3210" s="142"/>
      <c r="H3210" s="143"/>
      <c r="I3210" s="143"/>
      <c r="J3210" s="143"/>
      <c r="K3210" s="143"/>
      <c r="N3210" s="144"/>
    </row>
    <row r="3211" ht="15.75" customHeight="1">
      <c r="E3211" s="80"/>
      <c r="F3211" s="80"/>
      <c r="G3211" s="142"/>
      <c r="H3211" s="143"/>
      <c r="I3211" s="143"/>
      <c r="J3211" s="143"/>
      <c r="K3211" s="143"/>
      <c r="N3211" s="144"/>
    </row>
  </sheetData>
  <autoFilter ref="$A$1:$Z$1"/>
  <mergeCells count="753">
    <mergeCell ref="P1319:R1319"/>
    <mergeCell ref="P1320:R1320"/>
    <mergeCell ref="P1321:R1321"/>
    <mergeCell ref="P1322:R1322"/>
    <mergeCell ref="P1323:R1323"/>
    <mergeCell ref="P1324:R1324"/>
    <mergeCell ref="P1325:R1325"/>
    <mergeCell ref="P1326:R1326"/>
    <mergeCell ref="P1327:R1327"/>
    <mergeCell ref="P1328:R1328"/>
    <mergeCell ref="P1329:R1329"/>
    <mergeCell ref="P1330:R1330"/>
    <mergeCell ref="P1331:R1331"/>
    <mergeCell ref="P1332:R1332"/>
    <mergeCell ref="P1333:R1333"/>
    <mergeCell ref="P1334:R1334"/>
    <mergeCell ref="P1335:R1335"/>
    <mergeCell ref="P1336:R1336"/>
    <mergeCell ref="P1337:R1337"/>
    <mergeCell ref="P1338:R1338"/>
    <mergeCell ref="P1339:R1339"/>
    <mergeCell ref="P1340:R1340"/>
    <mergeCell ref="P1341:R1341"/>
    <mergeCell ref="P1342:R1342"/>
    <mergeCell ref="P1343:R1343"/>
    <mergeCell ref="P1344:R1344"/>
    <mergeCell ref="P1345:R1345"/>
    <mergeCell ref="P1346:R1346"/>
    <mergeCell ref="P1347:R1347"/>
    <mergeCell ref="P1348:R1348"/>
    <mergeCell ref="P1349:R1349"/>
    <mergeCell ref="P1350:R1350"/>
    <mergeCell ref="P1351:R1351"/>
    <mergeCell ref="P1352:R1352"/>
    <mergeCell ref="P1353:R1353"/>
    <mergeCell ref="P1354:R1354"/>
    <mergeCell ref="P1355:R1355"/>
    <mergeCell ref="P1356:R1356"/>
    <mergeCell ref="P1357:R1357"/>
    <mergeCell ref="P1358:R1358"/>
    <mergeCell ref="P1359:R1359"/>
    <mergeCell ref="P1360:R1360"/>
    <mergeCell ref="P1361:R1361"/>
    <mergeCell ref="P1362:R1362"/>
    <mergeCell ref="P1363:R1363"/>
    <mergeCell ref="P1364:R1364"/>
    <mergeCell ref="P1365:R1365"/>
    <mergeCell ref="P1366:R1366"/>
    <mergeCell ref="P1367:R1367"/>
    <mergeCell ref="P1368:R1368"/>
    <mergeCell ref="P1369:R1369"/>
    <mergeCell ref="P1370:R1370"/>
    <mergeCell ref="P1371:R1371"/>
    <mergeCell ref="P1372:R1372"/>
    <mergeCell ref="P1373:R1373"/>
    <mergeCell ref="P1374:R1374"/>
    <mergeCell ref="P1375:R1375"/>
    <mergeCell ref="P1376:R1376"/>
    <mergeCell ref="P1377:R1377"/>
    <mergeCell ref="P1378:R1378"/>
    <mergeCell ref="P1379:R1379"/>
    <mergeCell ref="P1380:R1380"/>
    <mergeCell ref="P1381:R1381"/>
    <mergeCell ref="P1382:R1382"/>
    <mergeCell ref="P1383:R1383"/>
    <mergeCell ref="P1384:R1384"/>
    <mergeCell ref="P1385:R1385"/>
    <mergeCell ref="P1386:R1386"/>
    <mergeCell ref="P1387:R1387"/>
    <mergeCell ref="P1388:R1388"/>
    <mergeCell ref="P1389:R1389"/>
    <mergeCell ref="P1390:R1390"/>
    <mergeCell ref="P1391:R1391"/>
    <mergeCell ref="P1392:R1392"/>
    <mergeCell ref="P1393:R1393"/>
    <mergeCell ref="P1394:R1394"/>
    <mergeCell ref="P1395:R1395"/>
    <mergeCell ref="P1396:R1396"/>
    <mergeCell ref="P1397:R1397"/>
    <mergeCell ref="P1398:R1398"/>
    <mergeCell ref="P1399:R1399"/>
    <mergeCell ref="P1400:R1400"/>
    <mergeCell ref="P1401:R1401"/>
    <mergeCell ref="P1402:R1402"/>
    <mergeCell ref="P1403:R1403"/>
    <mergeCell ref="P1404:R1404"/>
    <mergeCell ref="P1405:R1405"/>
    <mergeCell ref="P1406:R1406"/>
    <mergeCell ref="P1407:R1407"/>
    <mergeCell ref="P1417:R1417"/>
    <mergeCell ref="P1418:R1418"/>
    <mergeCell ref="P1419:R1419"/>
    <mergeCell ref="P1420:R1420"/>
    <mergeCell ref="P1421:R1421"/>
    <mergeCell ref="P1422:R1422"/>
    <mergeCell ref="P1423:R1423"/>
    <mergeCell ref="P1424:R1424"/>
    <mergeCell ref="P1425:R1425"/>
    <mergeCell ref="P1426:R1426"/>
    <mergeCell ref="P1427:R1427"/>
    <mergeCell ref="P1428:R1428"/>
    <mergeCell ref="P1429:R1429"/>
    <mergeCell ref="P1430:R1430"/>
    <mergeCell ref="P1431:R1431"/>
    <mergeCell ref="P1432:R1432"/>
    <mergeCell ref="P1433:R1433"/>
    <mergeCell ref="P1434:R1434"/>
    <mergeCell ref="P1435:R1435"/>
    <mergeCell ref="P1436:R1436"/>
    <mergeCell ref="P1437:R1437"/>
    <mergeCell ref="P1438:R1438"/>
    <mergeCell ref="P1439:R1439"/>
    <mergeCell ref="P1440:R1440"/>
    <mergeCell ref="P1441:R1441"/>
    <mergeCell ref="P1442:R1442"/>
    <mergeCell ref="P1443:R1443"/>
    <mergeCell ref="P1444:R1444"/>
    <mergeCell ref="P1445:R1445"/>
    <mergeCell ref="P1446:R1446"/>
    <mergeCell ref="P1447:R1447"/>
    <mergeCell ref="P1448:R1448"/>
    <mergeCell ref="P1449:R1449"/>
    <mergeCell ref="P1450:R1450"/>
    <mergeCell ref="P1451:R1451"/>
    <mergeCell ref="P1452:R1452"/>
    <mergeCell ref="P1453:R1453"/>
    <mergeCell ref="P1454:R1454"/>
    <mergeCell ref="P1455:R1455"/>
    <mergeCell ref="P1456:R1456"/>
    <mergeCell ref="P1457:R1457"/>
    <mergeCell ref="P1458:R1458"/>
    <mergeCell ref="P1459:R1459"/>
    <mergeCell ref="P1460:R1460"/>
    <mergeCell ref="P1461:R1461"/>
    <mergeCell ref="P1462:R1462"/>
    <mergeCell ref="P1463:R1463"/>
    <mergeCell ref="P1464:R1464"/>
    <mergeCell ref="P1465:R1465"/>
    <mergeCell ref="P1466:R1466"/>
    <mergeCell ref="P1467:R1467"/>
    <mergeCell ref="P1468:R1468"/>
    <mergeCell ref="P1469:R1469"/>
    <mergeCell ref="P1470:R1470"/>
    <mergeCell ref="P1471:R1471"/>
    <mergeCell ref="P1472:R1472"/>
    <mergeCell ref="P1473:R1473"/>
    <mergeCell ref="P1474:R1474"/>
    <mergeCell ref="P1475:R1475"/>
    <mergeCell ref="P1476:R1476"/>
    <mergeCell ref="P1477:R1477"/>
    <mergeCell ref="P1478:R1478"/>
    <mergeCell ref="P1479:R1479"/>
    <mergeCell ref="P1480:R1480"/>
    <mergeCell ref="P1481:R1481"/>
    <mergeCell ref="P1482:R1482"/>
    <mergeCell ref="P1483:R1483"/>
    <mergeCell ref="P1484:R1484"/>
    <mergeCell ref="P1485:R1485"/>
    <mergeCell ref="P1486:R1486"/>
    <mergeCell ref="P1487:R1487"/>
    <mergeCell ref="P1488:R1488"/>
    <mergeCell ref="P1489:R1489"/>
    <mergeCell ref="P1490:R1490"/>
    <mergeCell ref="P1491:R1491"/>
    <mergeCell ref="P1492:R1492"/>
    <mergeCell ref="P1493:R1493"/>
    <mergeCell ref="P1494:R1494"/>
    <mergeCell ref="P1495:R1495"/>
    <mergeCell ref="P1496:R1496"/>
    <mergeCell ref="P1497:R1497"/>
    <mergeCell ref="P1498:R1498"/>
    <mergeCell ref="P1502:R1502"/>
    <mergeCell ref="P1503:R1503"/>
    <mergeCell ref="P1504:R1504"/>
    <mergeCell ref="P1505:R1505"/>
    <mergeCell ref="P1506:R1506"/>
    <mergeCell ref="P1507:R1507"/>
    <mergeCell ref="P1508:R1508"/>
    <mergeCell ref="P1509:R1509"/>
    <mergeCell ref="P1510:R1510"/>
    <mergeCell ref="P1511:R1511"/>
    <mergeCell ref="P1512:R1512"/>
    <mergeCell ref="P1513:R1513"/>
    <mergeCell ref="P1514:R1514"/>
    <mergeCell ref="P1515:R1515"/>
    <mergeCell ref="P1516:R1516"/>
    <mergeCell ref="P1517:R1517"/>
    <mergeCell ref="P1518:R1518"/>
    <mergeCell ref="P1519:R1519"/>
    <mergeCell ref="P1520:R1520"/>
    <mergeCell ref="P1521:R1521"/>
    <mergeCell ref="P1522:R1522"/>
    <mergeCell ref="P1523:R1523"/>
    <mergeCell ref="P1524:R1524"/>
    <mergeCell ref="P1525:R1525"/>
    <mergeCell ref="P1526:R1526"/>
    <mergeCell ref="P1527:R1527"/>
    <mergeCell ref="P1528:R1528"/>
    <mergeCell ref="P1529:R1529"/>
    <mergeCell ref="P1530:R1530"/>
    <mergeCell ref="P1531:R1531"/>
    <mergeCell ref="P1532:R1532"/>
    <mergeCell ref="P1533:R1533"/>
    <mergeCell ref="P1534:R1534"/>
    <mergeCell ref="P1535:R1535"/>
    <mergeCell ref="P1536:R1536"/>
    <mergeCell ref="P1537:R1537"/>
    <mergeCell ref="P1538:R1538"/>
    <mergeCell ref="P1539:R1539"/>
    <mergeCell ref="P1540:R1540"/>
    <mergeCell ref="P1541:R1541"/>
    <mergeCell ref="P1542:R1542"/>
    <mergeCell ref="P1543:R1543"/>
    <mergeCell ref="P1544:R1544"/>
    <mergeCell ref="P1545:R1545"/>
    <mergeCell ref="P1546:R1546"/>
    <mergeCell ref="P1547:R1547"/>
    <mergeCell ref="P1548:R1548"/>
    <mergeCell ref="P1549:R1549"/>
    <mergeCell ref="P1550:R1550"/>
    <mergeCell ref="P1551:R1551"/>
    <mergeCell ref="P1552:R1552"/>
    <mergeCell ref="P1553:R1553"/>
    <mergeCell ref="P1554:R1554"/>
    <mergeCell ref="P1555:R1555"/>
    <mergeCell ref="P1556:R1556"/>
    <mergeCell ref="P1557:R1557"/>
    <mergeCell ref="P1558:R1558"/>
    <mergeCell ref="P1559:R1559"/>
    <mergeCell ref="P1560:R1560"/>
    <mergeCell ref="P1561:R1561"/>
    <mergeCell ref="P1562:R1562"/>
    <mergeCell ref="P1563:R1563"/>
    <mergeCell ref="P1564:R1564"/>
    <mergeCell ref="P1565:R1565"/>
    <mergeCell ref="P1566:R1566"/>
    <mergeCell ref="P1567:R1567"/>
    <mergeCell ref="P1568:R1568"/>
    <mergeCell ref="P1569:R1569"/>
    <mergeCell ref="P1570:R1570"/>
    <mergeCell ref="P1571:R1571"/>
    <mergeCell ref="P1572:R1572"/>
    <mergeCell ref="P1573:R1573"/>
    <mergeCell ref="P1574:R1574"/>
    <mergeCell ref="P1575:R1575"/>
    <mergeCell ref="P1576:R1576"/>
    <mergeCell ref="P1577:R1577"/>
    <mergeCell ref="P1578:R1578"/>
    <mergeCell ref="P1579:R1579"/>
    <mergeCell ref="P1580:R1580"/>
    <mergeCell ref="P1581:R1581"/>
    <mergeCell ref="P1582:R1582"/>
    <mergeCell ref="P1583:R1583"/>
    <mergeCell ref="P1584:R1584"/>
    <mergeCell ref="P1585:R1585"/>
    <mergeCell ref="P1586:R1586"/>
    <mergeCell ref="P1587:R1587"/>
    <mergeCell ref="P1588:R1588"/>
    <mergeCell ref="P1589:R1589"/>
    <mergeCell ref="P1590:R1590"/>
    <mergeCell ref="P1591:R1591"/>
    <mergeCell ref="P1592:R1592"/>
    <mergeCell ref="P1593:R1593"/>
    <mergeCell ref="P1594:R1594"/>
    <mergeCell ref="P1595:R1595"/>
    <mergeCell ref="P1596:R1596"/>
    <mergeCell ref="P1597:R1597"/>
    <mergeCell ref="P1598:R1598"/>
    <mergeCell ref="P1599:R1599"/>
    <mergeCell ref="P1600:R1600"/>
    <mergeCell ref="P1601:R1601"/>
    <mergeCell ref="P1602:R1602"/>
    <mergeCell ref="P1603:R1603"/>
    <mergeCell ref="P1604:R1604"/>
    <mergeCell ref="P1605:R1605"/>
    <mergeCell ref="P1606:R1606"/>
    <mergeCell ref="P1607:R1607"/>
    <mergeCell ref="P1608:R1608"/>
    <mergeCell ref="P1609:R1609"/>
    <mergeCell ref="P1610:R1610"/>
    <mergeCell ref="P1611:R1611"/>
    <mergeCell ref="P1612:R1612"/>
    <mergeCell ref="P1613:R1613"/>
    <mergeCell ref="P1614:R1614"/>
    <mergeCell ref="P1615:R1615"/>
    <mergeCell ref="P1616:R1616"/>
    <mergeCell ref="P1617:R1617"/>
    <mergeCell ref="P1618:R1618"/>
    <mergeCell ref="P1619:R1619"/>
    <mergeCell ref="P1620:R1620"/>
    <mergeCell ref="P1621:R1621"/>
    <mergeCell ref="P1622:R1622"/>
    <mergeCell ref="P1623:R1623"/>
    <mergeCell ref="P1624:R1624"/>
    <mergeCell ref="P1625:R1625"/>
    <mergeCell ref="P1626:R1626"/>
    <mergeCell ref="P1627:R1627"/>
    <mergeCell ref="P1628:R1628"/>
    <mergeCell ref="P1629:R1629"/>
    <mergeCell ref="P1630:R1630"/>
    <mergeCell ref="P1631:R1631"/>
    <mergeCell ref="P1632:R1632"/>
    <mergeCell ref="P1633:R1633"/>
    <mergeCell ref="P1634:R1634"/>
    <mergeCell ref="P1635:R1635"/>
    <mergeCell ref="P1636:R1636"/>
    <mergeCell ref="P1637:R1637"/>
    <mergeCell ref="P1638:R1638"/>
    <mergeCell ref="P1639:R1639"/>
    <mergeCell ref="P1640:R1640"/>
    <mergeCell ref="P1641:R1641"/>
    <mergeCell ref="P1642:R1642"/>
    <mergeCell ref="P1643:R1643"/>
    <mergeCell ref="P1644:R1644"/>
    <mergeCell ref="P1645:R1645"/>
    <mergeCell ref="P1646:R1646"/>
    <mergeCell ref="P1647:R1647"/>
    <mergeCell ref="P1648:R1648"/>
    <mergeCell ref="P1649:R1649"/>
    <mergeCell ref="P1650:R1650"/>
    <mergeCell ref="P1651:R1651"/>
    <mergeCell ref="P1652:R1652"/>
    <mergeCell ref="P1653:R1653"/>
    <mergeCell ref="P1654:R1654"/>
    <mergeCell ref="P1655:R1655"/>
    <mergeCell ref="P1656:R1656"/>
    <mergeCell ref="P1657:R1657"/>
    <mergeCell ref="P1658:R1658"/>
    <mergeCell ref="P1659:R1659"/>
    <mergeCell ref="P1660:R1660"/>
    <mergeCell ref="P1661:R1661"/>
    <mergeCell ref="P1662:R1662"/>
    <mergeCell ref="P1663:R1663"/>
    <mergeCell ref="P1664:R1664"/>
    <mergeCell ref="P1665:R1665"/>
    <mergeCell ref="P1666:R1666"/>
    <mergeCell ref="P1667:R1667"/>
    <mergeCell ref="P1668:R1668"/>
    <mergeCell ref="P1669:R1669"/>
    <mergeCell ref="P1670:R1670"/>
    <mergeCell ref="P1671:R1671"/>
    <mergeCell ref="P1672:R1672"/>
    <mergeCell ref="P1673:R1673"/>
    <mergeCell ref="P2296:S2296"/>
    <mergeCell ref="P2297:S2297"/>
    <mergeCell ref="P2298:S2298"/>
    <mergeCell ref="P2299:S2299"/>
    <mergeCell ref="P2300:S2300"/>
    <mergeCell ref="P2301:S2301"/>
    <mergeCell ref="P2302:S2302"/>
    <mergeCell ref="P2314:S2314"/>
    <mergeCell ref="P2315:S2315"/>
    <mergeCell ref="P2316:S2316"/>
    <mergeCell ref="P2331:S2331"/>
    <mergeCell ref="P2303:S2303"/>
    <mergeCell ref="P2304:S2304"/>
    <mergeCell ref="P2305:S2305"/>
    <mergeCell ref="P2310:S2310"/>
    <mergeCell ref="P2311:S2311"/>
    <mergeCell ref="P2312:S2312"/>
    <mergeCell ref="P2313:S2313"/>
    <mergeCell ref="P2155:R2155"/>
    <mergeCell ref="P2156:R2156"/>
    <mergeCell ref="P2157:R2157"/>
    <mergeCell ref="P2158:R2158"/>
    <mergeCell ref="P2159:R2159"/>
    <mergeCell ref="P2160:R2160"/>
    <mergeCell ref="P2247:S2247"/>
    <mergeCell ref="P2248:S2248"/>
    <mergeCell ref="P2249:S2249"/>
    <mergeCell ref="P2250:S2250"/>
    <mergeCell ref="P2251:S2251"/>
    <mergeCell ref="P2252:S2252"/>
    <mergeCell ref="P2253:S2253"/>
    <mergeCell ref="P2254:S2254"/>
    <mergeCell ref="P2255:S2255"/>
    <mergeCell ref="P2256:S2256"/>
    <mergeCell ref="P2257:S2257"/>
    <mergeCell ref="P2258:S2258"/>
    <mergeCell ref="P2259:S2259"/>
    <mergeCell ref="P2260:S2260"/>
    <mergeCell ref="P2261:S2261"/>
    <mergeCell ref="P2262:S2262"/>
    <mergeCell ref="P2263:S2263"/>
    <mergeCell ref="P2264:S2264"/>
    <mergeCell ref="P2265:S2265"/>
    <mergeCell ref="P2266:S2266"/>
    <mergeCell ref="P2267:S2267"/>
    <mergeCell ref="P2268:S2268"/>
    <mergeCell ref="P2269:S2269"/>
    <mergeCell ref="P2270:S2270"/>
    <mergeCell ref="P2271:S2271"/>
    <mergeCell ref="P2278:S2278"/>
    <mergeCell ref="P2279:S2279"/>
    <mergeCell ref="P2280:S2280"/>
    <mergeCell ref="P2281:S2281"/>
    <mergeCell ref="P2282:S2282"/>
    <mergeCell ref="P2283:S2283"/>
    <mergeCell ref="P2284:S2284"/>
    <mergeCell ref="P2285:S2285"/>
    <mergeCell ref="P2286:S2286"/>
    <mergeCell ref="P2287:S2287"/>
    <mergeCell ref="P2288:S2288"/>
    <mergeCell ref="P2289:S2289"/>
    <mergeCell ref="P2290:S2290"/>
    <mergeCell ref="P2291:S2291"/>
    <mergeCell ref="P2292:S2292"/>
    <mergeCell ref="P2293:S2293"/>
    <mergeCell ref="P2294:S2294"/>
    <mergeCell ref="P2295:S2295"/>
    <mergeCell ref="P1674:R1674"/>
    <mergeCell ref="P1675:R1675"/>
    <mergeCell ref="P1676:R1676"/>
    <mergeCell ref="P1677:R1677"/>
    <mergeCell ref="P1678:R1678"/>
    <mergeCell ref="P1679:R1679"/>
    <mergeCell ref="P1680:R1680"/>
    <mergeCell ref="P1681:R1681"/>
    <mergeCell ref="P1682:R1682"/>
    <mergeCell ref="P1683:R1683"/>
    <mergeCell ref="P1684:R1684"/>
    <mergeCell ref="P1685:R1685"/>
    <mergeCell ref="P1686:R1686"/>
    <mergeCell ref="P1687:R1687"/>
    <mergeCell ref="P1688:R1688"/>
    <mergeCell ref="P1689:R1689"/>
    <mergeCell ref="P1690:R1690"/>
    <mergeCell ref="P1691:R1691"/>
    <mergeCell ref="P1692:R1692"/>
    <mergeCell ref="P1693:R1693"/>
    <mergeCell ref="P1694:R1694"/>
    <mergeCell ref="P1695:R1695"/>
    <mergeCell ref="P1696:R1696"/>
    <mergeCell ref="P1697:R1697"/>
    <mergeCell ref="P1698:R1698"/>
    <mergeCell ref="P1699:R1699"/>
    <mergeCell ref="P1700:R1700"/>
    <mergeCell ref="P1701:R1701"/>
    <mergeCell ref="P1702:R1702"/>
    <mergeCell ref="P1703:R1703"/>
    <mergeCell ref="P1704:R1704"/>
    <mergeCell ref="P1705:R1705"/>
    <mergeCell ref="P1706:R1706"/>
    <mergeCell ref="P1707:R1707"/>
    <mergeCell ref="P1708:R1708"/>
    <mergeCell ref="P1709:R1709"/>
    <mergeCell ref="P1710:R1710"/>
    <mergeCell ref="P1711:R1711"/>
    <mergeCell ref="P1712:R1712"/>
    <mergeCell ref="P1713:R1713"/>
    <mergeCell ref="P1714:R1714"/>
    <mergeCell ref="P1715:R1715"/>
    <mergeCell ref="P1716:R1716"/>
    <mergeCell ref="P1717:R1717"/>
    <mergeCell ref="P1718:R1718"/>
    <mergeCell ref="P1719:R1719"/>
    <mergeCell ref="P1720:R1720"/>
    <mergeCell ref="P1721:R1721"/>
    <mergeCell ref="P1722:R1722"/>
    <mergeCell ref="P1723:R1723"/>
    <mergeCell ref="P1724:R1724"/>
    <mergeCell ref="P1725:R1725"/>
    <mergeCell ref="P1726:R1726"/>
    <mergeCell ref="P1727:R1727"/>
    <mergeCell ref="P1728:R1728"/>
    <mergeCell ref="P1729:R1729"/>
    <mergeCell ref="P1730:R1730"/>
    <mergeCell ref="P1731:R1731"/>
    <mergeCell ref="P1732:R1732"/>
    <mergeCell ref="P1733:R1733"/>
    <mergeCell ref="P1734:R1734"/>
    <mergeCell ref="P1735:R1735"/>
    <mergeCell ref="P1736:R1736"/>
    <mergeCell ref="P1737:R1737"/>
    <mergeCell ref="P1738:R1738"/>
    <mergeCell ref="P1739:R1739"/>
    <mergeCell ref="P1740:R1740"/>
    <mergeCell ref="P1741:R1741"/>
    <mergeCell ref="P1742:R1742"/>
    <mergeCell ref="P1743:R1743"/>
    <mergeCell ref="P1744:R1744"/>
    <mergeCell ref="P1745:R1745"/>
    <mergeCell ref="P1746:R1746"/>
    <mergeCell ref="P1747:R1747"/>
    <mergeCell ref="P1748:R1748"/>
    <mergeCell ref="P1749:R1749"/>
    <mergeCell ref="P1750:R1750"/>
    <mergeCell ref="P1751:R1751"/>
    <mergeCell ref="P1752:R1752"/>
    <mergeCell ref="P1753:R1753"/>
    <mergeCell ref="P1754:R1754"/>
    <mergeCell ref="P1755:R1755"/>
    <mergeCell ref="P1756:R1756"/>
    <mergeCell ref="P1757:R1757"/>
    <mergeCell ref="P1758:R1758"/>
    <mergeCell ref="P1759:R1759"/>
    <mergeCell ref="P1760:R1760"/>
    <mergeCell ref="P1761:R1761"/>
    <mergeCell ref="P1762:R1762"/>
    <mergeCell ref="P1763:R1763"/>
    <mergeCell ref="P1764:R1764"/>
    <mergeCell ref="P1765:R1765"/>
    <mergeCell ref="P1766:R1766"/>
    <mergeCell ref="P1767:R1767"/>
    <mergeCell ref="P1768:R1768"/>
    <mergeCell ref="P1769:R1769"/>
    <mergeCell ref="P1770:R1770"/>
    <mergeCell ref="P1771:R1771"/>
    <mergeCell ref="P1772:R1772"/>
    <mergeCell ref="P1773:R1773"/>
    <mergeCell ref="P1774:R1774"/>
    <mergeCell ref="P1775:R1775"/>
    <mergeCell ref="P1776:R1776"/>
    <mergeCell ref="P1777:R1777"/>
    <mergeCell ref="P1778:R1778"/>
    <mergeCell ref="P1779:R1779"/>
    <mergeCell ref="P1780:R1780"/>
    <mergeCell ref="P1781:R1781"/>
    <mergeCell ref="P1782:R1782"/>
    <mergeCell ref="P1783:R1783"/>
    <mergeCell ref="P1784:R1784"/>
    <mergeCell ref="P1785:R1785"/>
    <mergeCell ref="P1786:R1786"/>
    <mergeCell ref="P1787:R1787"/>
    <mergeCell ref="P1788:R1788"/>
    <mergeCell ref="P1789:R1789"/>
    <mergeCell ref="P1790:R1790"/>
    <mergeCell ref="P1791:R1791"/>
    <mergeCell ref="P1792:R1792"/>
    <mergeCell ref="P1793:R1793"/>
    <mergeCell ref="P1794:R1794"/>
    <mergeCell ref="P1795:R1795"/>
    <mergeCell ref="P1796:R1796"/>
    <mergeCell ref="P1797:R1797"/>
    <mergeCell ref="P1798:R1798"/>
    <mergeCell ref="P1799:R1799"/>
    <mergeCell ref="P1800:R1800"/>
    <mergeCell ref="P1801:R1801"/>
    <mergeCell ref="P1802:R1802"/>
    <mergeCell ref="P1803:R1803"/>
    <mergeCell ref="P1804:R1804"/>
    <mergeCell ref="P1805:R1805"/>
    <mergeCell ref="P1806:R1806"/>
    <mergeCell ref="P1807:R1807"/>
    <mergeCell ref="P1808:R1808"/>
    <mergeCell ref="P1809:R1809"/>
    <mergeCell ref="P1810:R1810"/>
    <mergeCell ref="P1811:R1811"/>
    <mergeCell ref="P1812:R1812"/>
    <mergeCell ref="P1813:R1813"/>
    <mergeCell ref="P1814:R1814"/>
    <mergeCell ref="P1815:R1815"/>
    <mergeCell ref="P1816:R1816"/>
    <mergeCell ref="P1817:R1817"/>
    <mergeCell ref="P1818:R1818"/>
    <mergeCell ref="P1819:R1819"/>
    <mergeCell ref="P1820:R1820"/>
    <mergeCell ref="P1821:R1821"/>
    <mergeCell ref="P1822:R1822"/>
    <mergeCell ref="P1823:R1823"/>
    <mergeCell ref="P1824:R1824"/>
    <mergeCell ref="P1825:R1825"/>
    <mergeCell ref="P1826:R1826"/>
    <mergeCell ref="P1827:R1827"/>
    <mergeCell ref="P1828:R1828"/>
    <mergeCell ref="P1829:R1829"/>
    <mergeCell ref="P1830:R1830"/>
    <mergeCell ref="P1831:R1831"/>
    <mergeCell ref="P1832:R1832"/>
    <mergeCell ref="P1833:R1833"/>
    <mergeCell ref="P1834:R1834"/>
    <mergeCell ref="P1835:R1835"/>
    <mergeCell ref="P1836:R1836"/>
    <mergeCell ref="P1837:R1837"/>
    <mergeCell ref="P1838:R1838"/>
    <mergeCell ref="P1839:R1839"/>
    <mergeCell ref="P1840:R1840"/>
    <mergeCell ref="P1841:R1841"/>
    <mergeCell ref="P1842:R1842"/>
    <mergeCell ref="P1843:R1843"/>
    <mergeCell ref="P1844:R1844"/>
    <mergeCell ref="P1845:R1845"/>
    <mergeCell ref="P1846:R1846"/>
    <mergeCell ref="P1847:R1847"/>
    <mergeCell ref="P1848:R1848"/>
    <mergeCell ref="P1849:R1849"/>
    <mergeCell ref="P1850:R1850"/>
    <mergeCell ref="P1851:R1851"/>
    <mergeCell ref="P1852:R1852"/>
    <mergeCell ref="P1853:R1853"/>
    <mergeCell ref="P1854:R1854"/>
    <mergeCell ref="P1855:R1855"/>
    <mergeCell ref="P1856:R1856"/>
    <mergeCell ref="P1857:R1857"/>
    <mergeCell ref="P1858:R1858"/>
    <mergeCell ref="P1859:R1859"/>
    <mergeCell ref="P1860:R1860"/>
    <mergeCell ref="P1861:R1861"/>
    <mergeCell ref="P1862:R1862"/>
    <mergeCell ref="P1863:R1863"/>
    <mergeCell ref="P1864:R1864"/>
    <mergeCell ref="P1865:R1865"/>
    <mergeCell ref="P1866:R1866"/>
    <mergeCell ref="P1867:R1867"/>
    <mergeCell ref="P1868:R1868"/>
    <mergeCell ref="P1869:R1869"/>
    <mergeCell ref="P1870:R1870"/>
    <mergeCell ref="P1871:R1871"/>
    <mergeCell ref="P1872:R1872"/>
    <mergeCell ref="P1873:R1873"/>
    <mergeCell ref="P1874:R1874"/>
    <mergeCell ref="P1875:R1875"/>
    <mergeCell ref="P1876:R1876"/>
    <mergeCell ref="P1877:R1877"/>
    <mergeCell ref="P1878:R1878"/>
    <mergeCell ref="P1879:R1879"/>
    <mergeCell ref="P1880:R1880"/>
    <mergeCell ref="P1881:R1881"/>
    <mergeCell ref="P1882:R1882"/>
    <mergeCell ref="P1883:R1883"/>
    <mergeCell ref="P1884:R1884"/>
    <mergeCell ref="P1885:R1885"/>
    <mergeCell ref="P1886:R1886"/>
    <mergeCell ref="P1887:R1887"/>
    <mergeCell ref="P1888:R1888"/>
    <mergeCell ref="P1889:R1889"/>
    <mergeCell ref="P1890:R1890"/>
    <mergeCell ref="P1891:R1891"/>
    <mergeCell ref="P1892:R1892"/>
    <mergeCell ref="P1893:R1893"/>
    <mergeCell ref="P1894:R1894"/>
    <mergeCell ref="P1895:R1895"/>
    <mergeCell ref="P1896:R1896"/>
    <mergeCell ref="P1897:R1897"/>
    <mergeCell ref="P1898:R1898"/>
    <mergeCell ref="P1899:R1899"/>
    <mergeCell ref="P1900:R1900"/>
    <mergeCell ref="P1901:R1901"/>
    <mergeCell ref="P1902:R1902"/>
    <mergeCell ref="P1903:R1903"/>
    <mergeCell ref="P1904:R1904"/>
    <mergeCell ref="P1905:R1905"/>
    <mergeCell ref="P1906:R1906"/>
    <mergeCell ref="P1907:R1907"/>
    <mergeCell ref="P1908:R1908"/>
    <mergeCell ref="P1909:R1909"/>
    <mergeCell ref="P1910:R1910"/>
    <mergeCell ref="P1911:R1911"/>
    <mergeCell ref="P1912:R1912"/>
    <mergeCell ref="P1913:R1913"/>
    <mergeCell ref="P1914:R1914"/>
    <mergeCell ref="P1915:R1915"/>
    <mergeCell ref="P1916:R1916"/>
    <mergeCell ref="P1917:R1917"/>
    <mergeCell ref="P1918:R1918"/>
    <mergeCell ref="P1919:R1919"/>
    <mergeCell ref="P1920:R1920"/>
    <mergeCell ref="P1921:R1921"/>
    <mergeCell ref="P1922:R1922"/>
    <mergeCell ref="P1923:R1923"/>
    <mergeCell ref="P1924:R1924"/>
    <mergeCell ref="P1925:R1925"/>
    <mergeCell ref="P1926:R1926"/>
    <mergeCell ref="P1927:R1927"/>
    <mergeCell ref="P1928:R1928"/>
    <mergeCell ref="P1929:R1929"/>
    <mergeCell ref="P1930:R1930"/>
    <mergeCell ref="P1950:R1950"/>
    <mergeCell ref="P1951:R1951"/>
    <mergeCell ref="P1952:R1952"/>
    <mergeCell ref="P1953:R1953"/>
    <mergeCell ref="P1960:R1960"/>
    <mergeCell ref="P1961:R1961"/>
    <mergeCell ref="P1962:R1962"/>
    <mergeCell ref="P1963:R1963"/>
    <mergeCell ref="P1964:R1964"/>
    <mergeCell ref="P1965:R1965"/>
    <mergeCell ref="P1966:R1966"/>
    <mergeCell ref="P1967:R1967"/>
    <mergeCell ref="P1968:R1968"/>
    <mergeCell ref="P1969:R1969"/>
    <mergeCell ref="P1970:R1970"/>
    <mergeCell ref="P1971:R1971"/>
    <mergeCell ref="P1972:R1972"/>
    <mergeCell ref="P1973:R1973"/>
    <mergeCell ref="P1974:R1974"/>
    <mergeCell ref="P1975:R1975"/>
    <mergeCell ref="P1976:R1976"/>
    <mergeCell ref="P1977:R1977"/>
    <mergeCell ref="P1978:R1978"/>
    <mergeCell ref="P1979:R1979"/>
    <mergeCell ref="P1980:R1980"/>
    <mergeCell ref="P1981:R1981"/>
    <mergeCell ref="P1982:R1982"/>
    <mergeCell ref="P1983:R1983"/>
    <mergeCell ref="P1984:R1984"/>
    <mergeCell ref="P2049:R2049"/>
    <mergeCell ref="P2050:R2050"/>
    <mergeCell ref="P2051:R2051"/>
    <mergeCell ref="P2052:R2052"/>
    <mergeCell ref="P2053:R2053"/>
    <mergeCell ref="P2054:R2054"/>
    <mergeCell ref="P2055:R2055"/>
    <mergeCell ref="P2056:R2056"/>
    <mergeCell ref="P2057:R2057"/>
    <mergeCell ref="P2058:R2058"/>
    <mergeCell ref="P2059:R2059"/>
    <mergeCell ref="P2074:R2074"/>
    <mergeCell ref="P2075:R2075"/>
    <mergeCell ref="P2076:R2076"/>
    <mergeCell ref="P2077:R2077"/>
    <mergeCell ref="P2078:R2078"/>
    <mergeCell ref="P2079:R2079"/>
    <mergeCell ref="P2080:R2080"/>
    <mergeCell ref="P2081:R2081"/>
    <mergeCell ref="P2082:R2082"/>
    <mergeCell ref="P2083:R2083"/>
    <mergeCell ref="P2084:R2084"/>
    <mergeCell ref="P2085:R2085"/>
    <mergeCell ref="P2086:R2086"/>
    <mergeCell ref="P2087:R2087"/>
    <mergeCell ref="P2088:R2088"/>
    <mergeCell ref="P2089:R2089"/>
    <mergeCell ref="P2090:R2090"/>
    <mergeCell ref="P2091:R2091"/>
    <mergeCell ref="P2092:R2092"/>
    <mergeCell ref="P2093:R2093"/>
    <mergeCell ref="P2094:R2094"/>
    <mergeCell ref="P2095:R2095"/>
    <mergeCell ref="P2096:R2096"/>
    <mergeCell ref="P2127:R2127"/>
    <mergeCell ref="P2133:R2133"/>
    <mergeCell ref="P2134:R2134"/>
    <mergeCell ref="P2135:R2135"/>
    <mergeCell ref="P2136:R2136"/>
    <mergeCell ref="P2137:R2137"/>
    <mergeCell ref="P2138:R2138"/>
    <mergeCell ref="P2139:R2139"/>
    <mergeCell ref="P2140:R2140"/>
    <mergeCell ref="P2141:R2141"/>
    <mergeCell ref="P2142:R2142"/>
    <mergeCell ref="P2143:R2143"/>
    <mergeCell ref="P2144:R2144"/>
    <mergeCell ref="P2145:R2145"/>
    <mergeCell ref="P2146:R2146"/>
    <mergeCell ref="P2147:R2147"/>
    <mergeCell ref="P2148:R2148"/>
    <mergeCell ref="P2149:R2149"/>
    <mergeCell ref="P2150:R2150"/>
    <mergeCell ref="P2151:R2151"/>
    <mergeCell ref="P2152:R2152"/>
    <mergeCell ref="P2153:R2153"/>
    <mergeCell ref="P2154:R2154"/>
  </mergeCells>
  <conditionalFormatting sqref="A1065 C1065:X1065 Z1065:AA1065">
    <cfRule type="notContainsBlanks" dxfId="5" priority="1">
      <formula>LEN(TRIM(A1065))&gt;0</formula>
    </cfRule>
  </conditionalFormatting>
  <hyperlinks>
    <hyperlink r:id="rId1" ref="B940"/>
    <hyperlink r:id="rId2" ref="B1006"/>
  </hyperlinks>
  <printOptions/>
  <pageMargins bottom="0.75" footer="0.0" header="0.0" left="0.7" right="0.7" top="0.75"/>
  <pageSetup orientation="landscape"/>
  <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</cols>
  <sheetData>
    <row r="1">
      <c r="A1" s="99" t="s">
        <v>98</v>
      </c>
    </row>
    <row r="2">
      <c r="A2" s="117" t="s">
        <v>3666</v>
      </c>
    </row>
    <row r="3">
      <c r="A3" s="1" t="s">
        <v>3565</v>
      </c>
    </row>
    <row r="4">
      <c r="A4" s="115" t="s">
        <v>3567</v>
      </c>
    </row>
    <row r="5">
      <c r="A5" s="117" t="s">
        <v>3668</v>
      </c>
    </row>
    <row r="6">
      <c r="A6" s="1" t="s">
        <v>3569</v>
      </c>
    </row>
    <row r="7">
      <c r="A7" s="117" t="s">
        <v>3670</v>
      </c>
    </row>
    <row r="8">
      <c r="A8" s="117" t="s">
        <v>3671</v>
      </c>
    </row>
    <row r="9">
      <c r="A9" s="117" t="s">
        <v>3673</v>
      </c>
    </row>
    <row r="10">
      <c r="A10" s="117" t="s">
        <v>3674</v>
      </c>
    </row>
    <row r="11">
      <c r="A11" s="1" t="s">
        <v>3571</v>
      </c>
    </row>
    <row r="12">
      <c r="A12" s="115" t="s">
        <v>3573</v>
      </c>
    </row>
    <row r="13">
      <c r="A13" s="1" t="s">
        <v>3575</v>
      </c>
    </row>
    <row r="14">
      <c r="A14" s="1" t="s">
        <v>3577</v>
      </c>
    </row>
    <row r="15">
      <c r="A15" s="117" t="s">
        <v>3675</v>
      </c>
    </row>
    <row r="16">
      <c r="A16" s="117" t="s">
        <v>3677</v>
      </c>
    </row>
    <row r="17">
      <c r="A17" s="1" t="s">
        <v>3579</v>
      </c>
    </row>
    <row r="18">
      <c r="A18" s="80" t="s">
        <v>4143</v>
      </c>
    </row>
    <row r="19">
      <c r="A19" s="43" t="s">
        <v>121</v>
      </c>
    </row>
    <row r="20">
      <c r="A20" s="80" t="s">
        <v>4568</v>
      </c>
    </row>
    <row r="21">
      <c r="A21" s="80" t="s">
        <v>3943</v>
      </c>
    </row>
    <row r="22">
      <c r="A22" s="80" t="s">
        <v>4376</v>
      </c>
    </row>
    <row r="23">
      <c r="A23" s="80" t="s">
        <v>4506</v>
      </c>
    </row>
    <row r="24">
      <c r="A24" s="1" t="s">
        <v>644</v>
      </c>
    </row>
    <row r="25">
      <c r="A25" s="1" t="s">
        <v>645</v>
      </c>
    </row>
    <row r="26">
      <c r="A26" s="80" t="s">
        <v>4519</v>
      </c>
    </row>
    <row r="27">
      <c r="A27" s="80" t="s">
        <v>4659</v>
      </c>
    </row>
    <row r="28">
      <c r="A28" s="1" t="s">
        <v>646</v>
      </c>
    </row>
    <row r="29">
      <c r="A29" s="80" t="s">
        <v>4733</v>
      </c>
    </row>
    <row r="30">
      <c r="A30" s="1" t="s">
        <v>647</v>
      </c>
    </row>
    <row r="31">
      <c r="A31" s="1" t="s">
        <v>648</v>
      </c>
    </row>
    <row r="32">
      <c r="A32" s="1" t="s">
        <v>649</v>
      </c>
    </row>
    <row r="33">
      <c r="A33" s="1" t="s">
        <v>653</v>
      </c>
    </row>
    <row r="34">
      <c r="A34" s="1" t="s">
        <v>655</v>
      </c>
    </row>
    <row r="35">
      <c r="A35" s="1" t="s">
        <v>660</v>
      </c>
    </row>
    <row r="36">
      <c r="A36" s="80" t="s">
        <v>4357</v>
      </c>
    </row>
    <row r="37">
      <c r="A37" s="131" t="s">
        <v>3802</v>
      </c>
    </row>
    <row r="38">
      <c r="A38" s="80" t="s">
        <v>4361</v>
      </c>
    </row>
    <row r="39">
      <c r="A39" s="80" t="s">
        <v>3931</v>
      </c>
    </row>
    <row r="40">
      <c r="A40" s="68" t="s">
        <v>302</v>
      </c>
    </row>
    <row r="41">
      <c r="A41" s="80" t="s">
        <v>4443</v>
      </c>
    </row>
    <row r="42">
      <c r="A42" s="80" t="s">
        <v>4494</v>
      </c>
    </row>
    <row r="43">
      <c r="A43" s="1" t="s">
        <v>702</v>
      </c>
    </row>
    <row r="44">
      <c r="A44" s="1" t="s">
        <v>704</v>
      </c>
    </row>
    <row r="45">
      <c r="A45" s="80" t="s">
        <v>4591</v>
      </c>
    </row>
    <row r="46">
      <c r="A46" s="1" t="s">
        <v>706</v>
      </c>
    </row>
    <row r="47">
      <c r="A47" s="1" t="s">
        <v>707</v>
      </c>
      <c r="D47" s="154"/>
    </row>
    <row r="48">
      <c r="A48" s="1" t="s">
        <v>708</v>
      </c>
    </row>
    <row r="49">
      <c r="A49" s="1" t="s">
        <v>709</v>
      </c>
    </row>
    <row r="50">
      <c r="A50" s="1" t="s">
        <v>710</v>
      </c>
    </row>
    <row r="51">
      <c r="A51" s="1" t="s">
        <v>711</v>
      </c>
    </row>
    <row r="52">
      <c r="A52" s="1" t="s">
        <v>712</v>
      </c>
    </row>
    <row r="53">
      <c r="A53" s="1" t="s">
        <v>713</v>
      </c>
    </row>
    <row r="54">
      <c r="A54" s="80" t="s">
        <v>4672</v>
      </c>
    </row>
    <row r="55">
      <c r="A55" s="80" t="s">
        <v>4181</v>
      </c>
    </row>
    <row r="56">
      <c r="A56" s="1" t="s">
        <v>719</v>
      </c>
    </row>
    <row r="57">
      <c r="A57" s="1" t="s">
        <v>721</v>
      </c>
    </row>
    <row r="58">
      <c r="A58" s="1" t="s">
        <v>727</v>
      </c>
    </row>
    <row r="59">
      <c r="A59" s="1" t="s">
        <v>732</v>
      </c>
    </row>
    <row r="60">
      <c r="A60" s="1" t="s">
        <v>737</v>
      </c>
    </row>
    <row r="61">
      <c r="A61" s="1" t="s">
        <v>726</v>
      </c>
    </row>
    <row r="62">
      <c r="A62" s="1" t="s">
        <v>738</v>
      </c>
    </row>
    <row r="63">
      <c r="A63" s="1" t="s">
        <v>739</v>
      </c>
    </row>
    <row r="64">
      <c r="A64" s="1" t="s">
        <v>749</v>
      </c>
    </row>
    <row r="65">
      <c r="A65" s="1" t="s">
        <v>744</v>
      </c>
    </row>
    <row r="66">
      <c r="A66" s="80" t="s">
        <v>4275</v>
      </c>
    </row>
    <row r="67">
      <c r="A67" s="1" t="s">
        <v>750</v>
      </c>
    </row>
    <row r="68">
      <c r="A68" s="1" t="s">
        <v>755</v>
      </c>
    </row>
    <row r="69">
      <c r="A69" s="1" t="s">
        <v>760</v>
      </c>
    </row>
    <row r="70">
      <c r="A70" s="1" t="s">
        <v>764</v>
      </c>
    </row>
    <row r="71">
      <c r="A71" s="1" t="s">
        <v>769</v>
      </c>
    </row>
    <row r="72">
      <c r="A72" s="1" t="s">
        <v>774</v>
      </c>
    </row>
    <row r="73">
      <c r="A73" s="1" t="s">
        <v>3510</v>
      </c>
    </row>
    <row r="74">
      <c r="A74" s="1" t="s">
        <v>776</v>
      </c>
    </row>
    <row r="75">
      <c r="A75" s="80" t="s">
        <v>4103</v>
      </c>
    </row>
    <row r="76">
      <c r="A76" s="131" t="s">
        <v>3818</v>
      </c>
    </row>
    <row r="77">
      <c r="A77" s="1" t="s">
        <v>778</v>
      </c>
    </row>
    <row r="78">
      <c r="A78" s="1" t="s">
        <v>784</v>
      </c>
    </row>
    <row r="79">
      <c r="A79" s="1" t="s">
        <v>786</v>
      </c>
    </row>
    <row r="80">
      <c r="A80" s="1" t="s">
        <v>788</v>
      </c>
    </row>
    <row r="81">
      <c r="A81" s="1" t="s">
        <v>789</v>
      </c>
    </row>
    <row r="82">
      <c r="A82" s="1" t="s">
        <v>793</v>
      </c>
    </row>
    <row r="83">
      <c r="A83" s="1" t="s">
        <v>782</v>
      </c>
      <c r="D83" s="154"/>
    </row>
    <row r="84">
      <c r="A84" s="1" t="s">
        <v>794</v>
      </c>
    </row>
    <row r="85">
      <c r="A85" s="1" t="s">
        <v>796</v>
      </c>
    </row>
    <row r="86">
      <c r="A86" s="1" t="s">
        <v>798</v>
      </c>
    </row>
    <row r="87">
      <c r="A87" s="1" t="s">
        <v>802</v>
      </c>
    </row>
    <row r="88">
      <c r="A88" s="1" t="s">
        <v>803</v>
      </c>
    </row>
    <row r="89">
      <c r="A89" s="1" t="s">
        <v>804</v>
      </c>
    </row>
    <row r="90">
      <c r="A90" s="1" t="s">
        <v>809</v>
      </c>
    </row>
    <row r="91">
      <c r="A91" s="1" t="s">
        <v>814</v>
      </c>
    </row>
    <row r="92">
      <c r="A92" s="1" t="s">
        <v>819</v>
      </c>
    </row>
    <row r="93">
      <c r="A93" s="1" t="s">
        <v>821</v>
      </c>
    </row>
    <row r="94">
      <c r="A94" s="1" t="s">
        <v>826</v>
      </c>
    </row>
    <row r="95">
      <c r="A95" s="1" t="s">
        <v>833</v>
      </c>
    </row>
    <row r="96">
      <c r="A96" s="1" t="s">
        <v>838</v>
      </c>
    </row>
    <row r="97">
      <c r="A97" s="1" t="s">
        <v>843</v>
      </c>
    </row>
    <row r="98">
      <c r="A98" s="1" t="s">
        <v>844</v>
      </c>
    </row>
    <row r="99">
      <c r="A99" s="1" t="s">
        <v>831</v>
      </c>
    </row>
    <row r="100">
      <c r="A100" s="1" t="s">
        <v>849</v>
      </c>
    </row>
    <row r="101">
      <c r="A101" s="1" t="s">
        <v>850</v>
      </c>
    </row>
    <row r="102">
      <c r="A102" s="1" t="s">
        <v>852</v>
      </c>
    </row>
    <row r="103">
      <c r="A103" s="1" t="s">
        <v>857</v>
      </c>
    </row>
    <row r="104">
      <c r="A104" s="1" t="s">
        <v>862</v>
      </c>
    </row>
    <row r="105">
      <c r="A105" s="1" t="s">
        <v>864</v>
      </c>
    </row>
    <row r="106">
      <c r="A106" s="1" t="s">
        <v>869</v>
      </c>
    </row>
    <row r="107">
      <c r="A107" s="1" t="s">
        <v>874</v>
      </c>
    </row>
    <row r="108">
      <c r="A108" s="1" t="s">
        <v>876</v>
      </c>
    </row>
    <row r="109">
      <c r="A109" s="1" t="s">
        <v>878</v>
      </c>
    </row>
    <row r="110">
      <c r="A110" s="1" t="s">
        <v>879</v>
      </c>
    </row>
    <row r="111">
      <c r="A111" s="1" t="s">
        <v>881</v>
      </c>
    </row>
    <row r="112">
      <c r="A112" s="43" t="s">
        <v>122</v>
      </c>
    </row>
    <row r="113">
      <c r="A113" s="1" t="s">
        <v>665</v>
      </c>
    </row>
    <row r="114">
      <c r="A114" s="1" t="s">
        <v>666</v>
      </c>
    </row>
    <row r="115">
      <c r="A115" s="1" t="s">
        <v>667</v>
      </c>
    </row>
    <row r="116">
      <c r="A116" s="1" t="s">
        <v>668</v>
      </c>
    </row>
    <row r="117">
      <c r="A117" s="1" t="s">
        <v>670</v>
      </c>
    </row>
    <row r="118">
      <c r="A118" s="1" t="s">
        <v>664</v>
      </c>
    </row>
    <row r="119">
      <c r="A119" s="131" t="s">
        <v>3784</v>
      </c>
    </row>
    <row r="120">
      <c r="A120" s="80" t="s">
        <v>4713</v>
      </c>
    </row>
    <row r="121">
      <c r="A121" s="68" t="s">
        <v>469</v>
      </c>
    </row>
    <row r="122">
      <c r="A122" s="80" t="s">
        <v>4409</v>
      </c>
    </row>
    <row r="123">
      <c r="A123" s="117" t="s">
        <v>3679</v>
      </c>
    </row>
    <row r="124">
      <c r="A124" s="131" t="s">
        <v>3804</v>
      </c>
    </row>
    <row r="125">
      <c r="A125" s="1" t="s">
        <v>3581</v>
      </c>
    </row>
    <row r="126">
      <c r="A126" s="1" t="s">
        <v>672</v>
      </c>
    </row>
    <row r="127">
      <c r="A127" s="1" t="s">
        <v>674</v>
      </c>
    </row>
    <row r="128">
      <c r="A128" s="1" t="s">
        <v>678</v>
      </c>
    </row>
    <row r="129">
      <c r="A129" s="1" t="s">
        <v>683</v>
      </c>
    </row>
    <row r="130">
      <c r="A130" s="131" t="s">
        <v>3806</v>
      </c>
    </row>
    <row r="131">
      <c r="A131" s="1" t="s">
        <v>685</v>
      </c>
    </row>
    <row r="132">
      <c r="A132" s="131" t="s">
        <v>3808</v>
      </c>
    </row>
    <row r="133">
      <c r="A133" s="1" t="s">
        <v>691</v>
      </c>
    </row>
    <row r="134">
      <c r="A134" s="1" t="s">
        <v>696</v>
      </c>
    </row>
    <row r="135">
      <c r="A135" s="43" t="s">
        <v>123</v>
      </c>
    </row>
    <row r="136">
      <c r="A136" s="1" t="s">
        <v>686</v>
      </c>
    </row>
    <row r="137">
      <c r="A137" s="131" t="s">
        <v>3809</v>
      </c>
    </row>
    <row r="138">
      <c r="A138" s="1" t="s">
        <v>697</v>
      </c>
    </row>
    <row r="139">
      <c r="A139" s="1" t="s">
        <v>698</v>
      </c>
    </row>
    <row r="140">
      <c r="A140" s="131" t="s">
        <v>3811</v>
      </c>
    </row>
    <row r="141">
      <c r="A141" s="1" t="s">
        <v>3583</v>
      </c>
    </row>
    <row r="142">
      <c r="A142" s="1" t="s">
        <v>699</v>
      </c>
    </row>
    <row r="143">
      <c r="A143" s="131" t="s">
        <v>3814</v>
      </c>
    </row>
    <row r="144">
      <c r="A144" s="131" t="s">
        <v>3816</v>
      </c>
    </row>
    <row r="145">
      <c r="A145" s="43" t="s">
        <v>124</v>
      </c>
    </row>
    <row r="146">
      <c r="A146" s="1" t="s">
        <v>700</v>
      </c>
    </row>
    <row r="147">
      <c r="A147" s="1" t="s">
        <v>715</v>
      </c>
    </row>
    <row r="148">
      <c r="A148" s="1" t="s">
        <v>882</v>
      </c>
    </row>
    <row r="149">
      <c r="A149" s="1" t="s">
        <v>3585</v>
      </c>
    </row>
    <row r="150">
      <c r="A150" s="1" t="s">
        <v>899</v>
      </c>
    </row>
    <row r="151">
      <c r="A151" s="131" t="s">
        <v>3820</v>
      </c>
    </row>
    <row r="152">
      <c r="A152" s="80" t="s">
        <v>4488</v>
      </c>
    </row>
    <row r="153">
      <c r="A153" s="1" t="s">
        <v>900</v>
      </c>
    </row>
    <row r="154">
      <c r="A154" s="1" t="s">
        <v>3511</v>
      </c>
    </row>
    <row r="155">
      <c r="A155" s="1" t="s">
        <v>904</v>
      </c>
    </row>
    <row r="156">
      <c r="A156" s="68" t="s">
        <v>414</v>
      </c>
    </row>
    <row r="157">
      <c r="A157" s="1" t="s">
        <v>908</v>
      </c>
    </row>
    <row r="158">
      <c r="A158" s="1" t="s">
        <v>912</v>
      </c>
    </row>
    <row r="159">
      <c r="A159" s="131" t="s">
        <v>3822</v>
      </c>
    </row>
    <row r="160">
      <c r="A160" s="80" t="s">
        <v>4737</v>
      </c>
    </row>
    <row r="161">
      <c r="A161" s="1" t="s">
        <v>3512</v>
      </c>
    </row>
    <row r="162">
      <c r="A162" s="1" t="s">
        <v>947</v>
      </c>
    </row>
    <row r="163">
      <c r="A163" s="80" t="s">
        <v>4012</v>
      </c>
    </row>
    <row r="164">
      <c r="A164" s="1" t="s">
        <v>952</v>
      </c>
    </row>
    <row r="165">
      <c r="A165" s="1" t="s">
        <v>957</v>
      </c>
    </row>
    <row r="166">
      <c r="A166" s="1" t="s">
        <v>961</v>
      </c>
    </row>
    <row r="167">
      <c r="A167" s="1" t="s">
        <v>965</v>
      </c>
    </row>
    <row r="168">
      <c r="A168" s="1" t="s">
        <v>3513</v>
      </c>
    </row>
    <row r="169">
      <c r="A169" s="80" t="s">
        <v>4390</v>
      </c>
    </row>
    <row r="170">
      <c r="A170" s="1" t="s">
        <v>969</v>
      </c>
    </row>
    <row r="171">
      <c r="A171" s="155" t="s">
        <v>206</v>
      </c>
    </row>
    <row r="172">
      <c r="A172" s="155" t="s">
        <v>200</v>
      </c>
    </row>
    <row r="173">
      <c r="A173" s="1" t="s">
        <v>972</v>
      </c>
    </row>
    <row r="174">
      <c r="A174" s="1" t="s">
        <v>977</v>
      </c>
    </row>
    <row r="175">
      <c r="A175" s="1" t="s">
        <v>978</v>
      </c>
    </row>
    <row r="176">
      <c r="A176" s="1" t="s">
        <v>980</v>
      </c>
    </row>
    <row r="177">
      <c r="A177" s="1" t="s">
        <v>985</v>
      </c>
    </row>
    <row r="178">
      <c r="A178" s="1" t="s">
        <v>989</v>
      </c>
    </row>
    <row r="179">
      <c r="A179" s="1" t="s">
        <v>993</v>
      </c>
    </row>
    <row r="180">
      <c r="A180" s="1" t="s">
        <v>998</v>
      </c>
    </row>
    <row r="181">
      <c r="A181" s="1" t="s">
        <v>1003</v>
      </c>
    </row>
    <row r="182">
      <c r="A182" s="1" t="s">
        <v>1006</v>
      </c>
    </row>
    <row r="183">
      <c r="A183" s="1" t="s">
        <v>3589</v>
      </c>
    </row>
    <row r="184">
      <c r="A184" s="1" t="s">
        <v>3514</v>
      </c>
    </row>
    <row r="185">
      <c r="A185" s="1" t="s">
        <v>1011</v>
      </c>
    </row>
    <row r="186">
      <c r="A186" s="155" t="s">
        <v>207</v>
      </c>
    </row>
    <row r="187">
      <c r="A187" s="155" t="s">
        <v>202</v>
      </c>
    </row>
    <row r="188">
      <c r="A188" s="2" t="s">
        <v>175</v>
      </c>
    </row>
    <row r="189">
      <c r="A189" s="1" t="s">
        <v>1013</v>
      </c>
    </row>
    <row r="190">
      <c r="A190" s="1" t="s">
        <v>1015</v>
      </c>
    </row>
    <row r="191">
      <c r="A191" s="80" t="s">
        <v>4111</v>
      </c>
    </row>
    <row r="192">
      <c r="A192" s="43" t="s">
        <v>125</v>
      </c>
    </row>
    <row r="193">
      <c r="A193" s="80" t="s">
        <v>4049</v>
      </c>
    </row>
    <row r="194">
      <c r="A194" s="1" t="s">
        <v>1016</v>
      </c>
    </row>
    <row r="195">
      <c r="A195" s="1" t="s">
        <v>1020</v>
      </c>
    </row>
    <row r="196">
      <c r="A196" s="117" t="s">
        <v>3680</v>
      </c>
    </row>
    <row r="197">
      <c r="A197" s="2" t="s">
        <v>164</v>
      </c>
    </row>
    <row r="198">
      <c r="A198" s="1" t="s">
        <v>1022</v>
      </c>
    </row>
    <row r="199">
      <c r="A199" s="1" t="s">
        <v>1028</v>
      </c>
    </row>
    <row r="200">
      <c r="A200" s="117" t="s">
        <v>3682</v>
      </c>
    </row>
    <row r="201">
      <c r="A201" s="1" t="s">
        <v>1033</v>
      </c>
    </row>
    <row r="202">
      <c r="A202" s="1" t="s">
        <v>1038</v>
      </c>
    </row>
    <row r="203">
      <c r="A203" s="1" t="s">
        <v>1039</v>
      </c>
    </row>
    <row r="204">
      <c r="A204" s="80" t="s">
        <v>4206</v>
      </c>
    </row>
    <row r="205">
      <c r="A205" s="1" t="s">
        <v>1041</v>
      </c>
    </row>
    <row r="206">
      <c r="A206" s="1" t="s">
        <v>1046</v>
      </c>
    </row>
    <row r="207">
      <c r="A207" s="1" t="s">
        <v>3587</v>
      </c>
    </row>
    <row r="208">
      <c r="A208" s="1" t="s">
        <v>887</v>
      </c>
    </row>
    <row r="209">
      <c r="A209" s="1" t="s">
        <v>889</v>
      </c>
    </row>
    <row r="210">
      <c r="A210" s="131" t="s">
        <v>3786</v>
      </c>
    </row>
    <row r="211">
      <c r="A211" s="1" t="s">
        <v>894</v>
      </c>
    </row>
    <row r="212">
      <c r="A212" s="1" t="s">
        <v>917</v>
      </c>
    </row>
    <row r="213">
      <c r="A213" s="1" t="s">
        <v>922</v>
      </c>
    </row>
    <row r="214">
      <c r="A214" s="1" t="s">
        <v>927</v>
      </c>
    </row>
    <row r="215">
      <c r="A215" s="1" t="s">
        <v>1766</v>
      </c>
    </row>
    <row r="216">
      <c r="A216" s="1" t="s">
        <v>932</v>
      </c>
    </row>
    <row r="217">
      <c r="A217" s="1" t="s">
        <v>937</v>
      </c>
    </row>
    <row r="218">
      <c r="A218" s="43" t="s">
        <v>126</v>
      </c>
    </row>
    <row r="219">
      <c r="A219" s="1" t="s">
        <v>942</v>
      </c>
    </row>
    <row r="220">
      <c r="A220" s="1" t="s">
        <v>1024</v>
      </c>
    </row>
    <row r="221">
      <c r="A221" s="1" t="s">
        <v>896</v>
      </c>
    </row>
    <row r="222">
      <c r="A222" s="1" t="s">
        <v>897</v>
      </c>
    </row>
    <row r="223">
      <c r="A223" s="1" t="s">
        <v>898</v>
      </c>
    </row>
    <row r="224">
      <c r="A224" s="68" t="s">
        <v>471</v>
      </c>
    </row>
    <row r="225">
      <c r="A225" s="68" t="s">
        <v>458</v>
      </c>
    </row>
    <row r="226">
      <c r="A226" s="1" t="s">
        <v>1051</v>
      </c>
    </row>
    <row r="227">
      <c r="A227" s="1" t="s">
        <v>1055</v>
      </c>
    </row>
    <row r="228">
      <c r="A228" s="1" t="s">
        <v>1059</v>
      </c>
    </row>
    <row r="229">
      <c r="A229" s="80" t="s">
        <v>4716</v>
      </c>
    </row>
    <row r="230">
      <c r="A230" s="117" t="s">
        <v>3683</v>
      </c>
    </row>
    <row r="231">
      <c r="A231" s="1" t="s">
        <v>1060</v>
      </c>
    </row>
    <row r="232">
      <c r="A232" s="1" t="s">
        <v>1065</v>
      </c>
    </row>
    <row r="233">
      <c r="A233" s="80" t="s">
        <v>4629</v>
      </c>
    </row>
    <row r="234">
      <c r="A234" s="80" t="s">
        <v>4640</v>
      </c>
    </row>
    <row r="235">
      <c r="A235" s="80" t="s">
        <v>4377</v>
      </c>
    </row>
    <row r="236">
      <c r="A236" s="1" t="s">
        <v>1077</v>
      </c>
    </row>
    <row r="237">
      <c r="A237" s="1" t="s">
        <v>1090</v>
      </c>
    </row>
    <row r="238">
      <c r="A238" s="80" t="s">
        <v>4122</v>
      </c>
    </row>
    <row r="239">
      <c r="A239" s="80" t="s">
        <v>4324</v>
      </c>
    </row>
    <row r="240">
      <c r="A240" s="1" t="s">
        <v>1092</v>
      </c>
    </row>
    <row r="241">
      <c r="A241" s="1" t="s">
        <v>1097</v>
      </c>
    </row>
    <row r="242">
      <c r="A242" s="1" t="s">
        <v>1101</v>
      </c>
    </row>
    <row r="243">
      <c r="A243" s="1" t="s">
        <v>1105</v>
      </c>
    </row>
    <row r="244">
      <c r="A244" s="1" t="s">
        <v>3515</v>
      </c>
    </row>
    <row r="245">
      <c r="A245" s="131" t="s">
        <v>3788</v>
      </c>
    </row>
    <row r="246">
      <c r="A246" s="1" t="s">
        <v>1107</v>
      </c>
    </row>
    <row r="247">
      <c r="A247" s="1" t="s">
        <v>1112</v>
      </c>
    </row>
    <row r="248">
      <c r="A248" s="1" t="s">
        <v>1116</v>
      </c>
    </row>
    <row r="249">
      <c r="A249" s="1" t="s">
        <v>1119</v>
      </c>
    </row>
    <row r="250">
      <c r="A250" s="1" t="s">
        <v>1123</v>
      </c>
    </row>
    <row r="251">
      <c r="A251" s="1" t="s">
        <v>1128</v>
      </c>
    </row>
    <row r="252">
      <c r="A252" s="1" t="s">
        <v>1131</v>
      </c>
    </row>
    <row r="253">
      <c r="A253" s="1" t="s">
        <v>1136</v>
      </c>
    </row>
    <row r="254">
      <c r="A254" s="1" t="s">
        <v>1137</v>
      </c>
    </row>
    <row r="255">
      <c r="A255" s="1" t="s">
        <v>1141</v>
      </c>
    </row>
    <row r="256">
      <c r="A256" s="1" t="s">
        <v>1144</v>
      </c>
    </row>
    <row r="257">
      <c r="A257" s="1" t="s">
        <v>1149</v>
      </c>
    </row>
    <row r="258">
      <c r="A258" s="1" t="s">
        <v>1153</v>
      </c>
    </row>
    <row r="259">
      <c r="A259" s="1" t="s">
        <v>1158</v>
      </c>
    </row>
    <row r="260">
      <c r="A260" s="1" t="s">
        <v>1162</v>
      </c>
    </row>
    <row r="261">
      <c r="A261" s="1" t="s">
        <v>1165</v>
      </c>
    </row>
    <row r="262">
      <c r="A262" s="1" t="s">
        <v>1170</v>
      </c>
    </row>
    <row r="263">
      <c r="A263" s="80" t="s">
        <v>4039</v>
      </c>
    </row>
    <row r="264">
      <c r="A264" s="1" t="s">
        <v>1172</v>
      </c>
    </row>
    <row r="265">
      <c r="A265" s="1" t="s">
        <v>1177</v>
      </c>
    </row>
    <row r="266">
      <c r="A266" s="1" t="s">
        <v>3516</v>
      </c>
    </row>
    <row r="267">
      <c r="A267" s="1" t="s">
        <v>1182</v>
      </c>
    </row>
    <row r="268">
      <c r="A268" s="1" t="s">
        <v>1187</v>
      </c>
    </row>
    <row r="269">
      <c r="A269" s="80" t="s">
        <v>4339</v>
      </c>
    </row>
    <row r="270">
      <c r="A270" s="80" t="s">
        <v>4462</v>
      </c>
    </row>
    <row r="271">
      <c r="A271" s="2" t="s">
        <v>191</v>
      </c>
    </row>
    <row r="272">
      <c r="A272" s="1" t="s">
        <v>1192</v>
      </c>
    </row>
    <row r="273">
      <c r="A273" s="1" t="s">
        <v>1194</v>
      </c>
    </row>
    <row r="274">
      <c r="A274" s="1" t="s">
        <v>1199</v>
      </c>
    </row>
    <row r="275">
      <c r="A275" s="131" t="s">
        <v>3828</v>
      </c>
    </row>
    <row r="276">
      <c r="A276" s="80" t="s">
        <v>315</v>
      </c>
    </row>
    <row r="277">
      <c r="A277" s="115" t="s">
        <v>3591</v>
      </c>
    </row>
    <row r="278">
      <c r="A278" s="80" t="s">
        <v>4722</v>
      </c>
    </row>
    <row r="279">
      <c r="A279" s="1" t="s">
        <v>1203</v>
      </c>
    </row>
    <row r="280">
      <c r="A280" s="1" t="s">
        <v>1205</v>
      </c>
    </row>
    <row r="281">
      <c r="A281" s="1" t="s">
        <v>1210</v>
      </c>
    </row>
    <row r="282">
      <c r="A282" s="1" t="s">
        <v>1215</v>
      </c>
    </row>
    <row r="283">
      <c r="A283" s="80" t="s">
        <v>4675</v>
      </c>
    </row>
    <row r="284">
      <c r="A284" s="68" t="s">
        <v>368</v>
      </c>
    </row>
    <row r="285">
      <c r="A285" s="131" t="s">
        <v>3824</v>
      </c>
    </row>
    <row r="286">
      <c r="A286" s="131" t="s">
        <v>3826</v>
      </c>
    </row>
    <row r="287">
      <c r="A287" s="1" t="s">
        <v>1068</v>
      </c>
    </row>
    <row r="288">
      <c r="A288" s="1" t="s">
        <v>1073</v>
      </c>
    </row>
    <row r="289">
      <c r="A289" s="2" t="s">
        <v>146</v>
      </c>
    </row>
    <row r="290">
      <c r="A290" s="1" t="s">
        <v>1086</v>
      </c>
    </row>
    <row r="291">
      <c r="A291" s="1" t="s">
        <v>3733</v>
      </c>
    </row>
    <row r="292">
      <c r="A292" s="1" t="s">
        <v>1081</v>
      </c>
    </row>
    <row r="293">
      <c r="A293" s="1" t="s">
        <v>1085</v>
      </c>
    </row>
    <row r="294">
      <c r="A294" s="131" t="s">
        <v>3830</v>
      </c>
    </row>
    <row r="295">
      <c r="A295" s="80" t="s">
        <v>4058</v>
      </c>
    </row>
    <row r="296">
      <c r="A296" s="1" t="s">
        <v>1220</v>
      </c>
    </row>
    <row r="297">
      <c r="A297" s="1" t="s">
        <v>1224</v>
      </c>
    </row>
    <row r="298">
      <c r="A298" s="80" t="s">
        <v>4118</v>
      </c>
    </row>
    <row r="299">
      <c r="A299" s="1" t="s">
        <v>3517</v>
      </c>
    </row>
    <row r="300">
      <c r="A300" s="131" t="s">
        <v>3832</v>
      </c>
    </row>
    <row r="301">
      <c r="A301" s="1" t="s">
        <v>1229</v>
      </c>
    </row>
    <row r="302">
      <c r="A302" s="80" t="s">
        <v>4257</v>
      </c>
    </row>
    <row r="303">
      <c r="A303" s="1" t="s">
        <v>1234</v>
      </c>
    </row>
    <row r="304">
      <c r="A304" s="68" t="s">
        <v>311</v>
      </c>
    </row>
    <row r="305">
      <c r="A305" s="80" t="s">
        <v>4146</v>
      </c>
    </row>
    <row r="306">
      <c r="A306" s="2" t="s">
        <v>179</v>
      </c>
    </row>
    <row r="307">
      <c r="A307" s="1" t="s">
        <v>1239</v>
      </c>
    </row>
    <row r="308">
      <c r="A308" s="68" t="s">
        <v>331</v>
      </c>
    </row>
    <row r="309">
      <c r="A309" s="1" t="s">
        <v>1243</v>
      </c>
    </row>
    <row r="310">
      <c r="A310" s="1" t="s">
        <v>1245</v>
      </c>
    </row>
    <row r="311">
      <c r="A311" s="1" t="s">
        <v>1249</v>
      </c>
    </row>
    <row r="312">
      <c r="A312" s="1" t="s">
        <v>1252</v>
      </c>
    </row>
    <row r="313">
      <c r="A313" s="1" t="s">
        <v>1257</v>
      </c>
    </row>
    <row r="314">
      <c r="A314" s="1" t="s">
        <v>1260</v>
      </c>
    </row>
    <row r="315">
      <c r="A315" s="1" t="s">
        <v>1261</v>
      </c>
    </row>
    <row r="316">
      <c r="A316" s="1" t="s">
        <v>1265</v>
      </c>
    </row>
    <row r="317">
      <c r="A317" s="117" t="s">
        <v>3685</v>
      </c>
    </row>
    <row r="318">
      <c r="A318" s="1" t="s">
        <v>1270</v>
      </c>
    </row>
    <row r="319">
      <c r="A319" s="1" t="s">
        <v>1275</v>
      </c>
    </row>
    <row r="320">
      <c r="A320" s="1" t="s">
        <v>1279</v>
      </c>
    </row>
    <row r="321">
      <c r="A321" s="1" t="s">
        <v>1280</v>
      </c>
    </row>
    <row r="322">
      <c r="A322" s="80" t="s">
        <v>4500</v>
      </c>
    </row>
    <row r="323">
      <c r="A323" s="1" t="s">
        <v>1285</v>
      </c>
    </row>
    <row r="324">
      <c r="A324" s="1" t="s">
        <v>1286</v>
      </c>
    </row>
    <row r="325">
      <c r="A325" s="1" t="s">
        <v>1290</v>
      </c>
    </row>
    <row r="326">
      <c r="A326" s="1" t="s">
        <v>1294</v>
      </c>
    </row>
    <row r="327">
      <c r="A327" s="68" t="s">
        <v>284</v>
      </c>
    </row>
    <row r="328">
      <c r="A328" s="1" t="s">
        <v>1323</v>
      </c>
      <c r="D328" s="154"/>
    </row>
    <row r="329">
      <c r="A329" s="80" t="s">
        <v>3983</v>
      </c>
    </row>
    <row r="330">
      <c r="A330" s="1" t="s">
        <v>1328</v>
      </c>
    </row>
    <row r="331">
      <c r="A331" s="1" t="s">
        <v>1330</v>
      </c>
    </row>
    <row r="332">
      <c r="A332" s="1" t="s">
        <v>1331</v>
      </c>
    </row>
    <row r="333">
      <c r="A333" s="1" t="s">
        <v>1333</v>
      </c>
    </row>
    <row r="334">
      <c r="A334" s="80" t="s">
        <v>4551</v>
      </c>
    </row>
    <row r="335">
      <c r="A335" s="1" t="s">
        <v>1337</v>
      </c>
    </row>
    <row r="336">
      <c r="A336" s="68" t="s">
        <v>347</v>
      </c>
    </row>
    <row r="337">
      <c r="A337" s="1" t="s">
        <v>1340</v>
      </c>
      <c r="D337" s="154"/>
    </row>
    <row r="338">
      <c r="A338" s="1" t="s">
        <v>1344</v>
      </c>
    </row>
    <row r="339">
      <c r="A339" s="80" t="s">
        <v>4541</v>
      </c>
    </row>
    <row r="340">
      <c r="A340" s="1" t="s">
        <v>1348</v>
      </c>
    </row>
    <row r="341">
      <c r="A341" s="1" t="s">
        <v>1353</v>
      </c>
    </row>
    <row r="342">
      <c r="A342" s="1" t="s">
        <v>1355</v>
      </c>
    </row>
    <row r="343">
      <c r="A343" s="1" t="s">
        <v>1357</v>
      </c>
    </row>
    <row r="344">
      <c r="A344" s="1" t="s">
        <v>1298</v>
      </c>
    </row>
    <row r="345">
      <c r="A345" s="1" t="s">
        <v>1303</v>
      </c>
    </row>
    <row r="346">
      <c r="A346" s="1" t="s">
        <v>1308</v>
      </c>
    </row>
    <row r="347">
      <c r="A347" s="1" t="s">
        <v>1313</v>
      </c>
    </row>
    <row r="348">
      <c r="A348" s="1" t="s">
        <v>3593</v>
      </c>
    </row>
    <row r="349">
      <c r="A349" s="1" t="s">
        <v>1317</v>
      </c>
    </row>
    <row r="350">
      <c r="A350" s="1" t="s">
        <v>1321</v>
      </c>
    </row>
    <row r="351">
      <c r="A351" s="1" t="s">
        <v>1318</v>
      </c>
    </row>
    <row r="352">
      <c r="A352" s="1" t="s">
        <v>1319</v>
      </c>
    </row>
    <row r="353">
      <c r="A353" s="1" t="s">
        <v>1320</v>
      </c>
    </row>
    <row r="354">
      <c r="A354" s="1" t="s">
        <v>1322</v>
      </c>
    </row>
    <row r="355">
      <c r="A355" s="80" t="s">
        <v>4579</v>
      </c>
    </row>
    <row r="356">
      <c r="A356" s="1" t="s">
        <v>1362</v>
      </c>
    </row>
    <row r="357">
      <c r="A357" s="1" t="s">
        <v>1367</v>
      </c>
    </row>
    <row r="358">
      <c r="A358" s="1" t="s">
        <v>1372</v>
      </c>
    </row>
    <row r="359">
      <c r="A359" s="1" t="s">
        <v>1373</v>
      </c>
    </row>
    <row r="360">
      <c r="A360" s="80" t="s">
        <v>4153</v>
      </c>
    </row>
    <row r="361">
      <c r="A361" s="68" t="s">
        <v>355</v>
      </c>
    </row>
    <row r="362">
      <c r="A362" s="43" t="s">
        <v>120</v>
      </c>
    </row>
    <row r="363">
      <c r="A363" s="1" t="s">
        <v>1384</v>
      </c>
    </row>
    <row r="364">
      <c r="A364" s="1" t="s">
        <v>1386</v>
      </c>
    </row>
    <row r="365">
      <c r="A365" s="1" t="s">
        <v>1390</v>
      </c>
    </row>
    <row r="366">
      <c r="A366" s="1" t="s">
        <v>1395</v>
      </c>
    </row>
    <row r="367">
      <c r="A367" s="1" t="s">
        <v>1378</v>
      </c>
    </row>
    <row r="368">
      <c r="A368" s="1" t="s">
        <v>1382</v>
      </c>
    </row>
    <row r="369">
      <c r="A369" s="1" t="s">
        <v>1398</v>
      </c>
      <c r="D369" s="154"/>
    </row>
    <row r="370">
      <c r="A370" s="1" t="s">
        <v>1403</v>
      </c>
    </row>
    <row r="371">
      <c r="A371" s="80" t="s">
        <v>4679</v>
      </c>
    </row>
    <row r="372">
      <c r="A372" s="131" t="s">
        <v>3834</v>
      </c>
    </row>
    <row r="373">
      <c r="A373" s="1" t="s">
        <v>1405</v>
      </c>
    </row>
    <row r="374">
      <c r="A374" s="68" t="s">
        <v>363</v>
      </c>
    </row>
    <row r="375">
      <c r="A375" s="1" t="s">
        <v>3518</v>
      </c>
    </row>
    <row r="376">
      <c r="A376" s="80" t="s">
        <v>3973</v>
      </c>
    </row>
    <row r="377">
      <c r="A377" s="80" t="s">
        <v>4220</v>
      </c>
    </row>
    <row r="378">
      <c r="A378" s="1" t="s">
        <v>3735</v>
      </c>
    </row>
    <row r="379">
      <c r="A379" s="1" t="s">
        <v>1409</v>
      </c>
    </row>
    <row r="380">
      <c r="A380" s="1" t="s">
        <v>1410</v>
      </c>
      <c r="D380" s="154"/>
    </row>
    <row r="381">
      <c r="A381" s="1" t="s">
        <v>1415</v>
      </c>
    </row>
    <row r="382">
      <c r="A382" s="1" t="s">
        <v>1490</v>
      </c>
    </row>
    <row r="383">
      <c r="A383" s="1" t="s">
        <v>1419</v>
      </c>
    </row>
    <row r="384">
      <c r="A384" s="1" t="s">
        <v>1421</v>
      </c>
    </row>
    <row r="385">
      <c r="A385" s="2" t="s">
        <v>182</v>
      </c>
    </row>
    <row r="386">
      <c r="A386" s="1" t="s">
        <v>1423</v>
      </c>
    </row>
    <row r="387">
      <c r="A387" s="131" t="s">
        <v>3790</v>
      </c>
    </row>
    <row r="388">
      <c r="A388" s="1" t="s">
        <v>1428</v>
      </c>
    </row>
    <row r="389">
      <c r="A389" s="1" t="s">
        <v>1432</v>
      </c>
    </row>
    <row r="390">
      <c r="A390" s="60" t="s">
        <v>255</v>
      </c>
    </row>
    <row r="391">
      <c r="A391" s="1" t="s">
        <v>1437</v>
      </c>
    </row>
    <row r="392">
      <c r="A392" s="1" t="s">
        <v>1442</v>
      </c>
    </row>
    <row r="393">
      <c r="A393" s="1" t="s">
        <v>1447</v>
      </c>
    </row>
    <row r="394">
      <c r="A394" s="80" t="s">
        <v>4327</v>
      </c>
    </row>
    <row r="395">
      <c r="A395" s="1" t="s">
        <v>3520</v>
      </c>
    </row>
    <row r="396">
      <c r="A396" s="131" t="s">
        <v>3836</v>
      </c>
    </row>
    <row r="397">
      <c r="A397" s="1" t="s">
        <v>1449</v>
      </c>
    </row>
    <row r="398">
      <c r="A398" s="1" t="s">
        <v>1454</v>
      </c>
    </row>
    <row r="399">
      <c r="A399" s="1" t="s">
        <v>1455</v>
      </c>
    </row>
    <row r="400">
      <c r="A400" s="1" t="s">
        <v>1459</v>
      </c>
    </row>
    <row r="401">
      <c r="A401" s="1" t="s">
        <v>1463</v>
      </c>
    </row>
    <row r="402">
      <c r="A402" s="1" t="s">
        <v>1467</v>
      </c>
    </row>
    <row r="403">
      <c r="A403" s="80" t="s">
        <v>4523</v>
      </c>
    </row>
    <row r="404">
      <c r="A404" s="1" t="s">
        <v>1472</v>
      </c>
    </row>
    <row r="405">
      <c r="A405" s="1" t="s">
        <v>1475</v>
      </c>
    </row>
    <row r="406">
      <c r="A406" s="1" t="s">
        <v>1480</v>
      </c>
    </row>
    <row r="407">
      <c r="A407" s="80" t="s">
        <v>4139</v>
      </c>
    </row>
    <row r="408">
      <c r="A408" s="68" t="s">
        <v>309</v>
      </c>
    </row>
    <row r="409">
      <c r="A409" s="68" t="s">
        <v>402</v>
      </c>
    </row>
    <row r="410">
      <c r="A410" s="68" t="s">
        <v>454</v>
      </c>
    </row>
    <row r="411">
      <c r="A411" s="1" t="s">
        <v>3737</v>
      </c>
      <c r="D411" s="154"/>
    </row>
    <row r="412">
      <c r="A412" s="1" t="s">
        <v>1485</v>
      </c>
    </row>
    <row r="413">
      <c r="A413" s="80" t="s">
        <v>4135</v>
      </c>
    </row>
    <row r="414">
      <c r="A414" s="80" t="s">
        <v>4602</v>
      </c>
    </row>
    <row r="415">
      <c r="A415" s="1" t="s">
        <v>1492</v>
      </c>
    </row>
    <row r="416">
      <c r="A416" s="1" t="s">
        <v>1497</v>
      </c>
    </row>
    <row r="417">
      <c r="A417" s="1" t="s">
        <v>1502</v>
      </c>
    </row>
    <row r="418">
      <c r="A418" s="1" t="s">
        <v>1506</v>
      </c>
    </row>
    <row r="419">
      <c r="A419" s="1" t="s">
        <v>1509</v>
      </c>
    </row>
    <row r="420">
      <c r="A420" s="1" t="s">
        <v>1513</v>
      </c>
    </row>
    <row r="421">
      <c r="A421" s="1" t="s">
        <v>1515</v>
      </c>
    </row>
    <row r="422">
      <c r="A422" s="1" t="s">
        <v>3521</v>
      </c>
    </row>
    <row r="423">
      <c r="A423" s="1" t="s">
        <v>1517</v>
      </c>
    </row>
    <row r="424">
      <c r="A424" s="1" t="s">
        <v>1522</v>
      </c>
    </row>
    <row r="425">
      <c r="A425" s="1" t="s">
        <v>1523</v>
      </c>
    </row>
    <row r="426">
      <c r="A426" s="80" t="s">
        <v>4609</v>
      </c>
    </row>
    <row r="427">
      <c r="A427" s="1" t="s">
        <v>1525</v>
      </c>
    </row>
    <row r="428">
      <c r="A428" s="1" t="s">
        <v>1530</v>
      </c>
    </row>
    <row r="429">
      <c r="A429" s="1" t="s">
        <v>3595</v>
      </c>
    </row>
    <row r="430">
      <c r="A430" s="1" t="s">
        <v>1531</v>
      </c>
    </row>
    <row r="431">
      <c r="A431" s="1" t="s">
        <v>1534</v>
      </c>
    </row>
    <row r="432">
      <c r="A432" s="68" t="s">
        <v>329</v>
      </c>
    </row>
    <row r="433">
      <c r="A433" s="131" t="s">
        <v>3838</v>
      </c>
    </row>
    <row r="434">
      <c r="A434" s="1" t="s">
        <v>1538</v>
      </c>
    </row>
    <row r="435">
      <c r="A435" s="1" t="s">
        <v>1543</v>
      </c>
    </row>
    <row r="436">
      <c r="A436" s="117" t="s">
        <v>3686</v>
      </c>
    </row>
    <row r="437">
      <c r="A437" s="1" t="s">
        <v>3739</v>
      </c>
    </row>
    <row r="438">
      <c r="A438" s="1" t="s">
        <v>1545</v>
      </c>
    </row>
    <row r="439">
      <c r="A439" s="1" t="s">
        <v>1546</v>
      </c>
      <c r="D439" s="154"/>
    </row>
    <row r="440">
      <c r="A440" s="1" t="s">
        <v>1551</v>
      </c>
    </row>
    <row r="441">
      <c r="A441" s="1" t="s">
        <v>1552</v>
      </c>
    </row>
    <row r="442">
      <c r="A442" s="80" t="s">
        <v>4789</v>
      </c>
    </row>
    <row r="443">
      <c r="A443" s="1" t="s">
        <v>1557</v>
      </c>
    </row>
    <row r="444">
      <c r="A444" s="1" t="s">
        <v>1561</v>
      </c>
    </row>
    <row r="445">
      <c r="A445" s="80" t="s">
        <v>4682</v>
      </c>
    </row>
    <row r="446">
      <c r="A446" s="1" t="s">
        <v>1566</v>
      </c>
    </row>
    <row r="447">
      <c r="A447" s="1" t="s">
        <v>1568</v>
      </c>
    </row>
    <row r="448">
      <c r="A448" s="80" t="s">
        <v>4009</v>
      </c>
    </row>
    <row r="449">
      <c r="A449" s="43" t="s">
        <v>127</v>
      </c>
    </row>
    <row r="450">
      <c r="A450" s="1" t="s">
        <v>1576</v>
      </c>
    </row>
    <row r="451">
      <c r="A451" s="1" t="s">
        <v>1572</v>
      </c>
    </row>
    <row r="452">
      <c r="A452" s="1" t="s">
        <v>3597</v>
      </c>
      <c r="D452" s="156"/>
    </row>
    <row r="453">
      <c r="A453" s="1" t="s">
        <v>1581</v>
      </c>
    </row>
    <row r="454">
      <c r="A454" s="1" t="s">
        <v>1585</v>
      </c>
    </row>
    <row r="455">
      <c r="A455" s="80" t="s">
        <v>4778</v>
      </c>
    </row>
    <row r="456">
      <c r="A456" s="117" t="s">
        <v>3688</v>
      </c>
    </row>
    <row r="457">
      <c r="A457" s="80" t="s">
        <v>4554</v>
      </c>
    </row>
    <row r="458">
      <c r="A458" s="1" t="s">
        <v>1595</v>
      </c>
    </row>
    <row r="459">
      <c r="A459" s="1" t="s">
        <v>1590</v>
      </c>
    </row>
    <row r="460">
      <c r="A460" s="1" t="s">
        <v>1596</v>
      </c>
    </row>
    <row r="461">
      <c r="A461" s="68" t="s">
        <v>289</v>
      </c>
    </row>
    <row r="462">
      <c r="A462" s="131" t="s">
        <v>3840</v>
      </c>
    </row>
    <row r="463">
      <c r="A463" s="131" t="s">
        <v>3791</v>
      </c>
    </row>
    <row r="464">
      <c r="A464" s="131" t="s">
        <v>3842</v>
      </c>
    </row>
    <row r="465">
      <c r="A465" s="131" t="s">
        <v>3844</v>
      </c>
    </row>
    <row r="466">
      <c r="A466" s="117" t="s">
        <v>3689</v>
      </c>
    </row>
    <row r="467">
      <c r="A467" s="80" t="s">
        <v>4617</v>
      </c>
    </row>
    <row r="468">
      <c r="A468" s="1" t="s">
        <v>3741</v>
      </c>
    </row>
    <row r="469">
      <c r="A469" s="80" t="s">
        <v>4524</v>
      </c>
    </row>
    <row r="470">
      <c r="A470" s="80" t="s">
        <v>4261</v>
      </c>
    </row>
    <row r="471">
      <c r="A471" s="1" t="s">
        <v>1601</v>
      </c>
    </row>
    <row r="472">
      <c r="A472" s="1" t="s">
        <v>1602</v>
      </c>
    </row>
    <row r="473">
      <c r="A473" s="80" t="s">
        <v>4685</v>
      </c>
    </row>
    <row r="474">
      <c r="A474" s="157" t="s">
        <v>266</v>
      </c>
    </row>
    <row r="475">
      <c r="A475" s="157" t="s">
        <v>276</v>
      </c>
    </row>
    <row r="476">
      <c r="A476" s="157" t="s">
        <v>267</v>
      </c>
    </row>
    <row r="477">
      <c r="A477" s="157" t="s">
        <v>268</v>
      </c>
    </row>
    <row r="478">
      <c r="A478" s="157" t="s">
        <v>269</v>
      </c>
    </row>
    <row r="479">
      <c r="A479" s="157" t="s">
        <v>272</v>
      </c>
    </row>
    <row r="480">
      <c r="A480" s="157" t="s">
        <v>270</v>
      </c>
    </row>
    <row r="481">
      <c r="A481" s="157" t="s">
        <v>273</v>
      </c>
    </row>
    <row r="482">
      <c r="A482" s="157" t="s">
        <v>271</v>
      </c>
    </row>
    <row r="483">
      <c r="A483" s="157" t="s">
        <v>274</v>
      </c>
    </row>
    <row r="484">
      <c r="A484" s="1" t="s">
        <v>1606</v>
      </c>
    </row>
    <row r="485">
      <c r="A485" s="1" t="s">
        <v>1611</v>
      </c>
    </row>
    <row r="486">
      <c r="A486" s="1" t="s">
        <v>1615</v>
      </c>
    </row>
    <row r="487">
      <c r="A487" s="80" t="s">
        <v>4069</v>
      </c>
    </row>
    <row r="488">
      <c r="A488" s="1" t="s">
        <v>1620</v>
      </c>
    </row>
    <row r="489">
      <c r="A489" s="1" t="s">
        <v>3743</v>
      </c>
    </row>
    <row r="490">
      <c r="A490" s="131" t="s">
        <v>3846</v>
      </c>
    </row>
    <row r="491">
      <c r="A491" s="1" t="s">
        <v>1625</v>
      </c>
    </row>
    <row r="492">
      <c r="A492" s="1" t="s">
        <v>1627</v>
      </c>
    </row>
    <row r="493">
      <c r="A493" s="1" t="s">
        <v>1632</v>
      </c>
    </row>
    <row r="494">
      <c r="A494" s="131" t="s">
        <v>3848</v>
      </c>
    </row>
    <row r="495">
      <c r="A495" s="68" t="s">
        <v>339</v>
      </c>
    </row>
    <row r="496">
      <c r="A496" s="80" t="s">
        <v>4636</v>
      </c>
    </row>
    <row r="497">
      <c r="A497" s="80" t="s">
        <v>4598</v>
      </c>
    </row>
    <row r="498">
      <c r="A498" s="1" t="s">
        <v>1634</v>
      </c>
    </row>
    <row r="499">
      <c r="A499" s="80" t="s">
        <v>4643</v>
      </c>
    </row>
    <row r="500">
      <c r="A500" s="1" t="s">
        <v>1639</v>
      </c>
    </row>
    <row r="501">
      <c r="A501" s="60" t="s">
        <v>239</v>
      </c>
    </row>
    <row r="502">
      <c r="A502" s="60" t="s">
        <v>240</v>
      </c>
    </row>
    <row r="503">
      <c r="A503" s="60" t="s">
        <v>241</v>
      </c>
    </row>
    <row r="504">
      <c r="A504" s="60" t="s">
        <v>242</v>
      </c>
    </row>
    <row r="505">
      <c r="A505" s="60" t="s">
        <v>243</v>
      </c>
    </row>
    <row r="506">
      <c r="A506" s="1" t="s">
        <v>1644</v>
      </c>
    </row>
    <row r="507">
      <c r="A507" s="1" t="s">
        <v>1649</v>
      </c>
    </row>
    <row r="508">
      <c r="A508" s="1" t="s">
        <v>1650</v>
      </c>
    </row>
    <row r="509">
      <c r="A509" s="1" t="s">
        <v>1651</v>
      </c>
    </row>
    <row r="510">
      <c r="A510" s="1" t="s">
        <v>1652</v>
      </c>
    </row>
    <row r="511">
      <c r="A511" s="117" t="s">
        <v>3691</v>
      </c>
    </row>
    <row r="512">
      <c r="A512" s="115" t="s">
        <v>3599</v>
      </c>
    </row>
    <row r="513">
      <c r="A513" s="131" t="s">
        <v>3850</v>
      </c>
    </row>
    <row r="514">
      <c r="A514" s="117" t="s">
        <v>3693</v>
      </c>
    </row>
    <row r="515">
      <c r="A515" s="158" t="s">
        <v>265</v>
      </c>
    </row>
    <row r="516">
      <c r="A516" s="1" t="s">
        <v>1657</v>
      </c>
    </row>
    <row r="517">
      <c r="A517" s="1" t="s">
        <v>1658</v>
      </c>
    </row>
    <row r="518">
      <c r="A518" s="1" t="s">
        <v>1659</v>
      </c>
    </row>
    <row r="519">
      <c r="A519" s="1" t="s">
        <v>1660</v>
      </c>
    </row>
    <row r="520">
      <c r="A520" s="1" t="s">
        <v>1665</v>
      </c>
    </row>
    <row r="521">
      <c r="A521" s="1" t="s">
        <v>1667</v>
      </c>
    </row>
    <row r="522">
      <c r="A522" s="1" t="s">
        <v>1672</v>
      </c>
    </row>
    <row r="523">
      <c r="A523" s="1" t="s">
        <v>1673</v>
      </c>
    </row>
    <row r="524">
      <c r="A524" s="80" t="s">
        <v>4739</v>
      </c>
    </row>
    <row r="525">
      <c r="A525" s="1" t="s">
        <v>1678</v>
      </c>
      <c r="D525" s="156"/>
    </row>
    <row r="526">
      <c r="A526" s="1" t="s">
        <v>3012</v>
      </c>
    </row>
    <row r="527">
      <c r="A527" s="131" t="s">
        <v>3852</v>
      </c>
    </row>
    <row r="528">
      <c r="A528" s="1" t="s">
        <v>1683</v>
      </c>
    </row>
    <row r="529">
      <c r="A529" s="1" t="s">
        <v>1688</v>
      </c>
    </row>
    <row r="530">
      <c r="A530" s="80" t="s">
        <v>4096</v>
      </c>
    </row>
    <row r="531">
      <c r="A531" s="1" t="s">
        <v>1693</v>
      </c>
    </row>
    <row r="532">
      <c r="A532" s="43" t="s">
        <v>106</v>
      </c>
    </row>
    <row r="533">
      <c r="A533" s="131" t="s">
        <v>3854</v>
      </c>
    </row>
    <row r="534">
      <c r="A534" s="56" t="s">
        <v>260</v>
      </c>
    </row>
    <row r="535">
      <c r="A535" s="131" t="s">
        <v>3856</v>
      </c>
    </row>
    <row r="536">
      <c r="A536" s="1" t="s">
        <v>1698</v>
      </c>
    </row>
    <row r="537">
      <c r="A537" s="1" t="s">
        <v>3525</v>
      </c>
    </row>
    <row r="538">
      <c r="A538" s="1" t="s">
        <v>1703</v>
      </c>
    </row>
    <row r="539">
      <c r="A539" s="80" t="s">
        <v>4046</v>
      </c>
    </row>
    <row r="540">
      <c r="A540" s="1" t="s">
        <v>1708</v>
      </c>
    </row>
    <row r="541">
      <c r="A541" s="131" t="s">
        <v>3858</v>
      </c>
    </row>
    <row r="542">
      <c r="A542" s="1" t="s">
        <v>3601</v>
      </c>
    </row>
    <row r="543">
      <c r="A543" s="131" t="s">
        <v>3860</v>
      </c>
    </row>
    <row r="544">
      <c r="A544" s="1" t="s">
        <v>1712</v>
      </c>
    </row>
    <row r="545">
      <c r="A545" s="60" t="s">
        <v>256</v>
      </c>
    </row>
    <row r="546">
      <c r="A546" s="60" t="s">
        <v>254</v>
      </c>
    </row>
    <row r="547">
      <c r="A547" s="80" t="s">
        <v>4306</v>
      </c>
    </row>
    <row r="548">
      <c r="A548" s="1" t="s">
        <v>1717</v>
      </c>
    </row>
    <row r="549">
      <c r="A549" s="80" t="s">
        <v>4024</v>
      </c>
    </row>
    <row r="550">
      <c r="A550" s="80" t="s">
        <v>4540</v>
      </c>
    </row>
    <row r="551">
      <c r="A551" s="1" t="s">
        <v>1722</v>
      </c>
    </row>
    <row r="552">
      <c r="A552" s="1" t="s">
        <v>637</v>
      </c>
    </row>
    <row r="553">
      <c r="A553" s="80" t="s">
        <v>4227</v>
      </c>
    </row>
    <row r="554">
      <c r="A554" s="80" t="s">
        <v>4280</v>
      </c>
    </row>
    <row r="555">
      <c r="A555" s="80" t="s">
        <v>4725</v>
      </c>
    </row>
    <row r="556">
      <c r="A556" s="80" t="s">
        <v>4125</v>
      </c>
    </row>
    <row r="557">
      <c r="A557" s="80" t="s">
        <v>4099</v>
      </c>
    </row>
    <row r="558">
      <c r="A558" s="68" t="s">
        <v>337</v>
      </c>
    </row>
    <row r="559">
      <c r="A559" s="80" t="s">
        <v>4322</v>
      </c>
    </row>
    <row r="560">
      <c r="A560" s="1" t="s">
        <v>3745</v>
      </c>
      <c r="D560" s="156"/>
    </row>
    <row r="561">
      <c r="A561" s="1" t="s">
        <v>1729</v>
      </c>
    </row>
    <row r="562">
      <c r="A562" s="1" t="s">
        <v>1734</v>
      </c>
    </row>
    <row r="563">
      <c r="A563" s="1" t="s">
        <v>1739</v>
      </c>
    </row>
    <row r="564">
      <c r="A564" s="1" t="s">
        <v>1741</v>
      </c>
    </row>
    <row r="565">
      <c r="A565" s="1" t="s">
        <v>1746</v>
      </c>
    </row>
    <row r="566">
      <c r="A566" s="1" t="s">
        <v>1750</v>
      </c>
    </row>
    <row r="567">
      <c r="A567" s="2" t="s">
        <v>188</v>
      </c>
    </row>
    <row r="568">
      <c r="A568" s="1" t="s">
        <v>1755</v>
      </c>
    </row>
    <row r="569">
      <c r="A569" s="80" t="s">
        <v>4031</v>
      </c>
    </row>
    <row r="570">
      <c r="A570" s="80" t="s">
        <v>4341</v>
      </c>
    </row>
    <row r="571">
      <c r="A571" s="80" t="s">
        <v>4354</v>
      </c>
    </row>
    <row r="572">
      <c r="A572" s="80" t="s">
        <v>4297</v>
      </c>
    </row>
    <row r="573">
      <c r="A573" s="80" t="s">
        <v>4512</v>
      </c>
    </row>
    <row r="574">
      <c r="A574" s="80" t="s">
        <v>4697</v>
      </c>
    </row>
    <row r="575">
      <c r="A575" s="80" t="s">
        <v>4470</v>
      </c>
    </row>
    <row r="576">
      <c r="A576" s="43" t="s">
        <v>130</v>
      </c>
    </row>
    <row r="577">
      <c r="A577" s="80" t="s">
        <v>4380</v>
      </c>
    </row>
    <row r="578">
      <c r="A578" s="80" t="s">
        <v>4387</v>
      </c>
    </row>
    <row r="579">
      <c r="A579" s="80" t="s">
        <v>4383</v>
      </c>
    </row>
    <row r="580">
      <c r="A580" s="80" t="s">
        <v>4334</v>
      </c>
    </row>
    <row r="581">
      <c r="A581" s="80" t="s">
        <v>4459</v>
      </c>
    </row>
    <row r="582">
      <c r="A582" s="80" t="s">
        <v>4450</v>
      </c>
    </row>
    <row r="583">
      <c r="A583" s="80" t="s">
        <v>4477</v>
      </c>
    </row>
    <row r="584">
      <c r="A584" s="80" t="s">
        <v>4474</v>
      </c>
    </row>
    <row r="585">
      <c r="A585" s="1" t="s">
        <v>1870</v>
      </c>
    </row>
    <row r="586">
      <c r="A586" s="80" t="s">
        <v>4497</v>
      </c>
    </row>
    <row r="587">
      <c r="A587" s="1" t="s">
        <v>1760</v>
      </c>
    </row>
    <row r="588">
      <c r="A588" s="1" t="s">
        <v>1764</v>
      </c>
    </row>
    <row r="589">
      <c r="A589" s="1" t="s">
        <v>1765</v>
      </c>
    </row>
    <row r="590">
      <c r="A590" s="80" t="s">
        <v>3979</v>
      </c>
    </row>
    <row r="591">
      <c r="A591" s="80" t="s">
        <v>4284</v>
      </c>
    </row>
    <row r="592">
      <c r="A592" s="1" t="s">
        <v>3603</v>
      </c>
    </row>
    <row r="593">
      <c r="A593" s="80" t="s">
        <v>4149</v>
      </c>
    </row>
    <row r="594">
      <c r="A594" s="1" t="s">
        <v>1771</v>
      </c>
    </row>
    <row r="595">
      <c r="A595" s="1" t="s">
        <v>3605</v>
      </c>
    </row>
    <row r="596">
      <c r="A596" s="1" t="s">
        <v>1775</v>
      </c>
    </row>
    <row r="597">
      <c r="A597" s="1" t="s">
        <v>1776</v>
      </c>
    </row>
    <row r="598">
      <c r="A598" s="1" t="s">
        <v>1781</v>
      </c>
    </row>
    <row r="599">
      <c r="A599" s="1" t="s">
        <v>1785</v>
      </c>
    </row>
    <row r="600">
      <c r="A600" s="1" t="s">
        <v>1789</v>
      </c>
    </row>
    <row r="601">
      <c r="A601" s="1" t="s">
        <v>1790</v>
      </c>
    </row>
    <row r="602">
      <c r="A602" s="80" t="s">
        <v>4020</v>
      </c>
    </row>
    <row r="603">
      <c r="A603" s="68" t="s">
        <v>463</v>
      </c>
    </row>
    <row r="604">
      <c r="A604" s="1" t="s">
        <v>3607</v>
      </c>
    </row>
    <row r="605">
      <c r="A605" s="1" t="s">
        <v>3609</v>
      </c>
    </row>
    <row r="606">
      <c r="A606" s="80" t="s">
        <v>4571</v>
      </c>
    </row>
    <row r="607">
      <c r="A607" s="1" t="s">
        <v>1794</v>
      </c>
    </row>
    <row r="608">
      <c r="A608" s="1" t="s">
        <v>1799</v>
      </c>
    </row>
    <row r="609">
      <c r="A609" s="1" t="s">
        <v>1803</v>
      </c>
    </row>
    <row r="610">
      <c r="A610" s="1" t="s">
        <v>1804</v>
      </c>
    </row>
    <row r="611">
      <c r="A611" s="1" t="s">
        <v>1805</v>
      </c>
    </row>
    <row r="612">
      <c r="A612" s="131" t="s">
        <v>3863</v>
      </c>
    </row>
    <row r="613">
      <c r="A613" s="117" t="s">
        <v>3695</v>
      </c>
    </row>
    <row r="614">
      <c r="A614" s="131" t="s">
        <v>3793</v>
      </c>
    </row>
    <row r="615">
      <c r="A615" s="80" t="s">
        <v>4346</v>
      </c>
    </row>
    <row r="616">
      <c r="A616" s="131" t="s">
        <v>3865</v>
      </c>
    </row>
    <row r="617">
      <c r="A617" s="131" t="s">
        <v>3867</v>
      </c>
    </row>
    <row r="618">
      <c r="A618" s="1" t="s">
        <v>1810</v>
      </c>
    </row>
    <row r="619">
      <c r="A619" s="1" t="s">
        <v>1813</v>
      </c>
    </row>
    <row r="620">
      <c r="A620" s="1" t="s">
        <v>1815</v>
      </c>
    </row>
    <row r="621">
      <c r="A621" s="1" t="s">
        <v>1817</v>
      </c>
    </row>
    <row r="622">
      <c r="A622" s="131" t="s">
        <v>3869</v>
      </c>
    </row>
    <row r="623">
      <c r="A623" s="1" t="s">
        <v>1818</v>
      </c>
    </row>
    <row r="624">
      <c r="A624" s="1" t="s">
        <v>1822</v>
      </c>
    </row>
    <row r="625">
      <c r="A625" s="1" t="s">
        <v>1827</v>
      </c>
    </row>
    <row r="626">
      <c r="A626" s="1" t="s">
        <v>1832</v>
      </c>
    </row>
    <row r="627">
      <c r="A627" s="1" t="s">
        <v>1836</v>
      </c>
    </row>
    <row r="628">
      <c r="A628" s="1" t="s">
        <v>1838</v>
      </c>
    </row>
    <row r="629">
      <c r="A629" s="1" t="s">
        <v>1842</v>
      </c>
    </row>
    <row r="630">
      <c r="A630" s="131" t="s">
        <v>3795</v>
      </c>
    </row>
    <row r="631">
      <c r="A631" s="80" t="s">
        <v>4708</v>
      </c>
    </row>
    <row r="632">
      <c r="A632" s="1" t="s">
        <v>1847</v>
      </c>
    </row>
    <row r="633">
      <c r="A633" s="43" t="s">
        <v>131</v>
      </c>
    </row>
    <row r="634">
      <c r="A634" s="80" t="s">
        <v>4624</v>
      </c>
    </row>
    <row r="635">
      <c r="A635" s="43" t="s">
        <v>107</v>
      </c>
    </row>
    <row r="636">
      <c r="A636" s="80" t="s">
        <v>4331</v>
      </c>
    </row>
    <row r="637">
      <c r="A637" s="1" t="s">
        <v>1852</v>
      </c>
    </row>
    <row r="638">
      <c r="A638" s="1" t="s">
        <v>1857</v>
      </c>
    </row>
    <row r="639">
      <c r="A639" s="131" t="s">
        <v>3871</v>
      </c>
    </row>
    <row r="640">
      <c r="A640" s="1" t="s">
        <v>1859</v>
      </c>
    </row>
    <row r="641">
      <c r="A641" s="1" t="s">
        <v>1861</v>
      </c>
    </row>
    <row r="642">
      <c r="A642" s="1" t="s">
        <v>1863</v>
      </c>
    </row>
    <row r="643">
      <c r="A643" s="1" t="s">
        <v>1864</v>
      </c>
    </row>
    <row r="644">
      <c r="A644" s="1" t="s">
        <v>1866</v>
      </c>
    </row>
    <row r="645">
      <c r="A645" s="1" t="s">
        <v>3611</v>
      </c>
    </row>
    <row r="646">
      <c r="A646" s="2" t="s">
        <v>167</v>
      </c>
    </row>
    <row r="647">
      <c r="A647" s="1" t="s">
        <v>1867</v>
      </c>
      <c r="D647" s="154"/>
    </row>
    <row r="648">
      <c r="A648" s="1" t="s">
        <v>1869</v>
      </c>
    </row>
    <row r="649">
      <c r="A649" s="131" t="s">
        <v>3873</v>
      </c>
    </row>
    <row r="650">
      <c r="A650" s="68" t="s">
        <v>357</v>
      </c>
    </row>
    <row r="651">
      <c r="A651" s="1" t="s">
        <v>1875</v>
      </c>
    </row>
    <row r="652">
      <c r="A652" s="80" t="s">
        <v>4668</v>
      </c>
    </row>
    <row r="653">
      <c r="A653" s="1" t="s">
        <v>1879</v>
      </c>
    </row>
    <row r="654">
      <c r="A654" s="1" t="s">
        <v>1880</v>
      </c>
    </row>
    <row r="655">
      <c r="A655" s="1" t="s">
        <v>1882</v>
      </c>
    </row>
    <row r="656">
      <c r="A656" s="1" t="s">
        <v>1884</v>
      </c>
    </row>
    <row r="657">
      <c r="A657" s="117" t="s">
        <v>3697</v>
      </c>
    </row>
    <row r="658">
      <c r="A658" s="1" t="s">
        <v>3747</v>
      </c>
    </row>
    <row r="659">
      <c r="A659" s="1" t="s">
        <v>1885</v>
      </c>
    </row>
    <row r="660">
      <c r="A660" s="1" t="s">
        <v>1889</v>
      </c>
    </row>
    <row r="661">
      <c r="A661" s="1" t="s">
        <v>1893</v>
      </c>
    </row>
    <row r="662">
      <c r="A662" s="1" t="s">
        <v>1898</v>
      </c>
    </row>
    <row r="663">
      <c r="A663" s="1" t="s">
        <v>1899</v>
      </c>
    </row>
    <row r="664">
      <c r="A664" s="1" t="s">
        <v>1904</v>
      </c>
    </row>
    <row r="665">
      <c r="A665" s="1" t="s">
        <v>1909</v>
      </c>
    </row>
    <row r="666">
      <c r="A666" s="1" t="s">
        <v>1913</v>
      </c>
    </row>
    <row r="667">
      <c r="A667" s="1" t="s">
        <v>1915</v>
      </c>
    </row>
    <row r="668">
      <c r="A668" s="1" t="s">
        <v>1916</v>
      </c>
    </row>
    <row r="669">
      <c r="A669" s="1" t="s">
        <v>1917</v>
      </c>
    </row>
    <row r="670">
      <c r="A670" s="1" t="s">
        <v>1920</v>
      </c>
    </row>
    <row r="671">
      <c r="A671" s="155" t="s">
        <v>204</v>
      </c>
    </row>
    <row r="672">
      <c r="A672" s="1" t="s">
        <v>3749</v>
      </c>
    </row>
    <row r="673">
      <c r="A673" s="131" t="s">
        <v>3874</v>
      </c>
    </row>
    <row r="674">
      <c r="A674" s="155" t="s">
        <v>197</v>
      </c>
    </row>
    <row r="675">
      <c r="A675" s="68" t="s">
        <v>404</v>
      </c>
    </row>
    <row r="676">
      <c r="A676" s="80" t="s">
        <v>4575</v>
      </c>
    </row>
    <row r="677">
      <c r="A677" s="1" t="s">
        <v>1923</v>
      </c>
    </row>
    <row r="678">
      <c r="A678" s="80" t="s">
        <v>4729</v>
      </c>
    </row>
    <row r="679">
      <c r="A679" s="1" t="s">
        <v>1927</v>
      </c>
    </row>
    <row r="680">
      <c r="A680" s="1" t="s">
        <v>1932</v>
      </c>
    </row>
    <row r="681">
      <c r="A681" s="131" t="s">
        <v>3875</v>
      </c>
    </row>
    <row r="682">
      <c r="A682" s="131" t="s">
        <v>3877</v>
      </c>
    </row>
    <row r="683">
      <c r="A683" s="1" t="s">
        <v>1936</v>
      </c>
    </row>
    <row r="684">
      <c r="A684" s="1" t="s">
        <v>1941</v>
      </c>
    </row>
    <row r="685">
      <c r="A685" s="1" t="s">
        <v>3613</v>
      </c>
    </row>
    <row r="686">
      <c r="A686" s="1" t="s">
        <v>1943</v>
      </c>
    </row>
    <row r="687">
      <c r="A687" s="56" t="s">
        <v>225</v>
      </c>
    </row>
    <row r="688">
      <c r="A688" s="56" t="s">
        <v>222</v>
      </c>
    </row>
    <row r="689">
      <c r="A689" s="56" t="s">
        <v>226</v>
      </c>
    </row>
    <row r="690">
      <c r="A690" s="56" t="s">
        <v>224</v>
      </c>
    </row>
    <row r="691">
      <c r="A691" s="56" t="s">
        <v>228</v>
      </c>
    </row>
    <row r="692">
      <c r="A692" s="56" t="s">
        <v>227</v>
      </c>
    </row>
    <row r="693">
      <c r="A693" s="56" t="s">
        <v>230</v>
      </c>
    </row>
    <row r="694">
      <c r="A694" s="56" t="s">
        <v>231</v>
      </c>
    </row>
    <row r="695">
      <c r="A695" s="56" t="s">
        <v>232</v>
      </c>
    </row>
    <row r="696">
      <c r="A696" s="56" t="s">
        <v>223</v>
      </c>
    </row>
    <row r="697">
      <c r="A697" s="60" t="s">
        <v>236</v>
      </c>
    </row>
    <row r="698">
      <c r="A698" s="56" t="s">
        <v>234</v>
      </c>
    </row>
    <row r="699">
      <c r="A699" s="60" t="s">
        <v>237</v>
      </c>
    </row>
    <row r="700">
      <c r="A700" s="60" t="s">
        <v>238</v>
      </c>
    </row>
    <row r="701">
      <c r="A701" s="56" t="s">
        <v>233</v>
      </c>
    </row>
    <row r="702">
      <c r="A702" s="56" t="s">
        <v>229</v>
      </c>
    </row>
    <row r="703">
      <c r="A703" s="56" t="s">
        <v>235</v>
      </c>
    </row>
    <row r="704">
      <c r="A704" s="60" t="s">
        <v>244</v>
      </c>
    </row>
    <row r="705">
      <c r="A705" s="60" t="s">
        <v>245</v>
      </c>
    </row>
    <row r="706">
      <c r="A706" s="60" t="s">
        <v>246</v>
      </c>
    </row>
    <row r="707">
      <c r="A707" s="60" t="s">
        <v>247</v>
      </c>
      <c r="D707" s="154"/>
    </row>
    <row r="708">
      <c r="A708" s="131" t="s">
        <v>3879</v>
      </c>
    </row>
    <row r="709">
      <c r="A709" s="1" t="s">
        <v>3615</v>
      </c>
    </row>
    <row r="710">
      <c r="A710" s="1" t="s">
        <v>3617</v>
      </c>
    </row>
    <row r="711">
      <c r="A711" s="1" t="s">
        <v>3619</v>
      </c>
    </row>
    <row r="712">
      <c r="A712" s="131" t="s">
        <v>3881</v>
      </c>
    </row>
    <row r="713">
      <c r="A713" s="80" t="s">
        <v>4114</v>
      </c>
    </row>
    <row r="714">
      <c r="A714" s="1" t="s">
        <v>1947</v>
      </c>
    </row>
    <row r="715">
      <c r="A715" s="1" t="s">
        <v>1952</v>
      </c>
    </row>
    <row r="716">
      <c r="A716" s="1" t="s">
        <v>1954</v>
      </c>
    </row>
    <row r="717">
      <c r="A717" s="1" t="s">
        <v>1957</v>
      </c>
    </row>
    <row r="718">
      <c r="A718" s="1" t="s">
        <v>1962</v>
      </c>
    </row>
    <row r="719">
      <c r="A719" s="1" t="s">
        <v>3621</v>
      </c>
    </row>
    <row r="720">
      <c r="A720" s="80" t="s">
        <v>4465</v>
      </c>
    </row>
    <row r="721">
      <c r="A721" s="1" t="s">
        <v>1967</v>
      </c>
    </row>
    <row r="722">
      <c r="A722" s="1" t="s">
        <v>1970</v>
      </c>
    </row>
    <row r="723">
      <c r="A723" s="68" t="s">
        <v>410</v>
      </c>
    </row>
    <row r="724">
      <c r="A724" s="80" t="s">
        <v>4557</v>
      </c>
    </row>
    <row r="725">
      <c r="A725" s="1" t="s">
        <v>1973</v>
      </c>
    </row>
    <row r="726">
      <c r="A726" s="1" t="s">
        <v>1978</v>
      </c>
    </row>
    <row r="727">
      <c r="A727" s="80" t="s">
        <v>4424</v>
      </c>
    </row>
    <row r="728">
      <c r="A728" s="1" t="s">
        <v>1979</v>
      </c>
    </row>
    <row r="729">
      <c r="A729" s="1" t="s">
        <v>1980</v>
      </c>
    </row>
    <row r="730">
      <c r="A730" s="1" t="s">
        <v>1985</v>
      </c>
    </row>
    <row r="731">
      <c r="A731" s="1" t="s">
        <v>1990</v>
      </c>
    </row>
    <row r="732">
      <c r="A732" s="1" t="s">
        <v>1995</v>
      </c>
    </row>
    <row r="733">
      <c r="A733" s="1" t="s">
        <v>1999</v>
      </c>
    </row>
    <row r="734">
      <c r="A734" s="43" t="s">
        <v>117</v>
      </c>
    </row>
    <row r="735">
      <c r="A735" s="1" t="s">
        <v>2004</v>
      </c>
    </row>
    <row r="736">
      <c r="A736" s="1" t="s">
        <v>2005</v>
      </c>
    </row>
    <row r="737">
      <c r="A737" s="1" t="s">
        <v>2010</v>
      </c>
    </row>
    <row r="738">
      <c r="A738" s="1" t="s">
        <v>2014</v>
      </c>
    </row>
    <row r="739">
      <c r="A739" s="1" t="s">
        <v>2015</v>
      </c>
    </row>
    <row r="740">
      <c r="A740" s="1" t="s">
        <v>2020</v>
      </c>
    </row>
    <row r="741">
      <c r="A741" s="1" t="s">
        <v>2023</v>
      </c>
    </row>
    <row r="742">
      <c r="A742" s="2" t="s">
        <v>629</v>
      </c>
    </row>
    <row r="743">
      <c r="A743" s="1" t="s">
        <v>2029</v>
      </c>
    </row>
    <row r="744">
      <c r="A744" s="117" t="s">
        <v>3699</v>
      </c>
    </row>
    <row r="745">
      <c r="A745" s="1" t="s">
        <v>2031</v>
      </c>
    </row>
    <row r="746">
      <c r="A746" s="1" t="s">
        <v>2035</v>
      </c>
    </row>
    <row r="747">
      <c r="A747" s="1" t="s">
        <v>3528</v>
      </c>
    </row>
    <row r="748">
      <c r="A748" s="1" t="s">
        <v>2039</v>
      </c>
    </row>
    <row r="749">
      <c r="A749" s="1" t="s">
        <v>2042</v>
      </c>
      <c r="D749" s="156"/>
    </row>
    <row r="750">
      <c r="A750" s="1" t="s">
        <v>3622</v>
      </c>
    </row>
    <row r="751">
      <c r="A751" s="1" t="s">
        <v>2046</v>
      </c>
    </row>
    <row r="752">
      <c r="A752" s="131" t="s">
        <v>3883</v>
      </c>
    </row>
    <row r="753">
      <c r="A753" s="1" t="s">
        <v>2048</v>
      </c>
    </row>
    <row r="754">
      <c r="A754" s="1" t="s">
        <v>2053</v>
      </c>
    </row>
    <row r="755">
      <c r="A755" s="1" t="s">
        <v>2058</v>
      </c>
    </row>
    <row r="756">
      <c r="A756" s="2" t="s">
        <v>153</v>
      </c>
    </row>
    <row r="757">
      <c r="A757" s="1" t="s">
        <v>2063</v>
      </c>
    </row>
    <row r="758">
      <c r="A758" s="1" t="s">
        <v>2066</v>
      </c>
    </row>
    <row r="759">
      <c r="A759" s="1" t="s">
        <v>2070</v>
      </c>
    </row>
    <row r="760">
      <c r="A760" s="1" t="s">
        <v>2072</v>
      </c>
    </row>
    <row r="761">
      <c r="A761" s="1" t="s">
        <v>2074</v>
      </c>
    </row>
    <row r="762">
      <c r="A762" s="1" t="s">
        <v>2076</v>
      </c>
    </row>
    <row r="763">
      <c r="A763" s="80" t="s">
        <v>3925</v>
      </c>
    </row>
    <row r="764">
      <c r="A764" s="1" t="s">
        <v>2080</v>
      </c>
    </row>
    <row r="765">
      <c r="A765" s="1" t="s">
        <v>2085</v>
      </c>
    </row>
    <row r="766">
      <c r="A766" s="1" t="s">
        <v>2090</v>
      </c>
    </row>
    <row r="767">
      <c r="A767" s="1" t="s">
        <v>2094</v>
      </c>
    </row>
    <row r="768">
      <c r="A768" s="80" t="s">
        <v>4700</v>
      </c>
    </row>
    <row r="769">
      <c r="A769" s="1" t="s">
        <v>2099</v>
      </c>
    </row>
    <row r="770">
      <c r="A770" s="1" t="s">
        <v>2103</v>
      </c>
    </row>
    <row r="771">
      <c r="A771" s="1" t="s">
        <v>2106</v>
      </c>
    </row>
    <row r="772">
      <c r="A772" s="1" t="s">
        <v>2107</v>
      </c>
    </row>
    <row r="773">
      <c r="A773" s="1" t="s">
        <v>2108</v>
      </c>
    </row>
    <row r="774">
      <c r="A774" s="1" t="s">
        <v>2109</v>
      </c>
    </row>
    <row r="775">
      <c r="A775" s="80" t="s">
        <v>4742</v>
      </c>
    </row>
    <row r="776">
      <c r="A776" s="68" t="s">
        <v>436</v>
      </c>
    </row>
    <row r="777">
      <c r="A777" s="68" t="s">
        <v>307</v>
      </c>
    </row>
    <row r="778">
      <c r="A778" s="1" t="s">
        <v>2110</v>
      </c>
    </row>
    <row r="779">
      <c r="A779" s="1" t="s">
        <v>2115</v>
      </c>
    </row>
    <row r="780">
      <c r="A780" s="68" t="s">
        <v>323</v>
      </c>
    </row>
    <row r="781">
      <c r="A781" s="1" t="s">
        <v>2119</v>
      </c>
    </row>
    <row r="782">
      <c r="A782" s="1" t="s">
        <v>2123</v>
      </c>
    </row>
    <row r="783">
      <c r="A783" s="1" t="s">
        <v>2128</v>
      </c>
    </row>
    <row r="784">
      <c r="A784" s="1" t="s">
        <v>2133</v>
      </c>
    </row>
    <row r="785">
      <c r="A785" s="1" t="s">
        <v>2138</v>
      </c>
    </row>
    <row r="786">
      <c r="A786" s="1" t="s">
        <v>2143</v>
      </c>
    </row>
    <row r="787">
      <c r="A787" s="80" t="s">
        <v>4271</v>
      </c>
    </row>
    <row r="788">
      <c r="A788" s="1" t="s">
        <v>2145</v>
      </c>
    </row>
    <row r="789">
      <c r="A789" s="1" t="s">
        <v>2148</v>
      </c>
    </row>
    <row r="790">
      <c r="A790" s="80" t="s">
        <v>4265</v>
      </c>
    </row>
    <row r="791">
      <c r="A791" s="1" t="s">
        <v>2149</v>
      </c>
    </row>
    <row r="792">
      <c r="A792" s="1" t="s">
        <v>2150</v>
      </c>
    </row>
    <row r="793">
      <c r="A793" s="1" t="s">
        <v>2151</v>
      </c>
    </row>
    <row r="794">
      <c r="A794" s="2" t="s">
        <v>194</v>
      </c>
    </row>
    <row r="795">
      <c r="A795" s="1" t="s">
        <v>2153</v>
      </c>
    </row>
    <row r="796">
      <c r="A796" s="1" t="s">
        <v>2158</v>
      </c>
    </row>
    <row r="797">
      <c r="A797" s="1" t="s">
        <v>2160</v>
      </c>
    </row>
    <row r="798">
      <c r="A798" s="1" t="s">
        <v>2162</v>
      </c>
    </row>
    <row r="799">
      <c r="A799" s="1" t="s">
        <v>2164</v>
      </c>
    </row>
    <row r="800">
      <c r="A800" s="1" t="s">
        <v>2165</v>
      </c>
    </row>
    <row r="801">
      <c r="A801" s="1" t="s">
        <v>2166</v>
      </c>
    </row>
    <row r="802">
      <c r="A802" s="1" t="s">
        <v>2167</v>
      </c>
    </row>
    <row r="803">
      <c r="A803" s="1" t="s">
        <v>2168</v>
      </c>
    </row>
    <row r="804">
      <c r="A804" s="117" t="s">
        <v>3700</v>
      </c>
    </row>
    <row r="805">
      <c r="A805" s="117" t="s">
        <v>3702</v>
      </c>
    </row>
    <row r="806">
      <c r="A806" s="1" t="s">
        <v>2173</v>
      </c>
    </row>
    <row r="807">
      <c r="A807" s="1" t="s">
        <v>2176</v>
      </c>
    </row>
    <row r="808">
      <c r="A808" s="1" t="s">
        <v>2181</v>
      </c>
    </row>
    <row r="809">
      <c r="A809" s="1" t="s">
        <v>2185</v>
      </c>
    </row>
    <row r="810">
      <c r="A810" s="80" t="s">
        <v>4404</v>
      </c>
    </row>
    <row r="811">
      <c r="A811" s="68" t="s">
        <v>349</v>
      </c>
    </row>
    <row r="812">
      <c r="A812" s="1" t="s">
        <v>2186</v>
      </c>
    </row>
    <row r="813">
      <c r="A813" s="1" t="s">
        <v>2190</v>
      </c>
    </row>
    <row r="814">
      <c r="A814" s="1" t="s">
        <v>2195</v>
      </c>
    </row>
    <row r="815">
      <c r="A815" s="159" t="s">
        <v>210</v>
      </c>
    </row>
    <row r="816">
      <c r="A816" s="1" t="s">
        <v>2200</v>
      </c>
    </row>
    <row r="817">
      <c r="A817" s="1" t="s">
        <v>2204</v>
      </c>
    </row>
    <row r="818">
      <c r="A818" s="80" t="s">
        <v>3956</v>
      </c>
    </row>
    <row r="819">
      <c r="A819" s="80" t="s">
        <v>4310</v>
      </c>
    </row>
    <row r="820">
      <c r="A820" s="131" t="s">
        <v>3782</v>
      </c>
    </row>
    <row r="821">
      <c r="A821" s="68" t="s">
        <v>351</v>
      </c>
    </row>
    <row r="822">
      <c r="A822" s="1" t="s">
        <v>2207</v>
      </c>
    </row>
    <row r="823">
      <c r="A823" s="1" t="s">
        <v>2215</v>
      </c>
    </row>
    <row r="824">
      <c r="A824" s="80" t="s">
        <v>4036</v>
      </c>
    </row>
    <row r="825">
      <c r="A825" s="1" t="s">
        <v>2219</v>
      </c>
    </row>
    <row r="826">
      <c r="A826" s="68" t="s">
        <v>377</v>
      </c>
    </row>
    <row r="827">
      <c r="A827" s="1" t="s">
        <v>2295</v>
      </c>
    </row>
    <row r="828">
      <c r="A828" s="1" t="s">
        <v>2223</v>
      </c>
    </row>
    <row r="829">
      <c r="A829" s="1" t="s">
        <v>2228</v>
      </c>
    </row>
    <row r="830">
      <c r="A830" s="1" t="s">
        <v>3624</v>
      </c>
    </row>
    <row r="831">
      <c r="A831" s="43" t="s">
        <v>115</v>
      </c>
    </row>
    <row r="832">
      <c r="A832" s="80" t="s">
        <v>4344</v>
      </c>
    </row>
    <row r="833">
      <c r="A833" s="80" t="s">
        <v>3991</v>
      </c>
    </row>
    <row r="834">
      <c r="A834" s="80" t="s">
        <v>4088</v>
      </c>
    </row>
    <row r="835">
      <c r="A835" s="1" t="s">
        <v>2232</v>
      </c>
    </row>
    <row r="836">
      <c r="A836" s="1" t="s">
        <v>2236</v>
      </c>
    </row>
    <row r="837">
      <c r="A837" s="1" t="s">
        <v>2241</v>
      </c>
    </row>
    <row r="838">
      <c r="A838" s="1" t="s">
        <v>2242</v>
      </c>
    </row>
    <row r="839">
      <c r="A839" s="1" t="s">
        <v>2244</v>
      </c>
    </row>
    <row r="840">
      <c r="A840" s="55" t="s">
        <v>216</v>
      </c>
    </row>
    <row r="841">
      <c r="A841" s="1" t="s">
        <v>2248</v>
      </c>
    </row>
    <row r="842">
      <c r="A842" s="1" t="s">
        <v>2253</v>
      </c>
    </row>
    <row r="843">
      <c r="A843" s="80" t="s">
        <v>4770</v>
      </c>
    </row>
    <row r="844">
      <c r="A844" s="1" t="s">
        <v>2257</v>
      </c>
    </row>
    <row r="845">
      <c r="A845" s="1" t="s">
        <v>2261</v>
      </c>
    </row>
    <row r="846">
      <c r="A846" s="1" t="s">
        <v>2265</v>
      </c>
    </row>
    <row r="847">
      <c r="A847" s="80" t="s">
        <v>4548</v>
      </c>
    </row>
    <row r="848">
      <c r="A848" s="1" t="s">
        <v>2267</v>
      </c>
    </row>
    <row r="849">
      <c r="A849" s="1" t="s">
        <v>2271</v>
      </c>
    </row>
    <row r="850">
      <c r="A850" s="68" t="s">
        <v>300</v>
      </c>
    </row>
    <row r="851">
      <c r="A851" s="1" t="s">
        <v>2273</v>
      </c>
    </row>
    <row r="852">
      <c r="A852" s="80" t="s">
        <v>4529</v>
      </c>
    </row>
    <row r="853">
      <c r="A853" s="1" t="s">
        <v>2277</v>
      </c>
    </row>
    <row r="854">
      <c r="A854" s="80" t="s">
        <v>4318</v>
      </c>
    </row>
    <row r="855">
      <c r="A855" s="1" t="s">
        <v>2282</v>
      </c>
    </row>
    <row r="856">
      <c r="A856" s="1" t="s">
        <v>2286</v>
      </c>
    </row>
    <row r="857">
      <c r="A857" s="1" t="s">
        <v>2288</v>
      </c>
    </row>
    <row r="858">
      <c r="A858" s="1" t="s">
        <v>2290</v>
      </c>
    </row>
    <row r="859">
      <c r="A859" s="1" t="s">
        <v>2294</v>
      </c>
    </row>
    <row r="860">
      <c r="A860" s="68" t="s">
        <v>325</v>
      </c>
    </row>
    <row r="861">
      <c r="A861" s="1" t="s">
        <v>3533</v>
      </c>
    </row>
    <row r="862">
      <c r="A862" s="1" t="s">
        <v>2300</v>
      </c>
    </row>
    <row r="863">
      <c r="A863" s="1" t="s">
        <v>2301</v>
      </c>
    </row>
    <row r="864">
      <c r="A864" s="1" t="s">
        <v>2306</v>
      </c>
    </row>
    <row r="865">
      <c r="A865" s="80" t="s">
        <v>4480</v>
      </c>
    </row>
    <row r="866">
      <c r="A866" s="80" t="s">
        <v>3912</v>
      </c>
    </row>
    <row r="867">
      <c r="A867" s="68" t="s">
        <v>408</v>
      </c>
    </row>
    <row r="868">
      <c r="A868" s="80" t="s">
        <v>4456</v>
      </c>
    </row>
    <row r="869">
      <c r="A869" s="80" t="s">
        <v>4453</v>
      </c>
    </row>
    <row r="870">
      <c r="A870" s="68" t="s">
        <v>419</v>
      </c>
    </row>
    <row r="871">
      <c r="A871" s="68" t="s">
        <v>382</v>
      </c>
    </row>
    <row r="872">
      <c r="A872" s="68" t="s">
        <v>384</v>
      </c>
    </row>
    <row r="873">
      <c r="A873" s="68" t="s">
        <v>394</v>
      </c>
    </row>
    <row r="874">
      <c r="A874" s="68" t="s">
        <v>424</v>
      </c>
    </row>
    <row r="875">
      <c r="A875" s="43" t="s">
        <v>118</v>
      </c>
    </row>
    <row r="876">
      <c r="A876" s="43" t="s">
        <v>109</v>
      </c>
    </row>
    <row r="877">
      <c r="A877" s="80" t="s">
        <v>4244</v>
      </c>
    </row>
    <row r="878">
      <c r="A878" s="68" t="s">
        <v>446</v>
      </c>
    </row>
    <row r="879">
      <c r="A879" s="131" t="s">
        <v>317</v>
      </c>
    </row>
    <row r="880">
      <c r="A880" s="68" t="s">
        <v>450</v>
      </c>
    </row>
    <row r="881">
      <c r="A881" s="43" t="s">
        <v>133</v>
      </c>
    </row>
    <row r="882">
      <c r="A882" s="68" t="s">
        <v>392</v>
      </c>
    </row>
    <row r="883">
      <c r="A883" s="68" t="s">
        <v>421</v>
      </c>
    </row>
    <row r="884">
      <c r="A884" s="68" t="s">
        <v>386</v>
      </c>
    </row>
    <row r="885">
      <c r="A885" s="68" t="s">
        <v>465</v>
      </c>
    </row>
    <row r="886">
      <c r="A886" s="68" t="s">
        <v>353</v>
      </c>
    </row>
    <row r="887">
      <c r="A887" s="68" t="s">
        <v>388</v>
      </c>
    </row>
    <row r="888">
      <c r="A888" s="68" t="s">
        <v>440</v>
      </c>
    </row>
    <row r="889">
      <c r="A889" s="68" t="s">
        <v>434</v>
      </c>
    </row>
    <row r="890">
      <c r="A890" s="68" t="s">
        <v>442</v>
      </c>
      <c r="D890" s="156"/>
    </row>
    <row r="891">
      <c r="A891" s="68" t="s">
        <v>461</v>
      </c>
      <c r="D891" s="156"/>
    </row>
    <row r="892">
      <c r="A892" s="68" t="s">
        <v>430</v>
      </c>
    </row>
    <row r="893">
      <c r="A893" s="1" t="s">
        <v>3751</v>
      </c>
    </row>
    <row r="894">
      <c r="A894" s="68" t="s">
        <v>438</v>
      </c>
    </row>
    <row r="895">
      <c r="A895" s="68" t="s">
        <v>321</v>
      </c>
    </row>
    <row r="896">
      <c r="A896" s="68" t="s">
        <v>426</v>
      </c>
    </row>
    <row r="897">
      <c r="A897" s="80" t="s">
        <v>4316</v>
      </c>
    </row>
    <row r="898">
      <c r="A898" s="68" t="s">
        <v>390</v>
      </c>
    </row>
    <row r="899">
      <c r="A899" s="68" t="s">
        <v>298</v>
      </c>
    </row>
    <row r="900">
      <c r="A900" s="68" t="s">
        <v>400</v>
      </c>
    </row>
    <row r="901">
      <c r="A901" s="68" t="s">
        <v>432</v>
      </c>
    </row>
    <row r="902">
      <c r="A902" s="68" t="s">
        <v>473</v>
      </c>
    </row>
    <row r="903">
      <c r="A903" s="1" t="s">
        <v>2382</v>
      </c>
    </row>
    <row r="904">
      <c r="A904" s="68" t="s">
        <v>428</v>
      </c>
    </row>
    <row r="905">
      <c r="A905" s="1" t="s">
        <v>3534</v>
      </c>
    </row>
    <row r="906">
      <c r="A906" s="1" t="s">
        <v>2310</v>
      </c>
    </row>
    <row r="907">
      <c r="A907" s="1" t="s">
        <v>3535</v>
      </c>
    </row>
    <row r="908">
      <c r="A908" s="1" t="s">
        <v>2314</v>
      </c>
    </row>
    <row r="909">
      <c r="A909" s="1" t="s">
        <v>2319</v>
      </c>
    </row>
    <row r="910">
      <c r="A910" s="158" t="s">
        <v>277</v>
      </c>
    </row>
    <row r="911">
      <c r="A911" s="1" t="s">
        <v>2320</v>
      </c>
    </row>
    <row r="912">
      <c r="A912" s="1" t="s">
        <v>2321</v>
      </c>
    </row>
    <row r="913">
      <c r="A913" s="80" t="s">
        <v>4054</v>
      </c>
    </row>
    <row r="914">
      <c r="A914" s="1" t="s">
        <v>2326</v>
      </c>
    </row>
    <row r="915">
      <c r="A915" s="1" t="s">
        <v>2328</v>
      </c>
    </row>
    <row r="916">
      <c r="A916" s="80" t="s">
        <v>4270</v>
      </c>
    </row>
    <row r="917">
      <c r="A917" s="1" t="s">
        <v>2330</v>
      </c>
    </row>
    <row r="918">
      <c r="A918" s="1" t="s">
        <v>2333</v>
      </c>
    </row>
    <row r="919">
      <c r="A919" s="1" t="s">
        <v>2337</v>
      </c>
    </row>
    <row r="920">
      <c r="A920" s="1" t="s">
        <v>2339</v>
      </c>
    </row>
    <row r="921">
      <c r="A921" s="2" t="s">
        <v>185</v>
      </c>
    </row>
    <row r="922">
      <c r="A922" s="80" t="s">
        <v>4413</v>
      </c>
    </row>
    <row r="923">
      <c r="A923" s="1" t="s">
        <v>2343</v>
      </c>
    </row>
    <row r="924">
      <c r="A924" s="1" t="s">
        <v>2345</v>
      </c>
    </row>
    <row r="925">
      <c r="A925" s="1" t="s">
        <v>2346</v>
      </c>
    </row>
    <row r="926">
      <c r="A926" s="1" t="s">
        <v>2347</v>
      </c>
    </row>
    <row r="927">
      <c r="A927" s="1" t="s">
        <v>2348</v>
      </c>
    </row>
    <row r="928">
      <c r="A928" s="1" t="s">
        <v>2349</v>
      </c>
    </row>
    <row r="929">
      <c r="A929" s="1" t="s">
        <v>3537</v>
      </c>
    </row>
    <row r="930">
      <c r="A930" s="1" t="s">
        <v>2351</v>
      </c>
    </row>
    <row r="931">
      <c r="A931" s="1" t="s">
        <v>3626</v>
      </c>
    </row>
    <row r="932">
      <c r="A932" s="1" t="s">
        <v>2354</v>
      </c>
    </row>
    <row r="933">
      <c r="A933" s="1" t="s">
        <v>2356</v>
      </c>
    </row>
    <row r="934">
      <c r="A934" s="1" t="s">
        <v>2353</v>
      </c>
    </row>
    <row r="935">
      <c r="A935" s="1" t="s">
        <v>2357</v>
      </c>
    </row>
    <row r="936">
      <c r="A936" s="1" t="s">
        <v>3628</v>
      </c>
    </row>
    <row r="937">
      <c r="A937" s="1" t="s">
        <v>2362</v>
      </c>
    </row>
    <row r="938">
      <c r="A938" s="1" t="s">
        <v>2366</v>
      </c>
    </row>
    <row r="939">
      <c r="A939" s="1" t="s">
        <v>2368</v>
      </c>
    </row>
    <row r="940">
      <c r="A940" s="160" t="s">
        <v>2370</v>
      </c>
    </row>
    <row r="941">
      <c r="A941" s="161" t="s">
        <v>2372</v>
      </c>
    </row>
    <row r="942">
      <c r="A942" s="160" t="s">
        <v>2364</v>
      </c>
    </row>
    <row r="943">
      <c r="A943" s="161" t="s">
        <v>2373</v>
      </c>
    </row>
    <row r="944">
      <c r="A944" s="160" t="s">
        <v>2378</v>
      </c>
    </row>
    <row r="945">
      <c r="A945" s="161" t="s">
        <v>2387</v>
      </c>
    </row>
    <row r="946">
      <c r="A946" s="162" t="s">
        <v>154</v>
      </c>
    </row>
    <row r="947">
      <c r="A947" s="161" t="s">
        <v>3753</v>
      </c>
    </row>
    <row r="948">
      <c r="A948" s="160" t="s">
        <v>3754</v>
      </c>
    </row>
    <row r="949">
      <c r="A949" s="161" t="s">
        <v>3756</v>
      </c>
    </row>
    <row r="950">
      <c r="A950" s="160" t="s">
        <v>3758</v>
      </c>
    </row>
    <row r="951">
      <c r="A951" s="161" t="s">
        <v>3760</v>
      </c>
    </row>
    <row r="952">
      <c r="A952" s="160" t="s">
        <v>3762</v>
      </c>
    </row>
    <row r="953">
      <c r="A953" s="161" t="s">
        <v>2391</v>
      </c>
    </row>
    <row r="954">
      <c r="A954" s="160" t="s">
        <v>2396</v>
      </c>
    </row>
    <row r="955">
      <c r="A955" s="161" t="s">
        <v>2401</v>
      </c>
    </row>
    <row r="956">
      <c r="A956" s="160" t="s">
        <v>3539</v>
      </c>
    </row>
    <row r="957">
      <c r="A957" s="161" t="s">
        <v>2403</v>
      </c>
    </row>
    <row r="958">
      <c r="A958" s="160" t="s">
        <v>2407</v>
      </c>
    </row>
    <row r="959">
      <c r="A959" s="161" t="s">
        <v>2412</v>
      </c>
    </row>
    <row r="960">
      <c r="A960" s="160" t="s">
        <v>2417</v>
      </c>
    </row>
    <row r="961">
      <c r="A961" s="161" t="s">
        <v>2421</v>
      </c>
    </row>
    <row r="962">
      <c r="A962" s="160" t="s">
        <v>2426</v>
      </c>
    </row>
    <row r="963">
      <c r="A963" s="161" t="s">
        <v>3540</v>
      </c>
    </row>
    <row r="964">
      <c r="A964" s="160" t="s">
        <v>2431</v>
      </c>
    </row>
    <row r="965">
      <c r="A965" s="161" t="s">
        <v>2436</v>
      </c>
    </row>
    <row r="966">
      <c r="A966" s="160" t="s">
        <v>2438</v>
      </c>
    </row>
    <row r="967">
      <c r="A967" s="161" t="s">
        <v>2440</v>
      </c>
    </row>
    <row r="968">
      <c r="A968" s="160" t="s">
        <v>2441</v>
      </c>
    </row>
    <row r="969">
      <c r="A969" s="163" t="s">
        <v>4613</v>
      </c>
    </row>
    <row r="970">
      <c r="A970" s="164" t="s">
        <v>4288</v>
      </c>
    </row>
    <row r="971">
      <c r="A971" s="163" t="s">
        <v>4785</v>
      </c>
    </row>
    <row r="972">
      <c r="A972" s="164" t="s">
        <v>3999</v>
      </c>
    </row>
    <row r="973">
      <c r="A973" s="163" t="s">
        <v>4560</v>
      </c>
    </row>
    <row r="974">
      <c r="A974" s="160" t="s">
        <v>2443</v>
      </c>
    </row>
    <row r="975">
      <c r="A975" s="161" t="s">
        <v>2447</v>
      </c>
    </row>
    <row r="976">
      <c r="A976" s="160" t="s">
        <v>2451</v>
      </c>
    </row>
    <row r="977">
      <c r="A977" s="165" t="s">
        <v>295</v>
      </c>
    </row>
    <row r="978">
      <c r="A978" s="164" t="s">
        <v>4093</v>
      </c>
    </row>
    <row r="979">
      <c r="A979" s="163" t="s">
        <v>4107</v>
      </c>
    </row>
    <row r="980">
      <c r="A980" s="164" t="s">
        <v>4651</v>
      </c>
    </row>
    <row r="981">
      <c r="A981" s="166" t="s">
        <v>134</v>
      </c>
    </row>
    <row r="982">
      <c r="A982" s="164" t="s">
        <v>4132</v>
      </c>
    </row>
    <row r="983">
      <c r="A983" s="161" t="s">
        <v>2455</v>
      </c>
    </row>
    <row r="984">
      <c r="A984" s="160" t="s">
        <v>2460</v>
      </c>
    </row>
    <row r="985">
      <c r="A985" s="161" t="s">
        <v>3542</v>
      </c>
    </row>
    <row r="986">
      <c r="A986" s="167" t="s">
        <v>422</v>
      </c>
    </row>
    <row r="987">
      <c r="A987" s="165" t="s">
        <v>366</v>
      </c>
    </row>
    <row r="988">
      <c r="A988" s="160" t="s">
        <v>2464</v>
      </c>
    </row>
    <row r="989">
      <c r="A989" s="168" t="s">
        <v>211</v>
      </c>
    </row>
    <row r="990">
      <c r="A990" s="160" t="s">
        <v>2466</v>
      </c>
    </row>
    <row r="991">
      <c r="A991" s="161" t="s">
        <v>2471</v>
      </c>
    </row>
    <row r="992">
      <c r="A992" s="167" t="s">
        <v>313</v>
      </c>
    </row>
    <row r="993">
      <c r="A993" s="161" t="s">
        <v>3764</v>
      </c>
    </row>
    <row r="994">
      <c r="A994" s="169" t="s">
        <v>3885</v>
      </c>
    </row>
    <row r="995">
      <c r="A995" s="163" t="s">
        <v>4302</v>
      </c>
    </row>
    <row r="996">
      <c r="A996" s="164" t="s">
        <v>4427</v>
      </c>
    </row>
    <row r="997">
      <c r="A997" s="161" t="s">
        <v>2475</v>
      </c>
    </row>
    <row r="998">
      <c r="A998" s="160" t="s">
        <v>2480</v>
      </c>
    </row>
    <row r="999">
      <c r="A999" s="170" t="s">
        <v>4864</v>
      </c>
    </row>
    <row r="1000">
      <c r="A1000" s="160" t="s">
        <v>3543</v>
      </c>
    </row>
    <row r="1001">
      <c r="A1001" s="163" t="s">
        <v>4545</v>
      </c>
    </row>
    <row r="1002">
      <c r="A1002" s="160" t="s">
        <v>2484</v>
      </c>
    </row>
    <row r="1003">
      <c r="A1003" s="171" t="s">
        <v>264</v>
      </c>
    </row>
    <row r="1004">
      <c r="A1004" s="160" t="s">
        <v>2488</v>
      </c>
    </row>
    <row r="1005">
      <c r="A1005" s="163" t="s">
        <v>4754</v>
      </c>
    </row>
    <row r="1006">
      <c r="A1006" s="1" t="s">
        <v>2490</v>
      </c>
    </row>
    <row r="1007">
      <c r="A1007" s="1" t="s">
        <v>2492</v>
      </c>
    </row>
    <row r="1008">
      <c r="A1008" s="1" t="s">
        <v>2493</v>
      </c>
    </row>
    <row r="1009">
      <c r="A1009" s="1" t="s">
        <v>2495</v>
      </c>
    </row>
    <row r="1010">
      <c r="A1010" s="80" t="s">
        <v>4662</v>
      </c>
    </row>
    <row r="1011">
      <c r="A1011" s="1" t="s">
        <v>2528</v>
      </c>
    </row>
    <row r="1012">
      <c r="A1012" s="1" t="s">
        <v>2532</v>
      </c>
    </row>
    <row r="1013">
      <c r="A1013" s="1" t="s">
        <v>2550</v>
      </c>
    </row>
    <row r="1014">
      <c r="A1014" s="1" t="s">
        <v>2552</v>
      </c>
    </row>
    <row r="1015">
      <c r="A1015" s="1" t="s">
        <v>2555</v>
      </c>
    </row>
    <row r="1016">
      <c r="A1016" s="1" t="s">
        <v>2560</v>
      </c>
    </row>
    <row r="1017">
      <c r="A1017" s="1" t="s">
        <v>2620</v>
      </c>
    </row>
    <row r="1018">
      <c r="A1018" s="131" t="s">
        <v>3886</v>
      </c>
    </row>
    <row r="1019">
      <c r="A1019" s="55" t="s">
        <v>218</v>
      </c>
    </row>
    <row r="1020">
      <c r="A1020" s="1" t="s">
        <v>2535</v>
      </c>
    </row>
    <row r="1021">
      <c r="A1021" s="1" t="s">
        <v>2539</v>
      </c>
    </row>
    <row r="1022">
      <c r="A1022" s="1" t="s">
        <v>2544</v>
      </c>
    </row>
    <row r="1023">
      <c r="A1023" s="1" t="s">
        <v>2548</v>
      </c>
    </row>
    <row r="1024">
      <c r="A1024" s="1" t="s">
        <v>2565</v>
      </c>
    </row>
    <row r="1025">
      <c r="A1025" s="1" t="s">
        <v>2570</v>
      </c>
    </row>
    <row r="1026">
      <c r="A1026" s="1" t="s">
        <v>2575</v>
      </c>
    </row>
    <row r="1027">
      <c r="A1027" s="1" t="s">
        <v>2576</v>
      </c>
    </row>
    <row r="1028">
      <c r="A1028" s="1" t="s">
        <v>2581</v>
      </c>
    </row>
    <row r="1029">
      <c r="A1029" s="1" t="s">
        <v>2586</v>
      </c>
    </row>
    <row r="1030">
      <c r="A1030" s="1" t="s">
        <v>2591</v>
      </c>
    </row>
    <row r="1031">
      <c r="A1031" s="1" t="s">
        <v>2596</v>
      </c>
    </row>
    <row r="1032">
      <c r="A1032" s="1" t="s">
        <v>2601</v>
      </c>
    </row>
    <row r="1033">
      <c r="A1033" s="1" t="s">
        <v>2606</v>
      </c>
    </row>
    <row r="1034">
      <c r="A1034" s="1" t="s">
        <v>2611</v>
      </c>
    </row>
    <row r="1035">
      <c r="A1035" s="1" t="s">
        <v>2616</v>
      </c>
    </row>
    <row r="1036">
      <c r="A1036" s="1" t="s">
        <v>2623</v>
      </c>
    </row>
    <row r="1037">
      <c r="A1037" s="1" t="s">
        <v>2624</v>
      </c>
    </row>
    <row r="1038">
      <c r="A1038" s="1" t="s">
        <v>2628</v>
      </c>
    </row>
    <row r="1039">
      <c r="A1039" s="1" t="s">
        <v>2633</v>
      </c>
    </row>
    <row r="1040">
      <c r="A1040" s="1" t="s">
        <v>2637</v>
      </c>
    </row>
    <row r="1041">
      <c r="A1041" s="1" t="s">
        <v>2642</v>
      </c>
    </row>
    <row r="1042">
      <c r="A1042" s="1" t="s">
        <v>2647</v>
      </c>
    </row>
    <row r="1043">
      <c r="A1043" s="1" t="s">
        <v>2652</v>
      </c>
    </row>
    <row r="1044">
      <c r="A1044" s="1" t="s">
        <v>2656</v>
      </c>
    </row>
    <row r="1045">
      <c r="A1045" s="1" t="s">
        <v>2661</v>
      </c>
    </row>
    <row r="1046">
      <c r="A1046" s="1" t="s">
        <v>2665</v>
      </c>
    </row>
    <row r="1047">
      <c r="A1047" s="1" t="s">
        <v>2670</v>
      </c>
    </row>
    <row r="1048">
      <c r="A1048" s="1" t="s">
        <v>2674</v>
      </c>
    </row>
    <row r="1049">
      <c r="A1049" s="1" t="s">
        <v>2677</v>
      </c>
    </row>
    <row r="1050">
      <c r="A1050" s="1" t="s">
        <v>2682</v>
      </c>
    </row>
    <row r="1051">
      <c r="A1051" s="1" t="s">
        <v>2687</v>
      </c>
    </row>
    <row r="1052">
      <c r="A1052" s="1" t="s">
        <v>2691</v>
      </c>
    </row>
    <row r="1053">
      <c r="A1053" s="80" t="s">
        <v>4665</v>
      </c>
    </row>
    <row r="1054">
      <c r="A1054" s="1" t="s">
        <v>2700</v>
      </c>
    </row>
    <row r="1055">
      <c r="A1055" s="1" t="s">
        <v>2701</v>
      </c>
    </row>
    <row r="1056">
      <c r="A1056" s="1" t="s">
        <v>2702</v>
      </c>
    </row>
    <row r="1057">
      <c r="A1057" s="1" t="s">
        <v>2707</v>
      </c>
    </row>
    <row r="1058">
      <c r="A1058" s="1" t="s">
        <v>2712</v>
      </c>
    </row>
    <row r="1059">
      <c r="A1059" s="1" t="s">
        <v>2717</v>
      </c>
    </row>
    <row r="1060">
      <c r="A1060" s="1" t="s">
        <v>2721</v>
      </c>
    </row>
    <row r="1061">
      <c r="A1061" s="1" t="s">
        <v>2726</v>
      </c>
    </row>
    <row r="1062">
      <c r="A1062" s="1" t="s">
        <v>2757</v>
      </c>
    </row>
    <row r="1063">
      <c r="A1063" s="1" t="s">
        <v>2761</v>
      </c>
    </row>
    <row r="1064">
      <c r="A1064" s="1" t="s">
        <v>2765</v>
      </c>
    </row>
    <row r="1065">
      <c r="A1065" s="1" t="s">
        <v>2766</v>
      </c>
    </row>
    <row r="1066">
      <c r="A1066" s="172" t="s">
        <v>2769</v>
      </c>
    </row>
    <row r="1067">
      <c r="A1067" s="172" t="s">
        <v>2773</v>
      </c>
    </row>
    <row r="1068">
      <c r="A1068" s="173" t="s">
        <v>4210</v>
      </c>
    </row>
    <row r="1069">
      <c r="A1069" s="172" t="s">
        <v>2776</v>
      </c>
    </row>
    <row r="1070">
      <c r="A1070" s="172" t="s">
        <v>2780</v>
      </c>
    </row>
    <row r="1071">
      <c r="A1071" s="172" t="s">
        <v>2793</v>
      </c>
    </row>
    <row r="1072">
      <c r="A1072" s="172" t="s">
        <v>2784</v>
      </c>
    </row>
    <row r="1073">
      <c r="A1073" s="172" t="s">
        <v>2789</v>
      </c>
    </row>
    <row r="1074">
      <c r="A1074" s="172" t="s">
        <v>2795</v>
      </c>
    </row>
    <row r="1075">
      <c r="A1075" s="172" t="s">
        <v>2805</v>
      </c>
    </row>
    <row r="1076">
      <c r="A1076" s="172" t="s">
        <v>2811</v>
      </c>
    </row>
    <row r="1077">
      <c r="A1077" s="172" t="s">
        <v>2816</v>
      </c>
    </row>
    <row r="1078">
      <c r="A1078" s="172" t="s">
        <v>2817</v>
      </c>
    </row>
    <row r="1079">
      <c r="A1079" s="172" t="s">
        <v>2819</v>
      </c>
    </row>
    <row r="1080">
      <c r="A1080" s="172" t="s">
        <v>2806</v>
      </c>
    </row>
    <row r="1081">
      <c r="A1081" s="172" t="s">
        <v>2812</v>
      </c>
      <c r="D1081" s="154"/>
    </row>
    <row r="1082">
      <c r="A1082" s="172" t="s">
        <v>2821</v>
      </c>
    </row>
    <row r="1083">
      <c r="A1083" s="172" t="s">
        <v>2825</v>
      </c>
    </row>
    <row r="1084">
      <c r="A1084" s="172" t="s">
        <v>2826</v>
      </c>
    </row>
    <row r="1085">
      <c r="A1085" s="172" t="s">
        <v>2834</v>
      </c>
      <c r="D1085" s="154"/>
    </row>
    <row r="1086">
      <c r="A1086" s="172" t="s">
        <v>2835</v>
      </c>
    </row>
    <row r="1087">
      <c r="A1087" s="172" t="s">
        <v>2830</v>
      </c>
    </row>
    <row r="1088">
      <c r="A1088" s="172" t="s">
        <v>2836</v>
      </c>
    </row>
    <row r="1089">
      <c r="A1089" s="172" t="s">
        <v>2840</v>
      </c>
    </row>
    <row r="1090">
      <c r="A1090" s="172" t="s">
        <v>2841</v>
      </c>
    </row>
    <row r="1091">
      <c r="A1091" s="173" t="s">
        <v>4192</v>
      </c>
    </row>
    <row r="1092">
      <c r="A1092" s="173" t="s">
        <v>4250</v>
      </c>
    </row>
    <row r="1093">
      <c r="A1093" s="173" t="s">
        <v>3962</v>
      </c>
    </row>
    <row r="1094">
      <c r="A1094" s="173" t="s">
        <v>4447</v>
      </c>
    </row>
    <row r="1095">
      <c r="A1095" s="174" t="s">
        <v>341</v>
      </c>
    </row>
    <row r="1096">
      <c r="A1096" s="172" t="s">
        <v>2501</v>
      </c>
    </row>
    <row r="1097">
      <c r="A1097" s="172" t="s">
        <v>2506</v>
      </c>
    </row>
    <row r="1098">
      <c r="A1098" s="172" t="s">
        <v>2496</v>
      </c>
    </row>
    <row r="1099">
      <c r="A1099" s="172" t="s">
        <v>2510</v>
      </c>
    </row>
    <row r="1100">
      <c r="A1100" s="174" t="s">
        <v>398</v>
      </c>
    </row>
    <row r="1101">
      <c r="A1101" s="172" t="s">
        <v>2514</v>
      </c>
    </row>
    <row r="1102">
      <c r="A1102" s="172" t="s">
        <v>2517</v>
      </c>
    </row>
    <row r="1103">
      <c r="A1103" s="172" t="s">
        <v>2521</v>
      </c>
    </row>
    <row r="1104">
      <c r="A1104" s="172" t="s">
        <v>2525</v>
      </c>
    </row>
    <row r="1105">
      <c r="A1105" s="172" t="s">
        <v>2512</v>
      </c>
    </row>
    <row r="1106">
      <c r="A1106" s="173" t="s">
        <v>4564</v>
      </c>
    </row>
    <row r="1107">
      <c r="A1107" s="172" t="s">
        <v>2695</v>
      </c>
    </row>
    <row r="1108">
      <c r="A1108" s="173" t="s">
        <v>4781</v>
      </c>
    </row>
    <row r="1109">
      <c r="A1109" s="172" t="s">
        <v>2705</v>
      </c>
    </row>
    <row r="1110">
      <c r="A1110" s="172" t="s">
        <v>2706</v>
      </c>
    </row>
    <row r="1111">
      <c r="A1111" s="173" t="s">
        <v>4533</v>
      </c>
    </row>
    <row r="1112">
      <c r="A1112" s="172" t="s">
        <v>2727</v>
      </c>
    </row>
    <row r="1113">
      <c r="A1113" s="172" t="s">
        <v>2731</v>
      </c>
    </row>
    <row r="1114">
      <c r="A1114" s="172" t="s">
        <v>2736</v>
      </c>
    </row>
    <row r="1115">
      <c r="A1115" s="172" t="s">
        <v>2738</v>
      </c>
    </row>
    <row r="1116">
      <c r="A1116" s="172" t="s">
        <v>2743</v>
      </c>
    </row>
    <row r="1117">
      <c r="A1117" s="1" t="s">
        <v>2748</v>
      </c>
    </row>
    <row r="1118">
      <c r="A1118" s="43" t="s">
        <v>135</v>
      </c>
    </row>
    <row r="1119">
      <c r="A1119" s="1" t="s">
        <v>2753</v>
      </c>
    </row>
    <row r="1120">
      <c r="A1120" s="131" t="s">
        <v>3887</v>
      </c>
    </row>
    <row r="1121">
      <c r="A1121" s="1" t="s">
        <v>2755</v>
      </c>
    </row>
    <row r="1122">
      <c r="A1122" s="1" t="s">
        <v>2799</v>
      </c>
    </row>
    <row r="1123">
      <c r="A1123" s="1" t="s">
        <v>3544</v>
      </c>
    </row>
    <row r="1124">
      <c r="A1124" s="68" t="s">
        <v>304</v>
      </c>
    </row>
    <row r="1125">
      <c r="A1125" s="117" t="s">
        <v>3704</v>
      </c>
    </row>
    <row r="1126">
      <c r="A1126" s="1" t="s">
        <v>2801</v>
      </c>
    </row>
    <row r="1127">
      <c r="A1127" s="1" t="s">
        <v>2895</v>
      </c>
    </row>
    <row r="1128">
      <c r="A1128" s="1" t="s">
        <v>2899</v>
      </c>
    </row>
    <row r="1129">
      <c r="A1129" s="1" t="s">
        <v>2842</v>
      </c>
    </row>
    <row r="1130">
      <c r="A1130" s="1" t="s">
        <v>3630</v>
      </c>
    </row>
    <row r="1131">
      <c r="A1131" s="1" t="s">
        <v>2843</v>
      </c>
    </row>
    <row r="1132">
      <c r="A1132" s="1" t="s">
        <v>2845</v>
      </c>
    </row>
    <row r="1133">
      <c r="A1133" s="117" t="s">
        <v>3706</v>
      </c>
    </row>
    <row r="1134">
      <c r="A1134" s="1" t="s">
        <v>2846</v>
      </c>
    </row>
    <row r="1135">
      <c r="A1135" s="1" t="s">
        <v>2847</v>
      </c>
    </row>
    <row r="1136">
      <c r="A1136" s="131" t="s">
        <v>3889</v>
      </c>
    </row>
    <row r="1137">
      <c r="A1137" s="1" t="s">
        <v>2848</v>
      </c>
    </row>
    <row r="1138">
      <c r="A1138" s="1" t="s">
        <v>2850</v>
      </c>
    </row>
    <row r="1139">
      <c r="A1139" s="1" t="s">
        <v>2855</v>
      </c>
    </row>
    <row r="1140">
      <c r="A1140" s="1" t="s">
        <v>2859</v>
      </c>
    </row>
    <row r="1141">
      <c r="A1141" s="1" t="s">
        <v>3545</v>
      </c>
      <c r="D1141" s="156"/>
    </row>
    <row r="1142">
      <c r="A1142" s="1" t="s">
        <v>2860</v>
      </c>
    </row>
    <row r="1143">
      <c r="A1143" s="1" t="s">
        <v>2865</v>
      </c>
    </row>
    <row r="1144">
      <c r="A1144" s="1" t="s">
        <v>2873</v>
      </c>
    </row>
    <row r="1145">
      <c r="A1145" s="172" t="s">
        <v>2875</v>
      </c>
    </row>
    <row r="1146">
      <c r="A1146" s="172" t="s">
        <v>2877</v>
      </c>
    </row>
    <row r="1147">
      <c r="A1147" s="172" t="s">
        <v>2878</v>
      </c>
    </row>
    <row r="1148">
      <c r="A1148" s="172" t="s">
        <v>2867</v>
      </c>
    </row>
    <row r="1149">
      <c r="A1149" s="172" t="s">
        <v>2869</v>
      </c>
    </row>
    <row r="1150">
      <c r="A1150" s="132" t="s">
        <v>3891</v>
      </c>
    </row>
    <row r="1151">
      <c r="A1151" s="172" t="s">
        <v>2880</v>
      </c>
    </row>
    <row r="1152">
      <c r="A1152" s="174" t="s">
        <v>296</v>
      </c>
    </row>
    <row r="1153">
      <c r="A1153" s="172" t="s">
        <v>2885</v>
      </c>
    </row>
    <row r="1154">
      <c r="A1154" s="172" t="s">
        <v>2890</v>
      </c>
    </row>
    <row r="1155">
      <c r="A1155" s="121" t="s">
        <v>3708</v>
      </c>
    </row>
    <row r="1156">
      <c r="A1156" s="173" t="s">
        <v>3953</v>
      </c>
    </row>
    <row r="1157">
      <c r="A1157" s="174" t="s">
        <v>460</v>
      </c>
    </row>
    <row r="1158">
      <c r="A1158" s="173" t="s">
        <v>4062</v>
      </c>
    </row>
    <row r="1159">
      <c r="A1159" s="173" t="s">
        <v>4235</v>
      </c>
    </row>
    <row r="1160">
      <c r="A1160" s="172" t="s">
        <v>2939</v>
      </c>
    </row>
    <row r="1161">
      <c r="A1161" s="175" t="s">
        <v>220</v>
      </c>
      <c r="D1161" s="154"/>
    </row>
    <row r="1162">
      <c r="A1162" s="172" t="s">
        <v>2944</v>
      </c>
    </row>
    <row r="1163">
      <c r="A1163" s="172" t="s">
        <v>3017</v>
      </c>
    </row>
    <row r="1164">
      <c r="A1164" s="174" t="s">
        <v>335</v>
      </c>
    </row>
    <row r="1165">
      <c r="A1165" s="176" t="s">
        <v>157</v>
      </c>
    </row>
    <row r="1166">
      <c r="A1166" s="172" t="s">
        <v>2902</v>
      </c>
    </row>
    <row r="1167">
      <c r="A1167" s="172" t="s">
        <v>2903</v>
      </c>
    </row>
    <row r="1168">
      <c r="A1168" s="172" t="s">
        <v>631</v>
      </c>
    </row>
    <row r="1169">
      <c r="A1169" s="172" t="s">
        <v>2905</v>
      </c>
    </row>
    <row r="1170">
      <c r="A1170" s="172" t="s">
        <v>2906</v>
      </c>
    </row>
    <row r="1171">
      <c r="A1171" s="172" t="s">
        <v>3547</v>
      </c>
    </row>
    <row r="1172">
      <c r="A1172" s="172" t="s">
        <v>2908</v>
      </c>
    </row>
    <row r="1173">
      <c r="A1173" s="172" t="s">
        <v>2914</v>
      </c>
      <c r="D1173" s="156"/>
    </row>
    <row r="1174">
      <c r="A1174" s="172" t="s">
        <v>2913</v>
      </c>
    </row>
    <row r="1175">
      <c r="A1175" s="172" t="s">
        <v>2916</v>
      </c>
    </row>
    <row r="1176">
      <c r="A1176" s="172" t="s">
        <v>2920</v>
      </c>
    </row>
    <row r="1177">
      <c r="A1177" s="172" t="s">
        <v>2930</v>
      </c>
    </row>
    <row r="1178">
      <c r="A1178" s="172" t="s">
        <v>2932</v>
      </c>
    </row>
    <row r="1179">
      <c r="A1179" s="172" t="s">
        <v>2933</v>
      </c>
    </row>
    <row r="1180">
      <c r="A1180" s="172" t="s">
        <v>2924</v>
      </c>
    </row>
    <row r="1181">
      <c r="A1181" s="172" t="s">
        <v>2926</v>
      </c>
    </row>
    <row r="1182">
      <c r="A1182" s="132" t="s">
        <v>3892</v>
      </c>
    </row>
    <row r="1183">
      <c r="A1183" s="172" t="s">
        <v>2935</v>
      </c>
    </row>
    <row r="1184">
      <c r="A1184" s="174" t="s">
        <v>259</v>
      </c>
    </row>
    <row r="1185">
      <c r="A1185" s="173" t="s">
        <v>3939</v>
      </c>
    </row>
    <row r="1186">
      <c r="A1186" s="121" t="s">
        <v>3710</v>
      </c>
    </row>
    <row r="1187">
      <c r="A1187" s="177" t="s">
        <v>248</v>
      </c>
    </row>
    <row r="1188">
      <c r="A1188" s="177" t="s">
        <v>249</v>
      </c>
    </row>
    <row r="1189">
      <c r="A1189" s="177" t="s">
        <v>250</v>
      </c>
    </row>
    <row r="1190">
      <c r="A1190" s="177" t="s">
        <v>251</v>
      </c>
    </row>
    <row r="1191">
      <c r="A1191" s="177" t="s">
        <v>252</v>
      </c>
    </row>
    <row r="1192">
      <c r="A1192" s="132" t="s">
        <v>3893</v>
      </c>
    </row>
    <row r="1193">
      <c r="A1193" s="132" t="s">
        <v>3894</v>
      </c>
    </row>
    <row r="1194">
      <c r="A1194" s="172" t="s">
        <v>3631</v>
      </c>
    </row>
    <row r="1195">
      <c r="A1195" s="172" t="s">
        <v>3766</v>
      </c>
    </row>
    <row r="1196">
      <c r="A1196" s="172" t="s">
        <v>3767</v>
      </c>
    </row>
    <row r="1197">
      <c r="A1197" s="172" t="s">
        <v>3633</v>
      </c>
    </row>
    <row r="1198">
      <c r="A1198" s="172" t="s">
        <v>2949</v>
      </c>
    </row>
    <row r="1199">
      <c r="A1199" s="173" t="s">
        <v>4757</v>
      </c>
    </row>
    <row r="1200">
      <c r="A1200" s="173" t="s">
        <v>4647</v>
      </c>
    </row>
    <row r="1201">
      <c r="A1201" s="172" t="s">
        <v>2951</v>
      </c>
    </row>
    <row r="1202">
      <c r="A1202" s="172" t="s">
        <v>2953</v>
      </c>
    </row>
    <row r="1203">
      <c r="A1203" s="174" t="s">
        <v>475</v>
      </c>
    </row>
    <row r="1204">
      <c r="A1204" s="172" t="s">
        <v>2958</v>
      </c>
    </row>
    <row r="1205">
      <c r="A1205" s="173" t="s">
        <v>4594</v>
      </c>
    </row>
    <row r="1206">
      <c r="A1206" s="173" t="s">
        <v>4583</v>
      </c>
    </row>
    <row r="1207">
      <c r="A1207" s="174" t="s">
        <v>452</v>
      </c>
    </row>
    <row r="1208">
      <c r="A1208" s="172" t="s">
        <v>3635</v>
      </c>
    </row>
    <row r="1209">
      <c r="A1209" s="172" t="s">
        <v>2963</v>
      </c>
    </row>
    <row r="1210">
      <c r="A1210" s="178" t="s">
        <v>212</v>
      </c>
    </row>
    <row r="1211">
      <c r="A1211" s="172" t="s">
        <v>2968</v>
      </c>
    </row>
    <row r="1212">
      <c r="A1212" s="172" t="s">
        <v>2969</v>
      </c>
    </row>
    <row r="1213">
      <c r="A1213" s="172" t="s">
        <v>2974</v>
      </c>
    </row>
    <row r="1214">
      <c r="A1214" s="172" t="s">
        <v>2978</v>
      </c>
    </row>
    <row r="1215">
      <c r="A1215" s="172" t="s">
        <v>2982</v>
      </c>
    </row>
    <row r="1216">
      <c r="A1216" s="172" t="s">
        <v>2986</v>
      </c>
      <c r="D1216" s="156"/>
    </row>
    <row r="1217">
      <c r="A1217" s="172" t="s">
        <v>2990</v>
      </c>
    </row>
    <row r="1218">
      <c r="A1218" s="174" t="s">
        <v>456</v>
      </c>
    </row>
    <row r="1219">
      <c r="A1219" s="172" t="s">
        <v>2995</v>
      </c>
    </row>
    <row r="1220">
      <c r="A1220" s="172" t="s">
        <v>2997</v>
      </c>
    </row>
    <row r="1221">
      <c r="A1221" s="172" t="s">
        <v>2999</v>
      </c>
    </row>
    <row r="1222">
      <c r="A1222" s="172" t="s">
        <v>3003</v>
      </c>
    </row>
    <row r="1223">
      <c r="A1223" s="172" t="s">
        <v>3007</v>
      </c>
    </row>
    <row r="1224">
      <c r="A1224" s="179" t="s">
        <v>640</v>
      </c>
    </row>
    <row r="1225">
      <c r="A1225" s="45" t="s">
        <v>111</v>
      </c>
    </row>
    <row r="1226">
      <c r="A1226" s="172" t="s">
        <v>3637</v>
      </c>
    </row>
    <row r="1227">
      <c r="A1227" s="172" t="s">
        <v>3548</v>
      </c>
    </row>
    <row r="1228">
      <c r="A1228" s="172" t="s">
        <v>3639</v>
      </c>
    </row>
    <row r="1229">
      <c r="A1229" s="172" t="s">
        <v>3641</v>
      </c>
    </row>
    <row r="1230">
      <c r="A1230" s="45" t="s">
        <v>136</v>
      </c>
    </row>
    <row r="1231">
      <c r="A1231" s="172" t="s">
        <v>3021</v>
      </c>
    </row>
    <row r="1232">
      <c r="A1232" s="172" t="s">
        <v>3026</v>
      </c>
    </row>
    <row r="1233">
      <c r="A1233" s="172" t="s">
        <v>3030</v>
      </c>
    </row>
    <row r="1234">
      <c r="A1234" s="173" t="s">
        <v>4704</v>
      </c>
    </row>
    <row r="1235">
      <c r="A1235" s="173" t="s">
        <v>4655</v>
      </c>
    </row>
    <row r="1236">
      <c r="A1236" s="172" t="s">
        <v>3032</v>
      </c>
    </row>
    <row r="1237">
      <c r="A1237" s="172" t="s">
        <v>3036</v>
      </c>
      <c r="D1237" s="156"/>
    </row>
    <row r="1238">
      <c r="A1238" s="172" t="s">
        <v>3040</v>
      </c>
    </row>
    <row r="1239">
      <c r="A1239" s="173" t="s">
        <v>4365</v>
      </c>
    </row>
    <row r="1240">
      <c r="A1240" s="172" t="s">
        <v>3044</v>
      </c>
    </row>
    <row r="1241">
      <c r="A1241" s="173" t="s">
        <v>4082</v>
      </c>
    </row>
    <row r="1242">
      <c r="A1242" s="173" t="s">
        <v>4621</v>
      </c>
    </row>
    <row r="1243">
      <c r="A1243" s="132" t="s">
        <v>3895</v>
      </c>
    </row>
    <row r="1244">
      <c r="A1244" s="132" t="s">
        <v>3896</v>
      </c>
    </row>
    <row r="1245">
      <c r="A1245" s="172" t="s">
        <v>3049</v>
      </c>
    </row>
    <row r="1246">
      <c r="A1246" s="121" t="s">
        <v>3711</v>
      </c>
    </row>
    <row r="1247">
      <c r="A1247" s="132" t="s">
        <v>3897</v>
      </c>
    </row>
    <row r="1248">
      <c r="A1248" s="121" t="s">
        <v>3713</v>
      </c>
    </row>
    <row r="1249">
      <c r="A1249" s="121" t="s">
        <v>3715</v>
      </c>
    </row>
    <row r="1250">
      <c r="A1250" s="132" t="s">
        <v>3898</v>
      </c>
    </row>
    <row r="1251">
      <c r="A1251" s="121" t="s">
        <v>3717</v>
      </c>
    </row>
    <row r="1252">
      <c r="A1252" s="132" t="s">
        <v>3899</v>
      </c>
    </row>
    <row r="1253">
      <c r="A1253" s="173" t="s">
        <v>4537</v>
      </c>
    </row>
    <row r="1254">
      <c r="A1254" s="172" t="s">
        <v>3050</v>
      </c>
    </row>
    <row r="1255">
      <c r="A1255" s="172" t="s">
        <v>3051</v>
      </c>
    </row>
    <row r="1256">
      <c r="A1256" s="172" t="s">
        <v>3052</v>
      </c>
    </row>
    <row r="1257">
      <c r="A1257" s="173" t="s">
        <v>4348</v>
      </c>
    </row>
    <row r="1258">
      <c r="A1258" s="172" t="s">
        <v>3061</v>
      </c>
    </row>
    <row r="1259">
      <c r="A1259" s="172" t="s">
        <v>3057</v>
      </c>
    </row>
    <row r="1260">
      <c r="A1260" s="173" t="s">
        <v>4254</v>
      </c>
    </row>
    <row r="1261">
      <c r="A1261" s="173" t="s">
        <v>4042</v>
      </c>
    </row>
    <row r="1262">
      <c r="A1262" s="172" t="s">
        <v>3066</v>
      </c>
    </row>
    <row r="1263">
      <c r="A1263" s="172" t="s">
        <v>3067</v>
      </c>
    </row>
    <row r="1264">
      <c r="A1264" s="173" t="s">
        <v>4370</v>
      </c>
    </row>
    <row r="1265">
      <c r="A1265" s="172" t="s">
        <v>3071</v>
      </c>
    </row>
    <row r="1266">
      <c r="A1266" s="172" t="s">
        <v>3644</v>
      </c>
    </row>
    <row r="1267">
      <c r="A1267" s="172" t="s">
        <v>3076</v>
      </c>
    </row>
    <row r="1268">
      <c r="A1268" s="132" t="s">
        <v>3900</v>
      </c>
    </row>
    <row r="1269">
      <c r="A1269" s="172" t="s">
        <v>3081</v>
      </c>
    </row>
    <row r="1270">
      <c r="A1270" s="172" t="s">
        <v>3086</v>
      </c>
    </row>
    <row r="1271">
      <c r="A1271" s="172" t="s">
        <v>3089</v>
      </c>
    </row>
    <row r="1272">
      <c r="A1272" s="173" t="s">
        <v>4587</v>
      </c>
    </row>
    <row r="1273">
      <c r="A1273" s="132" t="s">
        <v>3901</v>
      </c>
    </row>
    <row r="1274">
      <c r="A1274" s="172" t="s">
        <v>3093</v>
      </c>
    </row>
    <row r="1275">
      <c r="A1275" s="172" t="s">
        <v>3098</v>
      </c>
    </row>
    <row r="1276">
      <c r="A1276" s="172" t="s">
        <v>3103</v>
      </c>
    </row>
    <row r="1277">
      <c r="A1277" s="172" t="s">
        <v>3106</v>
      </c>
    </row>
    <row r="1278">
      <c r="A1278" s="173" t="s">
        <v>4692</v>
      </c>
    </row>
    <row r="1279">
      <c r="A1279" s="172" t="s">
        <v>3108</v>
      </c>
    </row>
    <row r="1280">
      <c r="A1280" s="172" t="s">
        <v>3111</v>
      </c>
    </row>
    <row r="1281">
      <c r="A1281" s="173" t="s">
        <v>3949</v>
      </c>
    </row>
    <row r="1282">
      <c r="A1282" s="172" t="s">
        <v>3116</v>
      </c>
      <c r="D1282" s="156"/>
    </row>
    <row r="1283">
      <c r="A1283" s="172" t="s">
        <v>3549</v>
      </c>
    </row>
    <row r="1284">
      <c r="A1284" s="45" t="s">
        <v>137</v>
      </c>
    </row>
    <row r="1285">
      <c r="A1285" s="172" t="s">
        <v>3121</v>
      </c>
    </row>
    <row r="1286">
      <c r="A1286" s="172" t="s">
        <v>3123</v>
      </c>
    </row>
    <row r="1287">
      <c r="A1287" s="172" t="s">
        <v>3128</v>
      </c>
    </row>
    <row r="1288">
      <c r="A1288" s="132" t="s">
        <v>3902</v>
      </c>
    </row>
    <row r="1289">
      <c r="A1289" s="172" t="s">
        <v>3133</v>
      </c>
    </row>
    <row r="1290">
      <c r="A1290" s="172" t="s">
        <v>3135</v>
      </c>
    </row>
    <row r="1291">
      <c r="A1291" s="172" t="s">
        <v>3139</v>
      </c>
    </row>
    <row r="1292">
      <c r="A1292" s="172" t="s">
        <v>3144</v>
      </c>
    </row>
    <row r="1293">
      <c r="A1293" s="172" t="s">
        <v>3146</v>
      </c>
    </row>
    <row r="1294">
      <c r="A1294" s="172" t="s">
        <v>3148</v>
      </c>
    </row>
    <row r="1295">
      <c r="A1295" s="172" t="s">
        <v>3149</v>
      </c>
    </row>
    <row r="1296">
      <c r="A1296" s="132" t="s">
        <v>3903</v>
      </c>
    </row>
    <row r="1297">
      <c r="A1297" s="172" t="s">
        <v>3152</v>
      </c>
    </row>
    <row r="1298">
      <c r="A1298" s="172" t="s">
        <v>3171</v>
      </c>
    </row>
    <row r="1299">
      <c r="A1299" s="172" t="s">
        <v>3153</v>
      </c>
    </row>
    <row r="1300">
      <c r="A1300" s="172" t="s">
        <v>3158</v>
      </c>
    </row>
    <row r="1301">
      <c r="A1301" s="172" t="s">
        <v>3163</v>
      </c>
    </row>
    <row r="1302">
      <c r="A1302" s="173" t="s">
        <v>4373</v>
      </c>
      <c r="D1302" s="156"/>
    </row>
    <row r="1303">
      <c r="A1303" s="172" t="s">
        <v>3167</v>
      </c>
    </row>
    <row r="1304">
      <c r="A1304" s="45" t="s">
        <v>139</v>
      </c>
    </row>
    <row r="1305">
      <c r="A1305" s="121" t="s">
        <v>3721</v>
      </c>
    </row>
    <row r="1306">
      <c r="A1306" s="172" t="s">
        <v>3176</v>
      </c>
    </row>
    <row r="1307">
      <c r="A1307" s="172" t="s">
        <v>3646</v>
      </c>
    </row>
    <row r="1308">
      <c r="A1308" s="172" t="s">
        <v>3178</v>
      </c>
    </row>
    <row r="1309">
      <c r="A1309" s="172" t="s">
        <v>3183</v>
      </c>
    </row>
    <row r="1310">
      <c r="A1310" s="173" t="s">
        <v>4016</v>
      </c>
    </row>
    <row r="1311">
      <c r="A1311" s="172" t="s">
        <v>3648</v>
      </c>
    </row>
    <row r="1312">
      <c r="A1312" s="172" t="s">
        <v>3184</v>
      </c>
    </row>
    <row r="1313">
      <c r="A1313" s="172" t="s">
        <v>3189</v>
      </c>
    </row>
    <row r="1314">
      <c r="A1314" s="172" t="s">
        <v>3193</v>
      </c>
    </row>
    <row r="1315">
      <c r="A1315" s="172" t="s">
        <v>3197</v>
      </c>
    </row>
    <row r="1316">
      <c r="A1316" s="45" t="s">
        <v>119</v>
      </c>
    </row>
    <row r="1317">
      <c r="A1317" s="172" t="s">
        <v>3202</v>
      </c>
    </row>
    <row r="1318">
      <c r="A1318" s="177" t="s">
        <v>253</v>
      </c>
    </row>
    <row r="1319">
      <c r="A1319" s="1" t="s">
        <v>3207</v>
      </c>
    </row>
    <row r="1320">
      <c r="A1320" s="43" t="s">
        <v>138</v>
      </c>
    </row>
    <row r="1321">
      <c r="A1321" s="1" t="s">
        <v>3212</v>
      </c>
    </row>
    <row r="1322">
      <c r="A1322" s="1" t="s">
        <v>3217</v>
      </c>
    </row>
    <row r="1323">
      <c r="A1323" s="1" t="s">
        <v>3222</v>
      </c>
    </row>
    <row r="1324">
      <c r="A1324" s="1" t="s">
        <v>3226</v>
      </c>
    </row>
    <row r="1325">
      <c r="A1325" s="1" t="s">
        <v>3231</v>
      </c>
    </row>
    <row r="1326">
      <c r="A1326" s="1" t="s">
        <v>3236</v>
      </c>
    </row>
    <row r="1327">
      <c r="A1327" s="1" t="s">
        <v>3237</v>
      </c>
    </row>
    <row r="1328">
      <c r="A1328" s="1" t="s">
        <v>3239</v>
      </c>
      <c r="D1328" s="156"/>
    </row>
    <row r="1329">
      <c r="A1329" s="1" t="s">
        <v>3241</v>
      </c>
    </row>
    <row r="1330">
      <c r="A1330" s="1" t="s">
        <v>3242</v>
      </c>
    </row>
    <row r="1331">
      <c r="A1331" s="1" t="s">
        <v>3243</v>
      </c>
    </row>
    <row r="1332">
      <c r="A1332" s="1" t="s">
        <v>3245</v>
      </c>
    </row>
    <row r="1333">
      <c r="A1333" s="1" t="s">
        <v>3246</v>
      </c>
    </row>
    <row r="1334">
      <c r="A1334" s="1" t="s">
        <v>3248</v>
      </c>
    </row>
    <row r="1335">
      <c r="A1335" s="1" t="s">
        <v>3250</v>
      </c>
    </row>
    <row r="1336">
      <c r="A1336" s="1" t="s">
        <v>3251</v>
      </c>
    </row>
    <row r="1337">
      <c r="A1337" s="1" t="s">
        <v>3252</v>
      </c>
    </row>
    <row r="1338">
      <c r="A1338" s="1" t="s">
        <v>3256</v>
      </c>
    </row>
    <row r="1339">
      <c r="A1339" s="1" t="s">
        <v>3261</v>
      </c>
    </row>
    <row r="1340">
      <c r="A1340" s="1" t="s">
        <v>3551</v>
      </c>
    </row>
    <row r="1341">
      <c r="A1341" s="1" t="s">
        <v>3263</v>
      </c>
    </row>
    <row r="1342">
      <c r="A1342" s="1" t="s">
        <v>3268</v>
      </c>
    </row>
    <row r="1343">
      <c r="A1343" s="1" t="s">
        <v>3273</v>
      </c>
    </row>
    <row r="1344">
      <c r="A1344" s="1" t="s">
        <v>3278</v>
      </c>
    </row>
    <row r="1345">
      <c r="A1345" s="1" t="s">
        <v>3275</v>
      </c>
    </row>
    <row r="1346">
      <c r="A1346" s="1" t="s">
        <v>3277</v>
      </c>
    </row>
    <row r="1347">
      <c r="A1347" s="1" t="s">
        <v>3279</v>
      </c>
    </row>
    <row r="1348">
      <c r="A1348" s="131" t="s">
        <v>3798</v>
      </c>
    </row>
    <row r="1349">
      <c r="A1349" s="1" t="s">
        <v>3283</v>
      </c>
    </row>
    <row r="1350">
      <c r="A1350" s="1" t="s">
        <v>3284</v>
      </c>
    </row>
    <row r="1351">
      <c r="A1351" s="1" t="s">
        <v>3286</v>
      </c>
    </row>
    <row r="1352">
      <c r="A1352" s="1" t="s">
        <v>3552</v>
      </c>
    </row>
    <row r="1353">
      <c r="A1353" s="1" t="s">
        <v>3289</v>
      </c>
    </row>
    <row r="1354">
      <c r="A1354" s="131" t="s">
        <v>3904</v>
      </c>
    </row>
    <row r="1355">
      <c r="A1355" s="1" t="s">
        <v>3769</v>
      </c>
    </row>
    <row r="1356">
      <c r="A1356" s="1" t="s">
        <v>3294</v>
      </c>
    </row>
    <row r="1357">
      <c r="A1357" s="1" t="s">
        <v>3299</v>
      </c>
    </row>
    <row r="1358">
      <c r="A1358" s="1" t="s">
        <v>3303</v>
      </c>
      <c r="D1358" s="154"/>
    </row>
    <row r="1359">
      <c r="A1359" s="1" t="s">
        <v>3308</v>
      </c>
      <c r="D1359" s="154"/>
    </row>
    <row r="1360">
      <c r="A1360" s="1" t="s">
        <v>3309</v>
      </c>
    </row>
    <row r="1361">
      <c r="A1361" s="1" t="s">
        <v>3314</v>
      </c>
    </row>
    <row r="1362">
      <c r="A1362" s="1" t="s">
        <v>3318</v>
      </c>
    </row>
    <row r="1363">
      <c r="A1363" s="1" t="s">
        <v>3322</v>
      </c>
    </row>
    <row r="1364">
      <c r="A1364" s="1" t="s">
        <v>3325</v>
      </c>
    </row>
    <row r="1365">
      <c r="A1365" s="1" t="s">
        <v>3330</v>
      </c>
    </row>
    <row r="1366">
      <c r="A1366" s="1" t="s">
        <v>3332</v>
      </c>
    </row>
    <row r="1367">
      <c r="A1367" s="131" t="s">
        <v>3905</v>
      </c>
    </row>
    <row r="1368">
      <c r="A1368" s="1" t="s">
        <v>3650</v>
      </c>
    </row>
    <row r="1369">
      <c r="A1369" s="1" t="s">
        <v>3336</v>
      </c>
    </row>
    <row r="1370">
      <c r="A1370" s="1" t="s">
        <v>3652</v>
      </c>
    </row>
    <row r="1371">
      <c r="A1371" s="131" t="s">
        <v>3906</v>
      </c>
    </row>
    <row r="1372">
      <c r="A1372" s="80" t="s">
        <v>4065</v>
      </c>
    </row>
    <row r="1373">
      <c r="A1373" s="68" t="s">
        <v>327</v>
      </c>
    </row>
    <row r="1374">
      <c r="A1374" s="1" t="s">
        <v>3338</v>
      </c>
    </row>
    <row r="1375">
      <c r="A1375" s="1" t="s">
        <v>3340</v>
      </c>
    </row>
    <row r="1376">
      <c r="A1376" s="1" t="s">
        <v>3345</v>
      </c>
    </row>
    <row r="1377">
      <c r="A1377" s="1" t="s">
        <v>3553</v>
      </c>
    </row>
    <row r="1378">
      <c r="A1378" s="1" t="s">
        <v>3349</v>
      </c>
    </row>
    <row r="1379">
      <c r="A1379" s="1" t="s">
        <v>3351</v>
      </c>
    </row>
    <row r="1380">
      <c r="A1380" s="1" t="s">
        <v>3352</v>
      </c>
    </row>
    <row r="1381">
      <c r="A1381" s="1" t="s">
        <v>3357</v>
      </c>
    </row>
    <row r="1382">
      <c r="A1382" s="1" t="s">
        <v>3366</v>
      </c>
    </row>
    <row r="1383">
      <c r="A1383" s="1" t="s">
        <v>3362</v>
      </c>
    </row>
    <row r="1384">
      <c r="A1384" s="80" t="s">
        <v>4073</v>
      </c>
    </row>
    <row r="1385">
      <c r="A1385" s="80" t="s">
        <v>4775</v>
      </c>
    </row>
    <row r="1386">
      <c r="A1386" s="1" t="s">
        <v>3555</v>
      </c>
    </row>
    <row r="1387">
      <c r="A1387" s="68" t="s">
        <v>396</v>
      </c>
    </row>
    <row r="1388">
      <c r="A1388" s="1" t="s">
        <v>2211</v>
      </c>
    </row>
    <row r="1389">
      <c r="A1389" s="1" t="s">
        <v>3556</v>
      </c>
    </row>
    <row r="1390">
      <c r="A1390" s="43" t="s">
        <v>113</v>
      </c>
    </row>
    <row r="1391">
      <c r="A1391" s="1" t="s">
        <v>3369</v>
      </c>
    </row>
    <row r="1392">
      <c r="A1392" s="1" t="s">
        <v>3370</v>
      </c>
    </row>
    <row r="1393">
      <c r="A1393" s="43" t="s">
        <v>114</v>
      </c>
    </row>
    <row r="1394">
      <c r="A1394" s="1" t="s">
        <v>3373</v>
      </c>
    </row>
    <row r="1395">
      <c r="A1395" s="1" t="s">
        <v>3377</v>
      </c>
    </row>
    <row r="1396">
      <c r="A1396" s="1" t="s">
        <v>3654</v>
      </c>
    </row>
    <row r="1397">
      <c r="A1397" s="1" t="s">
        <v>3656</v>
      </c>
    </row>
    <row r="1398">
      <c r="A1398" s="80" t="s">
        <v>4027</v>
      </c>
    </row>
    <row r="1399">
      <c r="A1399" s="80" t="s">
        <v>257</v>
      </c>
    </row>
    <row r="1400">
      <c r="A1400" s="1" t="s">
        <v>3382</v>
      </c>
    </row>
    <row r="1401">
      <c r="A1401" s="1" t="s">
        <v>3384</v>
      </c>
    </row>
    <row r="1402">
      <c r="A1402" s="80" t="s">
        <v>4364</v>
      </c>
    </row>
    <row r="1403">
      <c r="A1403" s="1" t="s">
        <v>3771</v>
      </c>
    </row>
    <row r="1404">
      <c r="A1404" s="117" t="s">
        <v>3723</v>
      </c>
    </row>
    <row r="1405">
      <c r="A1405" s="131" t="s">
        <v>3800</v>
      </c>
    </row>
    <row r="1406">
      <c r="A1406" s="1" t="s">
        <v>3659</v>
      </c>
    </row>
    <row r="1407">
      <c r="A1407" s="131" t="s">
        <v>3907</v>
      </c>
    </row>
    <row r="1408">
      <c r="A1408" s="1" t="s">
        <v>3773</v>
      </c>
    </row>
    <row r="1409">
      <c r="A1409" s="117" t="s">
        <v>3724</v>
      </c>
    </row>
    <row r="1410">
      <c r="A1410" s="117" t="s">
        <v>3726</v>
      </c>
    </row>
    <row r="1411">
      <c r="A1411" s="117" t="s">
        <v>3727</v>
      </c>
    </row>
    <row r="1412">
      <c r="A1412" s="1" t="s">
        <v>3661</v>
      </c>
    </row>
    <row r="1413">
      <c r="A1413" s="1" t="s">
        <v>3663</v>
      </c>
    </row>
    <row r="1414">
      <c r="A1414" s="131" t="s">
        <v>3908</v>
      </c>
    </row>
    <row r="1415">
      <c r="A1415" s="1" t="s">
        <v>3775</v>
      </c>
    </row>
    <row r="1416">
      <c r="A1416" s="117" t="s">
        <v>3728</v>
      </c>
    </row>
    <row r="1417">
      <c r="A1417" s="1" t="s">
        <v>3777</v>
      </c>
    </row>
    <row r="1418">
      <c r="A1418" s="1" t="s">
        <v>3779</v>
      </c>
    </row>
    <row r="1419">
      <c r="A1419" s="1" t="s">
        <v>3389</v>
      </c>
    </row>
    <row r="1420">
      <c r="A1420" s="68" t="s">
        <v>343</v>
      </c>
    </row>
    <row r="1421">
      <c r="A1421" s="1" t="s">
        <v>3393</v>
      </c>
    </row>
    <row r="1422">
      <c r="A1422" s="1" t="s">
        <v>3397</v>
      </c>
    </row>
    <row r="1423">
      <c r="A1423" s="1" t="s">
        <v>627</v>
      </c>
    </row>
    <row r="1424">
      <c r="A1424" s="1" t="s">
        <v>3402</v>
      </c>
    </row>
    <row r="1425">
      <c r="A1425" s="117" t="s">
        <v>3730</v>
      </c>
    </row>
    <row r="1426">
      <c r="A1426" s="131" t="s">
        <v>3909</v>
      </c>
    </row>
    <row r="1427">
      <c r="A1427" s="1" t="s">
        <v>3407</v>
      </c>
    </row>
    <row r="1428">
      <c r="A1428" s="1" t="s">
        <v>3412</v>
      </c>
    </row>
    <row r="1429">
      <c r="A1429" s="1" t="s">
        <v>3417</v>
      </c>
    </row>
    <row r="1430">
      <c r="A1430" s="1" t="s">
        <v>3420</v>
      </c>
    </row>
    <row r="1431">
      <c r="A1431" s="1" t="s">
        <v>3425</v>
      </c>
    </row>
    <row r="1432">
      <c r="A1432" s="56" t="s">
        <v>258</v>
      </c>
    </row>
    <row r="1433">
      <c r="A1433" s="1" t="s">
        <v>3432</v>
      </c>
    </row>
    <row r="1434">
      <c r="A1434" s="1" t="s">
        <v>3434</v>
      </c>
    </row>
    <row r="1435">
      <c r="A1435" s="131" t="s">
        <v>3910</v>
      </c>
    </row>
    <row r="1436">
      <c r="A1436" s="80" t="s">
        <v>4176</v>
      </c>
    </row>
    <row r="1437">
      <c r="A1437" s="80" t="s">
        <v>4172</v>
      </c>
    </row>
    <row r="1438">
      <c r="A1438" s="80" t="s">
        <v>4170</v>
      </c>
    </row>
    <row r="1439">
      <c r="A1439" s="80" t="s">
        <v>4746</v>
      </c>
    </row>
    <row r="1440">
      <c r="A1440" s="80" t="s">
        <v>4174</v>
      </c>
    </row>
    <row r="1441">
      <c r="A1441" s="80" t="s">
        <v>4745</v>
      </c>
    </row>
    <row r="1442">
      <c r="A1442" s="80" t="s">
        <v>4168</v>
      </c>
    </row>
    <row r="1443">
      <c r="A1443" s="80" t="s">
        <v>4162</v>
      </c>
    </row>
    <row r="1444">
      <c r="A1444" s="80" t="s">
        <v>4748</v>
      </c>
    </row>
    <row r="1445">
      <c r="A1445" s="80" t="s">
        <v>4750</v>
      </c>
    </row>
    <row r="1446">
      <c r="A1446" s="80" t="s">
        <v>4163</v>
      </c>
    </row>
    <row r="1447">
      <c r="A1447" s="80" t="s">
        <v>4752</v>
      </c>
    </row>
    <row r="1448">
      <c r="A1448" s="80" t="s">
        <v>4165</v>
      </c>
    </row>
    <row r="1449">
      <c r="A1449" s="80" t="s">
        <v>4167</v>
      </c>
    </row>
    <row r="1450">
      <c r="A1450" s="1" t="s">
        <v>3436</v>
      </c>
    </row>
    <row r="1451">
      <c r="A1451" s="1" t="s">
        <v>3441</v>
      </c>
    </row>
    <row r="1452">
      <c r="A1452" s="1" t="s">
        <v>3559</v>
      </c>
    </row>
    <row r="1453">
      <c r="A1453" s="1" t="s">
        <v>3560</v>
      </c>
    </row>
    <row r="1454">
      <c r="A1454" s="1" t="s">
        <v>3446</v>
      </c>
    </row>
    <row r="1455">
      <c r="A1455" s="68" t="s">
        <v>416</v>
      </c>
    </row>
    <row r="1456">
      <c r="A1456" s="1" t="s">
        <v>3430</v>
      </c>
    </row>
    <row r="1457">
      <c r="A1457" s="1" t="s">
        <v>3449</v>
      </c>
    </row>
    <row r="1458">
      <c r="A1458" s="68" t="s">
        <v>444</v>
      </c>
    </row>
    <row r="1459">
      <c r="A1459" s="1" t="s">
        <v>3451</v>
      </c>
    </row>
    <row r="1460">
      <c r="A1460" s="1" t="s">
        <v>3454</v>
      </c>
    </row>
    <row r="1461">
      <c r="A1461" s="1" t="s">
        <v>3458</v>
      </c>
    </row>
    <row r="1462">
      <c r="A1462" s="1" t="s">
        <v>3459</v>
      </c>
    </row>
    <row r="1463">
      <c r="A1463" s="1" t="s">
        <v>3460</v>
      </c>
    </row>
    <row r="1464">
      <c r="A1464" s="1" t="s">
        <v>3464</v>
      </c>
    </row>
    <row r="1465">
      <c r="A1465" s="2" t="s">
        <v>160</v>
      </c>
    </row>
    <row r="1466">
      <c r="A1466" s="1" t="s">
        <v>3466</v>
      </c>
      <c r="D1466" s="156"/>
    </row>
    <row r="1467">
      <c r="A1467" s="1" t="s">
        <v>3467</v>
      </c>
    </row>
    <row r="1468">
      <c r="A1468" s="1" t="s">
        <v>3468</v>
      </c>
    </row>
    <row r="1469">
      <c r="A1469" s="1" t="s">
        <v>3469</v>
      </c>
      <c r="D1469" s="154"/>
    </row>
    <row r="1470">
      <c r="A1470" s="68" t="s">
        <v>359</v>
      </c>
    </row>
    <row r="1471">
      <c r="A1471" s="1" t="s">
        <v>3472</v>
      </c>
    </row>
    <row r="1472">
      <c r="A1472" s="1" t="s">
        <v>3477</v>
      </c>
    </row>
    <row r="1473">
      <c r="A1473" s="1" t="s">
        <v>3481</v>
      </c>
    </row>
    <row r="1474">
      <c r="A1474" s="2" t="s">
        <v>143</v>
      </c>
    </row>
    <row r="1475">
      <c r="A1475" s="1" t="s">
        <v>3486</v>
      </c>
    </row>
    <row r="1476">
      <c r="A1476" s="68" t="s">
        <v>333</v>
      </c>
    </row>
    <row r="1477">
      <c r="A1477" s="68" t="s">
        <v>365</v>
      </c>
    </row>
    <row r="1478">
      <c r="A1478" s="1" t="s">
        <v>3489</v>
      </c>
    </row>
    <row r="1479">
      <c r="A1479" s="1" t="s">
        <v>3490</v>
      </c>
    </row>
    <row r="1480">
      <c r="A1480" s="1" t="s">
        <v>3493</v>
      </c>
    </row>
    <row r="1481">
      <c r="A1481" s="68" t="s">
        <v>319</v>
      </c>
      <c r="D1481" s="156"/>
    </row>
    <row r="1482">
      <c r="A1482" s="80" t="s">
        <v>4247</v>
      </c>
    </row>
    <row r="1483">
      <c r="A1483" s="159" t="s">
        <v>209</v>
      </c>
    </row>
    <row r="1484">
      <c r="A1484" s="1" t="s">
        <v>3495</v>
      </c>
    </row>
    <row r="1485">
      <c r="A1485" s="1" t="s">
        <v>3497</v>
      </c>
    </row>
    <row r="1486">
      <c r="A1486" s="1" t="s">
        <v>3502</v>
      </c>
      <c r="D1486" s="156"/>
    </row>
    <row r="1487">
      <c r="A1487" s="1" t="s">
        <v>3507</v>
      </c>
    </row>
    <row r="1612">
      <c r="D1612" s="156"/>
    </row>
    <row r="1654">
      <c r="D1654" s="156"/>
    </row>
    <row r="1687">
      <c r="D1687" s="156"/>
    </row>
    <row r="1706">
      <c r="D1706" s="154"/>
    </row>
    <row r="1737">
      <c r="D1737" s="156"/>
    </row>
    <row r="1970">
      <c r="D1970" s="154"/>
    </row>
    <row r="2032">
      <c r="D2032" s="156"/>
    </row>
    <row r="2051">
      <c r="D2051" s="154"/>
    </row>
    <row r="2124">
      <c r="D2124" s="154"/>
    </row>
    <row r="2298">
      <c r="D2298" s="154"/>
    </row>
    <row r="2309">
      <c r="D2309" s="156"/>
    </row>
    <row r="2311">
      <c r="D2311" s="154"/>
    </row>
    <row r="2315">
      <c r="D2315" s="156"/>
    </row>
    <row r="2318">
      <c r="D2318" s="154"/>
    </row>
    <row r="2473">
      <c r="D2473" s="180"/>
    </row>
    <row r="2474">
      <c r="D2474" s="181"/>
    </row>
    <row r="2475">
      <c r="D2475" s="180"/>
    </row>
    <row r="2476">
      <c r="D2476" s="181"/>
    </row>
    <row r="2477">
      <c r="D2477" s="180"/>
    </row>
    <row r="2478">
      <c r="D2478" s="181"/>
    </row>
    <row r="2479">
      <c r="D2479" s="180"/>
    </row>
    <row r="2480">
      <c r="D2480" s="181"/>
    </row>
    <row r="2481">
      <c r="D2481" s="180"/>
    </row>
    <row r="2482">
      <c r="D2482" s="181"/>
    </row>
    <row r="2483">
      <c r="D2483" s="180"/>
    </row>
    <row r="2484">
      <c r="D2484" s="181"/>
    </row>
    <row r="2485">
      <c r="D2485" s="180"/>
    </row>
    <row r="2486">
      <c r="D2486" s="181"/>
    </row>
    <row r="2487">
      <c r="D2487" s="180"/>
    </row>
    <row r="2488">
      <c r="D2488" s="181"/>
    </row>
    <row r="2489">
      <c r="D2489" s="180"/>
    </row>
    <row r="2490">
      <c r="D2490" s="181"/>
    </row>
    <row r="2491">
      <c r="D2491" s="180"/>
    </row>
    <row r="2492">
      <c r="D2492" s="181"/>
    </row>
    <row r="2493">
      <c r="D2493" s="180"/>
    </row>
    <row r="2494">
      <c r="D2494" s="181"/>
    </row>
    <row r="2495">
      <c r="D2495" s="180"/>
    </row>
    <row r="2496">
      <c r="D2496" s="181"/>
    </row>
    <row r="2497">
      <c r="D2497" s="180"/>
    </row>
    <row r="2498">
      <c r="D2498" s="181"/>
    </row>
    <row r="2499">
      <c r="D2499" s="180"/>
    </row>
    <row r="2500">
      <c r="D2500" s="181"/>
    </row>
    <row r="2501">
      <c r="D2501" s="180"/>
    </row>
    <row r="2502">
      <c r="D2502" s="181"/>
    </row>
    <row r="2503">
      <c r="D2503" s="180"/>
    </row>
    <row r="2504">
      <c r="D2504" s="181"/>
    </row>
    <row r="2505">
      <c r="D2505" s="180"/>
    </row>
    <row r="2506">
      <c r="D2506" s="181"/>
    </row>
    <row r="2507">
      <c r="D2507" s="180"/>
    </row>
    <row r="2508">
      <c r="D2508" s="181"/>
    </row>
    <row r="2509">
      <c r="D2509" s="180"/>
    </row>
    <row r="2510">
      <c r="D2510" s="181"/>
    </row>
    <row r="2511">
      <c r="D2511" s="180"/>
    </row>
    <row r="2512">
      <c r="D2512" s="181"/>
    </row>
    <row r="2513">
      <c r="D2513" s="180"/>
    </row>
    <row r="2514">
      <c r="D2514" s="181"/>
    </row>
    <row r="2515">
      <c r="D2515" s="180"/>
    </row>
    <row r="2516">
      <c r="D2516" s="181"/>
    </row>
    <row r="2517">
      <c r="D2517" s="180"/>
    </row>
    <row r="2518">
      <c r="D2518" s="182"/>
    </row>
  </sheetData>
  <autoFilter ref="$A$1:$Z$3395">
    <sortState ref="A1:Z3395">
      <sortCondition ref="A1:A3395"/>
    </sortState>
  </autoFilter>
  <conditionalFormatting sqref="A1065">
    <cfRule type="notContainsBlanks" dxfId="5" priority="1">
      <formula>LEN(TRIM(A1065))&gt;0</formula>
    </cfRule>
  </conditionalFormatting>
  <hyperlinks>
    <hyperlink r:id="rId1" location="nt104" ref="A999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>
        <v>3.4577635E7</v>
      </c>
      <c r="B1" s="2" t="s">
        <v>23</v>
      </c>
    </row>
    <row r="2">
      <c r="A2" s="183" t="s">
        <v>4865</v>
      </c>
      <c r="B2" s="183" t="s">
        <v>279</v>
      </c>
      <c r="C2" s="183" t="s">
        <v>4866</v>
      </c>
      <c r="D2" s="184"/>
      <c r="E2" s="184"/>
      <c r="F2" s="183" t="s">
        <v>4867</v>
      </c>
      <c r="G2" s="184"/>
      <c r="H2" s="184"/>
      <c r="I2" s="183" t="s">
        <v>4868</v>
      </c>
      <c r="J2" s="184"/>
      <c r="K2" s="184"/>
    </row>
    <row r="3">
      <c r="C3" s="183" t="s">
        <v>4869</v>
      </c>
      <c r="D3" s="183" t="s">
        <v>4870</v>
      </c>
      <c r="E3" s="183" t="s">
        <v>4871</v>
      </c>
      <c r="F3" s="183" t="s">
        <v>4869</v>
      </c>
      <c r="G3" s="183" t="s">
        <v>4870</v>
      </c>
      <c r="H3" s="183" t="s">
        <v>4871</v>
      </c>
      <c r="I3" s="183" t="s">
        <v>4869</v>
      </c>
      <c r="J3" s="183" t="s">
        <v>4870</v>
      </c>
      <c r="K3" s="183" t="s">
        <v>4871</v>
      </c>
    </row>
    <row r="4">
      <c r="A4" s="185">
        <v>1.0</v>
      </c>
      <c r="B4" s="185" t="s">
        <v>4872</v>
      </c>
      <c r="C4" s="185">
        <v>0.04</v>
      </c>
      <c r="D4" s="185">
        <v>0.01</v>
      </c>
      <c r="E4" s="185">
        <v>0.04</v>
      </c>
      <c r="F4" s="185">
        <v>0.05</v>
      </c>
      <c r="G4" s="185">
        <v>0.01</v>
      </c>
      <c r="H4" s="185">
        <v>0.05</v>
      </c>
      <c r="I4" s="185">
        <v>0.05</v>
      </c>
      <c r="J4" s="185">
        <v>0.01</v>
      </c>
      <c r="K4" s="185">
        <v>0.05</v>
      </c>
    </row>
    <row r="5">
      <c r="A5" s="185">
        <v>2.0</v>
      </c>
      <c r="B5" s="185" t="s">
        <v>453</v>
      </c>
      <c r="C5" s="185">
        <v>86.43</v>
      </c>
      <c r="D5" s="185">
        <v>20.57</v>
      </c>
      <c r="E5" s="185">
        <v>88.3</v>
      </c>
      <c r="F5" s="185">
        <v>114.47</v>
      </c>
      <c r="G5" s="185">
        <v>32.3</v>
      </c>
      <c r="H5" s="185">
        <v>112.0</v>
      </c>
      <c r="I5" s="185">
        <v>105.91</v>
      </c>
      <c r="J5" s="185">
        <v>15.63</v>
      </c>
      <c r="K5" s="185">
        <v>105.5</v>
      </c>
    </row>
    <row r="6">
      <c r="A6" s="185">
        <v>3.0</v>
      </c>
      <c r="B6" s="185" t="s">
        <v>3558</v>
      </c>
      <c r="C6" s="185">
        <v>61.88</v>
      </c>
      <c r="D6" s="185">
        <v>12.51</v>
      </c>
      <c r="E6" s="185">
        <v>57.8</v>
      </c>
      <c r="F6" s="185">
        <v>86.95</v>
      </c>
      <c r="G6" s="185">
        <v>25.96</v>
      </c>
      <c r="H6" s="185">
        <v>82.5</v>
      </c>
      <c r="I6" s="185">
        <v>90.75</v>
      </c>
      <c r="J6" s="185">
        <v>38.16</v>
      </c>
      <c r="K6" s="185">
        <v>80.55</v>
      </c>
    </row>
    <row r="7">
      <c r="A7" s="185">
        <v>4.0</v>
      </c>
      <c r="B7" s="185" t="s">
        <v>4873</v>
      </c>
      <c r="C7" s="185">
        <v>0.11</v>
      </c>
      <c r="D7" s="185">
        <v>0.03</v>
      </c>
      <c r="E7" s="185">
        <v>0.11</v>
      </c>
      <c r="F7" s="185">
        <v>0.2</v>
      </c>
      <c r="G7" s="185">
        <v>0.06</v>
      </c>
      <c r="H7" s="185">
        <v>0.21</v>
      </c>
      <c r="I7" s="185">
        <v>0.25</v>
      </c>
      <c r="J7" s="185">
        <v>0.14</v>
      </c>
      <c r="K7" s="185">
        <v>0.21</v>
      </c>
    </row>
    <row r="8">
      <c r="A8" s="185">
        <v>5.0</v>
      </c>
      <c r="B8" s="185" t="s">
        <v>4874</v>
      </c>
      <c r="C8" s="185">
        <v>0.14</v>
      </c>
      <c r="D8" s="185">
        <v>0.04</v>
      </c>
      <c r="E8" s="185">
        <v>0.14</v>
      </c>
      <c r="F8" s="185">
        <v>0.2</v>
      </c>
      <c r="G8" s="185">
        <v>0.04</v>
      </c>
      <c r="H8" s="185">
        <v>0.19</v>
      </c>
      <c r="I8" s="185">
        <v>0.23</v>
      </c>
      <c r="J8" s="185">
        <v>0.05</v>
      </c>
      <c r="K8" s="185">
        <v>0.23</v>
      </c>
    </row>
    <row r="9">
      <c r="A9" s="185">
        <v>6.0</v>
      </c>
      <c r="B9" s="185" t="s">
        <v>4875</v>
      </c>
      <c r="C9" s="185">
        <v>7.96</v>
      </c>
      <c r="D9" s="185">
        <v>1.41</v>
      </c>
      <c r="E9" s="185">
        <v>7.8</v>
      </c>
      <c r="F9" s="185">
        <v>18.95</v>
      </c>
      <c r="G9" s="185">
        <v>23.11</v>
      </c>
      <c r="H9" s="185">
        <v>13.3</v>
      </c>
      <c r="I9" s="185">
        <v>15.29</v>
      </c>
      <c r="J9" s="185">
        <v>4.78</v>
      </c>
      <c r="K9" s="185">
        <v>13.55</v>
      </c>
    </row>
    <row r="10">
      <c r="A10" s="185">
        <v>7.0</v>
      </c>
      <c r="B10" s="185" t="s">
        <v>4876</v>
      </c>
      <c r="C10" s="185">
        <v>0.68</v>
      </c>
      <c r="D10" s="185">
        <v>0.13</v>
      </c>
      <c r="E10" s="185">
        <v>0.65</v>
      </c>
      <c r="F10" s="185">
        <v>0.79</v>
      </c>
      <c r="G10" s="185">
        <v>0.14</v>
      </c>
      <c r="H10" s="185">
        <v>0.83</v>
      </c>
      <c r="I10" s="185">
        <v>0.95</v>
      </c>
      <c r="J10" s="185">
        <v>0.14</v>
      </c>
      <c r="K10" s="185">
        <v>0.95</v>
      </c>
    </row>
    <row r="11">
      <c r="A11" s="185">
        <v>8.0</v>
      </c>
      <c r="B11" s="185" t="s">
        <v>4877</v>
      </c>
      <c r="C11" s="185">
        <v>0.31</v>
      </c>
      <c r="D11" s="185">
        <v>0.14</v>
      </c>
      <c r="E11" s="185">
        <v>0.28</v>
      </c>
      <c r="F11" s="185">
        <v>0.48</v>
      </c>
      <c r="G11" s="185">
        <v>0.19</v>
      </c>
      <c r="H11" s="185">
        <v>0.38</v>
      </c>
      <c r="I11" s="185">
        <v>0.3</v>
      </c>
      <c r="J11" s="185">
        <v>0.08</v>
      </c>
      <c r="K11" s="185">
        <v>0.31</v>
      </c>
    </row>
    <row r="12">
      <c r="A12" s="185">
        <v>9.0</v>
      </c>
      <c r="B12" s="185" t="s">
        <v>4878</v>
      </c>
      <c r="C12" s="185">
        <v>0.35</v>
      </c>
      <c r="D12" s="185">
        <v>0.17</v>
      </c>
      <c r="E12" s="185">
        <v>0.3</v>
      </c>
      <c r="F12" s="185">
        <v>0.47</v>
      </c>
      <c r="G12" s="185">
        <v>0.1</v>
      </c>
      <c r="H12" s="185">
        <v>0.48</v>
      </c>
      <c r="I12" s="185">
        <v>0.3</v>
      </c>
      <c r="J12" s="185">
        <v>0.09</v>
      </c>
      <c r="K12" s="185">
        <v>0.27</v>
      </c>
    </row>
    <row r="13">
      <c r="A13" s="185">
        <v>10.0</v>
      </c>
      <c r="B13" s="185" t="s">
        <v>4879</v>
      </c>
      <c r="C13" s="185">
        <v>0.47</v>
      </c>
      <c r="D13" s="185">
        <v>0.18</v>
      </c>
      <c r="E13" s="185">
        <v>0.45</v>
      </c>
      <c r="F13" s="185">
        <v>0.67</v>
      </c>
      <c r="G13" s="185">
        <v>0.21</v>
      </c>
      <c r="H13" s="185">
        <v>0.62</v>
      </c>
      <c r="I13" s="185">
        <v>0.5</v>
      </c>
      <c r="J13" s="185">
        <v>0.13</v>
      </c>
      <c r="K13" s="185">
        <v>0.456</v>
      </c>
    </row>
    <row r="14">
      <c r="A14" s="185">
        <v>11.0</v>
      </c>
      <c r="B14" s="185" t="s">
        <v>4880</v>
      </c>
      <c r="C14" s="185">
        <v>1.62</v>
      </c>
      <c r="D14" s="185">
        <v>0.67</v>
      </c>
      <c r="E14" s="185">
        <v>1.62</v>
      </c>
      <c r="F14" s="185">
        <v>1.85</v>
      </c>
      <c r="G14" s="185">
        <v>0.68</v>
      </c>
      <c r="H14" s="185">
        <v>1.85</v>
      </c>
      <c r="I14" s="185">
        <v>1.08</v>
      </c>
      <c r="J14" s="185">
        <v>0.31</v>
      </c>
      <c r="K14" s="185">
        <v>0.97</v>
      </c>
    </row>
    <row r="15">
      <c r="A15" s="185">
        <v>12.0</v>
      </c>
      <c r="B15" s="185" t="s">
        <v>4881</v>
      </c>
      <c r="C15" s="185">
        <v>1.19</v>
      </c>
      <c r="D15" s="185">
        <v>0.51</v>
      </c>
      <c r="E15" s="185">
        <v>1.2</v>
      </c>
      <c r="F15" s="185">
        <v>0.99</v>
      </c>
      <c r="G15" s="185">
        <v>0.38</v>
      </c>
      <c r="H15" s="185">
        <v>0.94</v>
      </c>
      <c r="I15" s="185">
        <v>0.53</v>
      </c>
      <c r="J15" s="185">
        <v>0.29</v>
      </c>
      <c r="K15" s="185">
        <v>0.63</v>
      </c>
    </row>
    <row r="16">
      <c r="A16" s="185">
        <v>13.0</v>
      </c>
      <c r="B16" s="185" t="s">
        <v>4882</v>
      </c>
      <c r="C16" s="185">
        <v>18.87</v>
      </c>
      <c r="D16" s="185">
        <v>5.01</v>
      </c>
      <c r="E16" s="185">
        <v>19.1</v>
      </c>
      <c r="F16" s="185">
        <v>16.27</v>
      </c>
      <c r="G16" s="185">
        <v>3.25</v>
      </c>
      <c r="H16" s="185">
        <v>15.6</v>
      </c>
      <c r="I16" s="185">
        <v>11.45</v>
      </c>
      <c r="J16" s="185">
        <v>3.81</v>
      </c>
      <c r="K16" s="185">
        <v>10.34</v>
      </c>
    </row>
    <row r="17">
      <c r="A17" s="185">
        <v>14.0</v>
      </c>
      <c r="B17" s="185" t="s">
        <v>4883</v>
      </c>
      <c r="C17" s="185">
        <v>14.38</v>
      </c>
      <c r="D17" s="185">
        <v>3.23</v>
      </c>
      <c r="E17" s="185">
        <v>14.05</v>
      </c>
      <c r="F17" s="185">
        <v>13.75</v>
      </c>
      <c r="G17" s="185">
        <v>2.41</v>
      </c>
      <c r="H17" s="185">
        <v>13.2</v>
      </c>
      <c r="I17" s="185">
        <v>10.91</v>
      </c>
      <c r="J17" s="185">
        <v>2.52</v>
      </c>
      <c r="K17" s="185">
        <v>10.7</v>
      </c>
    </row>
    <row r="18">
      <c r="A18" s="185">
        <v>15.0</v>
      </c>
      <c r="B18" s="185" t="s">
        <v>4884</v>
      </c>
      <c r="C18" s="185">
        <v>17.87</v>
      </c>
      <c r="D18" s="185">
        <v>4.07</v>
      </c>
      <c r="E18" s="185">
        <v>17.8</v>
      </c>
      <c r="F18" s="185">
        <v>16.29</v>
      </c>
      <c r="G18" s="185">
        <v>2.37</v>
      </c>
      <c r="H18" s="185">
        <v>17.0</v>
      </c>
      <c r="I18" s="185">
        <v>12.46</v>
      </c>
      <c r="J18" s="185">
        <v>3.13</v>
      </c>
      <c r="K18" s="185">
        <v>11.75</v>
      </c>
    </row>
    <row r="19">
      <c r="A19" s="185">
        <v>16.0</v>
      </c>
      <c r="B19" s="185" t="s">
        <v>4885</v>
      </c>
      <c r="C19" s="185">
        <v>1.31</v>
      </c>
      <c r="D19" s="185">
        <v>0.3</v>
      </c>
      <c r="E19" s="185">
        <v>1.31</v>
      </c>
      <c r="F19" s="185">
        <v>1.33</v>
      </c>
      <c r="G19" s="185">
        <v>0.27</v>
      </c>
      <c r="H19" s="185">
        <v>1.25</v>
      </c>
      <c r="I19" s="185">
        <v>1.03</v>
      </c>
      <c r="J19" s="185">
        <v>0.18</v>
      </c>
      <c r="K19" s="185">
        <v>1.06</v>
      </c>
    </row>
    <row r="20">
      <c r="A20" s="185">
        <v>17.0</v>
      </c>
      <c r="B20" s="185" t="s">
        <v>4886</v>
      </c>
      <c r="C20" s="185">
        <v>0.31</v>
      </c>
      <c r="D20" s="185">
        <v>0.088</v>
      </c>
      <c r="E20" s="185">
        <v>0.31</v>
      </c>
      <c r="F20" s="185">
        <v>0.37</v>
      </c>
      <c r="G20" s="185">
        <v>0.06</v>
      </c>
      <c r="H20" s="185">
        <v>0.37</v>
      </c>
      <c r="I20" s="185">
        <v>0.29</v>
      </c>
      <c r="J20" s="185">
        <v>0.07</v>
      </c>
      <c r="K20" s="185">
        <v>0.28</v>
      </c>
    </row>
    <row r="21">
      <c r="A21" s="186">
        <v>18.0</v>
      </c>
      <c r="B21" s="186" t="s">
        <v>4887</v>
      </c>
      <c r="C21" s="186">
        <v>0.68</v>
      </c>
      <c r="D21" s="186">
        <v>0.27</v>
      </c>
      <c r="E21" s="186">
        <v>0.77</v>
      </c>
      <c r="F21" s="186">
        <v>0.65</v>
      </c>
      <c r="G21" s="186">
        <v>0.25</v>
      </c>
      <c r="H21" s="186">
        <v>0.67</v>
      </c>
      <c r="I21" s="186">
        <v>0.39</v>
      </c>
      <c r="J21" s="186">
        <v>0.22</v>
      </c>
      <c r="K21" s="186">
        <v>0.39</v>
      </c>
    </row>
    <row r="23">
      <c r="A23" s="38">
        <v>3.7335671E7</v>
      </c>
      <c r="B23" s="2" t="s">
        <v>39</v>
      </c>
    </row>
    <row r="24">
      <c r="A24" s="187" t="s">
        <v>4888</v>
      </c>
    </row>
    <row r="25">
      <c r="A25" s="52" t="s">
        <v>4889</v>
      </c>
      <c r="B25" s="54" t="s">
        <v>4890</v>
      </c>
      <c r="C25" s="54" t="s">
        <v>4891</v>
      </c>
    </row>
    <row r="26">
      <c r="A26" s="50" t="s">
        <v>4892</v>
      </c>
      <c r="B26" s="51" t="s">
        <v>4893</v>
      </c>
      <c r="C26" s="51" t="s">
        <v>4894</v>
      </c>
    </row>
    <row r="27">
      <c r="A27" s="50" t="s">
        <v>4895</v>
      </c>
      <c r="B27" s="51" t="s">
        <v>4893</v>
      </c>
      <c r="C27" s="51" t="s">
        <v>4894</v>
      </c>
    </row>
    <row r="28">
      <c r="A28" s="50" t="s">
        <v>4896</v>
      </c>
      <c r="B28" s="51" t="s">
        <v>4897</v>
      </c>
      <c r="C28" s="51" t="s">
        <v>4894</v>
      </c>
    </row>
    <row r="29">
      <c r="A29" s="50" t="s">
        <v>4898</v>
      </c>
      <c r="B29" s="51" t="s">
        <v>4893</v>
      </c>
      <c r="C29" s="51" t="s">
        <v>4894</v>
      </c>
    </row>
    <row r="30">
      <c r="A30" s="50" t="s">
        <v>4899</v>
      </c>
      <c r="B30" s="51" t="s">
        <v>4900</v>
      </c>
      <c r="C30" s="51" t="s">
        <v>4894</v>
      </c>
    </row>
    <row r="31">
      <c r="A31" s="50" t="s">
        <v>4901</v>
      </c>
      <c r="B31" s="51" t="s">
        <v>4897</v>
      </c>
      <c r="C31" s="51" t="s">
        <v>4894</v>
      </c>
    </row>
    <row r="32">
      <c r="A32" s="50" t="s">
        <v>4902</v>
      </c>
      <c r="B32" s="51" t="s">
        <v>4900</v>
      </c>
      <c r="C32" s="51" t="s">
        <v>4894</v>
      </c>
    </row>
    <row r="33">
      <c r="A33" s="50" t="s">
        <v>4903</v>
      </c>
      <c r="B33" s="51" t="s">
        <v>4904</v>
      </c>
      <c r="C33" s="51" t="s">
        <v>4894</v>
      </c>
    </row>
    <row r="34">
      <c r="A34" s="50" t="s">
        <v>4905</v>
      </c>
      <c r="B34" s="51" t="s">
        <v>4906</v>
      </c>
      <c r="C34" s="51" t="s">
        <v>4894</v>
      </c>
    </row>
    <row r="35">
      <c r="A35" s="50" t="s">
        <v>4907</v>
      </c>
      <c r="B35" s="51" t="s">
        <v>4904</v>
      </c>
      <c r="C35" s="51" t="s">
        <v>4894</v>
      </c>
    </row>
    <row r="36">
      <c r="A36" s="50" t="s">
        <v>4908</v>
      </c>
      <c r="B36" s="51" t="s">
        <v>4900</v>
      </c>
      <c r="C36" s="51" t="s">
        <v>4894</v>
      </c>
    </row>
    <row r="37">
      <c r="A37" s="50" t="s">
        <v>4909</v>
      </c>
      <c r="B37" s="51" t="s">
        <v>4910</v>
      </c>
      <c r="C37" s="51" t="s">
        <v>4894</v>
      </c>
    </row>
    <row r="38">
      <c r="A38" s="50" t="s">
        <v>4911</v>
      </c>
      <c r="B38" s="51" t="s">
        <v>4912</v>
      </c>
      <c r="C38" s="51" t="s">
        <v>4894</v>
      </c>
    </row>
    <row r="39">
      <c r="A39" s="50" t="s">
        <v>4913</v>
      </c>
      <c r="B39" s="51" t="s">
        <v>4912</v>
      </c>
      <c r="C39" s="51" t="s">
        <v>4894</v>
      </c>
    </row>
    <row r="40">
      <c r="A40" s="50" t="s">
        <v>4914</v>
      </c>
      <c r="B40" s="51" t="s">
        <v>4897</v>
      </c>
      <c r="C40" s="51" t="s">
        <v>4894</v>
      </c>
    </row>
    <row r="41">
      <c r="A41" s="50" t="s">
        <v>4915</v>
      </c>
      <c r="B41" s="51" t="s">
        <v>4900</v>
      </c>
      <c r="C41" s="51" t="s">
        <v>4916</v>
      </c>
    </row>
    <row r="42">
      <c r="A42" s="50" t="s">
        <v>4917</v>
      </c>
      <c r="B42" s="51" t="s">
        <v>4900</v>
      </c>
      <c r="C42" s="51" t="s">
        <v>4916</v>
      </c>
    </row>
    <row r="43">
      <c r="A43" s="50" t="s">
        <v>4918</v>
      </c>
      <c r="B43" s="51" t="s">
        <v>4900</v>
      </c>
      <c r="C43" s="51" t="s">
        <v>4916</v>
      </c>
    </row>
    <row r="44">
      <c r="A44" s="50" t="s">
        <v>4919</v>
      </c>
      <c r="B44" s="51" t="s">
        <v>4900</v>
      </c>
      <c r="C44" s="51" t="s">
        <v>4916</v>
      </c>
    </row>
    <row r="45">
      <c r="A45" s="50" t="s">
        <v>4920</v>
      </c>
      <c r="B45" s="51" t="s">
        <v>4900</v>
      </c>
      <c r="C45" s="51" t="s">
        <v>4916</v>
      </c>
    </row>
    <row r="46">
      <c r="A46" s="50" t="s">
        <v>4921</v>
      </c>
      <c r="B46" s="51" t="s">
        <v>4900</v>
      </c>
      <c r="C46" s="51" t="s">
        <v>4916</v>
      </c>
    </row>
    <row r="47">
      <c r="A47" s="50" t="s">
        <v>4922</v>
      </c>
      <c r="B47" s="51" t="s">
        <v>4900</v>
      </c>
      <c r="C47" s="51" t="s">
        <v>4916</v>
      </c>
    </row>
    <row r="48">
      <c r="A48" s="50" t="s">
        <v>4923</v>
      </c>
      <c r="B48" s="51" t="s">
        <v>4900</v>
      </c>
      <c r="C48" s="51" t="s">
        <v>4916</v>
      </c>
    </row>
    <row r="49">
      <c r="A49" s="50" t="s">
        <v>4924</v>
      </c>
      <c r="B49" s="51" t="s">
        <v>4900</v>
      </c>
      <c r="C49" s="51" t="s">
        <v>4916</v>
      </c>
    </row>
    <row r="50">
      <c r="A50" s="50" t="s">
        <v>4925</v>
      </c>
      <c r="B50" s="51" t="s">
        <v>4900</v>
      </c>
      <c r="C50" s="51" t="s">
        <v>4916</v>
      </c>
    </row>
    <row r="51">
      <c r="A51" s="50" t="s">
        <v>4926</v>
      </c>
      <c r="B51" s="51" t="s">
        <v>4900</v>
      </c>
      <c r="C51" s="51" t="s">
        <v>4916</v>
      </c>
    </row>
    <row r="52">
      <c r="A52" s="50" t="s">
        <v>4927</v>
      </c>
      <c r="B52" s="51" t="s">
        <v>4900</v>
      </c>
      <c r="C52" s="51" t="s">
        <v>4916</v>
      </c>
    </row>
    <row r="53">
      <c r="A53" s="50" t="s">
        <v>4928</v>
      </c>
      <c r="B53" s="51" t="s">
        <v>4904</v>
      </c>
      <c r="C53" s="51" t="s">
        <v>4916</v>
      </c>
    </row>
    <row r="54">
      <c r="A54" s="50" t="s">
        <v>4929</v>
      </c>
      <c r="B54" s="51" t="s">
        <v>4906</v>
      </c>
      <c r="C54" s="51" t="s">
        <v>4916</v>
      </c>
    </row>
    <row r="55">
      <c r="A55" s="50" t="s">
        <v>4930</v>
      </c>
      <c r="B55" s="51" t="s">
        <v>4900</v>
      </c>
      <c r="C55" s="51" t="s">
        <v>4916</v>
      </c>
    </row>
  </sheetData>
  <mergeCells count="5">
    <mergeCell ref="A2:A3"/>
    <mergeCell ref="B2:B3"/>
    <mergeCell ref="C2:E2"/>
    <mergeCell ref="F2:H2"/>
    <mergeCell ref="I2:K2"/>
  </mergeCells>
  <hyperlinks>
    <hyperlink r:id="rId1" ref="A1"/>
    <hyperlink r:id="rId2" ref="A2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75" customHeight="1">
      <c r="A1" s="1" t="s">
        <v>35</v>
      </c>
      <c r="B1" s="4" t="s">
        <v>40</v>
      </c>
      <c r="C1" s="104" t="s">
        <v>625</v>
      </c>
      <c r="D1" s="2" t="s">
        <v>636</v>
      </c>
      <c r="E1" s="1" t="s">
        <v>4931</v>
      </c>
      <c r="F1" s="1">
        <v>204.1228</v>
      </c>
      <c r="G1" s="1">
        <v>0.82</v>
      </c>
      <c r="H1" s="2">
        <v>10.0</v>
      </c>
      <c r="I1" s="103">
        <v>394146.3</v>
      </c>
      <c r="J1" s="103">
        <v>328678.6</v>
      </c>
      <c r="K1" s="140">
        <v>10.0</v>
      </c>
      <c r="L1" s="103">
        <v>388665.4</v>
      </c>
      <c r="M1" s="103">
        <v>384447.5</v>
      </c>
      <c r="N1" s="1" t="s">
        <v>4932</v>
      </c>
      <c r="Y1" s="1" t="s">
        <v>39</v>
      </c>
      <c r="Z1" s="1" t="s">
        <v>4933</v>
      </c>
    </row>
    <row r="2" ht="15.75" customHeight="1">
      <c r="A2" s="1" t="s">
        <v>35</v>
      </c>
      <c r="B2" s="4" t="s">
        <v>40</v>
      </c>
      <c r="C2" s="104" t="s">
        <v>625</v>
      </c>
      <c r="D2" s="2" t="s">
        <v>636</v>
      </c>
      <c r="E2" s="1" t="s">
        <v>413</v>
      </c>
      <c r="F2" s="1">
        <v>137.045</v>
      </c>
      <c r="G2" s="1">
        <v>1.2031</v>
      </c>
      <c r="H2" s="2">
        <v>10.0</v>
      </c>
      <c r="I2" s="103">
        <v>218825.4</v>
      </c>
      <c r="J2" s="103">
        <v>192312.0</v>
      </c>
      <c r="K2" s="140">
        <v>10.0</v>
      </c>
      <c r="L2" s="103">
        <v>14699.46</v>
      </c>
      <c r="M2" s="103">
        <v>16654.3</v>
      </c>
      <c r="N2" s="1" t="s">
        <v>2220</v>
      </c>
      <c r="Y2" s="1" t="s">
        <v>39</v>
      </c>
      <c r="Z2" s="1" t="s">
        <v>4934</v>
      </c>
    </row>
    <row r="3" ht="15.75" customHeight="1">
      <c r="A3" s="1" t="s">
        <v>35</v>
      </c>
      <c r="B3" s="4" t="s">
        <v>40</v>
      </c>
      <c r="C3" s="104" t="s">
        <v>625</v>
      </c>
      <c r="D3" s="2" t="s">
        <v>636</v>
      </c>
      <c r="E3" s="1" t="s">
        <v>432</v>
      </c>
      <c r="F3" s="1">
        <v>205.0967</v>
      </c>
      <c r="G3" s="1">
        <v>2.2624</v>
      </c>
      <c r="H3" s="2">
        <v>10.0</v>
      </c>
      <c r="I3" s="103">
        <v>577716.7</v>
      </c>
      <c r="J3" s="103">
        <v>579173.1</v>
      </c>
      <c r="K3" s="140">
        <v>10.0</v>
      </c>
      <c r="L3" s="103">
        <v>618285.5</v>
      </c>
      <c r="M3" s="103">
        <v>652573.5</v>
      </c>
      <c r="N3" s="1" t="s">
        <v>3394</v>
      </c>
      <c r="Y3" s="1" t="s">
        <v>39</v>
      </c>
      <c r="Z3" s="1" t="s">
        <v>4935</v>
      </c>
    </row>
    <row r="4" ht="15.75" customHeight="1">
      <c r="A4" s="1" t="s">
        <v>35</v>
      </c>
      <c r="B4" s="4" t="s">
        <v>40</v>
      </c>
      <c r="C4" s="104" t="s">
        <v>625</v>
      </c>
      <c r="D4" s="2" t="s">
        <v>636</v>
      </c>
      <c r="E4" s="1" t="s">
        <v>4936</v>
      </c>
      <c r="F4" s="1">
        <v>279.1588</v>
      </c>
      <c r="G4" s="1">
        <v>7.191</v>
      </c>
      <c r="H4" s="2">
        <v>10.0</v>
      </c>
      <c r="I4" s="103">
        <v>74461.65</v>
      </c>
      <c r="J4" s="103">
        <v>73455.49</v>
      </c>
      <c r="K4" s="140">
        <v>10.0</v>
      </c>
      <c r="L4" s="103">
        <v>91031.05</v>
      </c>
      <c r="M4" s="103">
        <v>85424.51</v>
      </c>
      <c r="N4" s="1" t="s">
        <v>1450</v>
      </c>
      <c r="Y4" s="1" t="s">
        <v>39</v>
      </c>
      <c r="Z4" s="1" t="s">
        <v>4937</v>
      </c>
    </row>
    <row r="5" ht="15.75" customHeight="1">
      <c r="A5" s="1" t="s">
        <v>35</v>
      </c>
      <c r="B5" s="4" t="s">
        <v>40</v>
      </c>
      <c r="C5" s="104" t="s">
        <v>625</v>
      </c>
      <c r="D5" s="2" t="s">
        <v>636</v>
      </c>
      <c r="E5" s="1" t="s">
        <v>4938</v>
      </c>
      <c r="F5" s="1">
        <v>247.1436</v>
      </c>
      <c r="G5" s="1">
        <v>2.6791</v>
      </c>
      <c r="H5" s="2">
        <v>10.0</v>
      </c>
      <c r="I5" s="103">
        <v>22688.43</v>
      </c>
      <c r="J5" s="103">
        <v>24056.66</v>
      </c>
      <c r="K5" s="140">
        <v>10.0</v>
      </c>
      <c r="L5" s="103">
        <v>18131.2</v>
      </c>
      <c r="M5" s="103">
        <v>16299.67</v>
      </c>
      <c r="N5" s="1" t="s">
        <v>3398</v>
      </c>
      <c r="Y5" s="1" t="s">
        <v>39</v>
      </c>
      <c r="Z5" s="1" t="s">
        <v>4939</v>
      </c>
    </row>
    <row r="6" ht="15.75" customHeight="1">
      <c r="A6" s="1" t="s">
        <v>35</v>
      </c>
      <c r="B6" s="4" t="s">
        <v>40</v>
      </c>
      <c r="C6" s="104" t="s">
        <v>625</v>
      </c>
      <c r="D6" s="2" t="s">
        <v>636</v>
      </c>
      <c r="E6" s="1" t="s">
        <v>3529</v>
      </c>
      <c r="F6" s="1">
        <v>147.0751</v>
      </c>
      <c r="G6" s="1">
        <v>0.785</v>
      </c>
      <c r="H6" s="2">
        <v>10.0</v>
      </c>
      <c r="I6" s="103">
        <v>61072.09</v>
      </c>
      <c r="J6" s="103">
        <v>58527.71</v>
      </c>
      <c r="K6" s="140">
        <v>10.0</v>
      </c>
      <c r="L6" s="103">
        <v>57552.84</v>
      </c>
      <c r="M6" s="103">
        <v>55626.16</v>
      </c>
      <c r="N6" s="1" t="s">
        <v>1211</v>
      </c>
      <c r="Y6" s="1" t="s">
        <v>39</v>
      </c>
      <c r="Z6" s="1" t="s">
        <v>4940</v>
      </c>
    </row>
    <row r="7" ht="15.75" customHeight="1">
      <c r="A7" s="1" t="s">
        <v>35</v>
      </c>
      <c r="B7" s="4" t="s">
        <v>40</v>
      </c>
      <c r="C7" s="104" t="s">
        <v>625</v>
      </c>
      <c r="D7" s="2" t="s">
        <v>636</v>
      </c>
      <c r="E7" s="1" t="s">
        <v>4941</v>
      </c>
      <c r="F7" s="1">
        <v>176.0696</v>
      </c>
      <c r="G7" s="1">
        <v>4.4001</v>
      </c>
      <c r="H7" s="2">
        <v>10.0</v>
      </c>
      <c r="I7" s="103">
        <v>10617.9</v>
      </c>
      <c r="J7" s="103">
        <v>6594.735</v>
      </c>
      <c r="K7" s="140">
        <v>10.0</v>
      </c>
      <c r="L7" s="103">
        <v>14626.96</v>
      </c>
      <c r="M7" s="103">
        <v>12412.68</v>
      </c>
      <c r="N7" s="1" t="s">
        <v>2237</v>
      </c>
      <c r="Y7" s="1" t="s">
        <v>39</v>
      </c>
      <c r="Z7" s="1" t="s">
        <v>4942</v>
      </c>
    </row>
    <row r="8" ht="15.75" customHeight="1">
      <c r="A8" s="1" t="s">
        <v>35</v>
      </c>
      <c r="B8" s="4" t="s">
        <v>40</v>
      </c>
      <c r="C8" s="104" t="s">
        <v>625</v>
      </c>
      <c r="D8" s="2" t="s">
        <v>636</v>
      </c>
      <c r="E8" s="1" t="s">
        <v>4943</v>
      </c>
      <c r="F8" s="1">
        <v>466.3159</v>
      </c>
      <c r="G8" s="1">
        <v>5.3607</v>
      </c>
      <c r="H8" s="2">
        <v>10.0</v>
      </c>
      <c r="I8" s="103">
        <v>18646.16</v>
      </c>
      <c r="J8" s="103">
        <v>15050.56</v>
      </c>
      <c r="K8" s="140">
        <v>10.0</v>
      </c>
      <c r="L8" s="103">
        <v>125125.3</v>
      </c>
      <c r="M8" s="103">
        <v>62324.5</v>
      </c>
      <c r="N8" s="1" t="s">
        <v>2095</v>
      </c>
      <c r="Y8" s="1" t="s">
        <v>39</v>
      </c>
      <c r="Z8" s="1" t="s">
        <v>4944</v>
      </c>
    </row>
    <row r="9" ht="15.75" customHeight="1">
      <c r="A9" s="1" t="s">
        <v>35</v>
      </c>
      <c r="B9" s="4" t="s">
        <v>40</v>
      </c>
      <c r="C9" s="104" t="s">
        <v>625</v>
      </c>
      <c r="D9" s="2" t="s">
        <v>636</v>
      </c>
      <c r="E9" s="1" t="s">
        <v>4945</v>
      </c>
      <c r="F9" s="1">
        <v>181.0714</v>
      </c>
      <c r="G9" s="1">
        <v>2.3589</v>
      </c>
      <c r="H9" s="2">
        <v>10.0</v>
      </c>
      <c r="I9" s="103">
        <v>58508.12</v>
      </c>
      <c r="J9" s="103">
        <v>50128.27</v>
      </c>
      <c r="K9" s="140">
        <v>10.0</v>
      </c>
      <c r="L9" s="103">
        <v>25165.51</v>
      </c>
      <c r="M9" s="103">
        <v>20152.39</v>
      </c>
      <c r="N9" s="1" t="s">
        <v>4066</v>
      </c>
      <c r="Y9" s="1" t="s">
        <v>39</v>
      </c>
      <c r="Z9" s="1" t="s">
        <v>4946</v>
      </c>
    </row>
    <row r="10" ht="15.75" customHeight="1">
      <c r="A10" s="1" t="s">
        <v>35</v>
      </c>
      <c r="B10" s="4" t="s">
        <v>40</v>
      </c>
      <c r="C10" s="104" t="s">
        <v>625</v>
      </c>
      <c r="D10" s="2" t="s">
        <v>636</v>
      </c>
      <c r="E10" s="1" t="s">
        <v>428</v>
      </c>
      <c r="F10" s="1">
        <v>118.0853</v>
      </c>
      <c r="G10" s="1">
        <v>0.785</v>
      </c>
      <c r="H10" s="2">
        <v>10.0</v>
      </c>
      <c r="I10" s="103">
        <v>266718.6</v>
      </c>
      <c r="J10" s="103">
        <v>264878.8</v>
      </c>
      <c r="K10" s="140">
        <v>10.0</v>
      </c>
      <c r="L10" s="103">
        <v>324874.6</v>
      </c>
      <c r="M10" s="103">
        <v>336057.8</v>
      </c>
      <c r="N10" s="1" t="s">
        <v>1324</v>
      </c>
      <c r="Y10" s="1" t="s">
        <v>39</v>
      </c>
      <c r="Z10" s="1" t="s">
        <v>4947</v>
      </c>
    </row>
    <row r="11" ht="15.75" customHeight="1">
      <c r="A11" s="1" t="s">
        <v>35</v>
      </c>
      <c r="B11" s="4" t="s">
        <v>40</v>
      </c>
      <c r="C11" s="104" t="s">
        <v>625</v>
      </c>
      <c r="D11" s="2" t="s">
        <v>636</v>
      </c>
      <c r="E11" s="1" t="s">
        <v>4948</v>
      </c>
      <c r="F11" s="1">
        <v>777.693</v>
      </c>
      <c r="G11" s="1">
        <v>5.0993</v>
      </c>
      <c r="H11" s="2">
        <v>10.0</v>
      </c>
      <c r="I11" s="103">
        <v>57326.3</v>
      </c>
      <c r="J11" s="103">
        <v>60030.54</v>
      </c>
      <c r="K11" s="140">
        <v>10.0</v>
      </c>
      <c r="L11" s="103">
        <v>64210.55</v>
      </c>
      <c r="M11" s="103">
        <v>67176.95</v>
      </c>
      <c r="N11" s="1" t="s">
        <v>4949</v>
      </c>
      <c r="Y11" s="1" t="s">
        <v>39</v>
      </c>
      <c r="Z11" s="1" t="s">
        <v>4950</v>
      </c>
    </row>
    <row r="12" ht="15.75" customHeight="1">
      <c r="A12" s="1" t="s">
        <v>35</v>
      </c>
      <c r="B12" s="4" t="s">
        <v>40</v>
      </c>
      <c r="C12" s="104" t="s">
        <v>625</v>
      </c>
      <c r="D12" s="2" t="s">
        <v>636</v>
      </c>
      <c r="E12" s="1" t="s">
        <v>465</v>
      </c>
      <c r="F12" s="1">
        <v>156.0756</v>
      </c>
      <c r="G12" s="1">
        <v>0.7855</v>
      </c>
      <c r="H12" s="2">
        <v>10.0</v>
      </c>
      <c r="I12" s="103">
        <v>50065.14</v>
      </c>
      <c r="J12" s="103">
        <v>49328.5</v>
      </c>
      <c r="K12" s="140">
        <v>10.0</v>
      </c>
      <c r="L12" s="103">
        <v>41463.58</v>
      </c>
      <c r="M12" s="103">
        <v>43043.96</v>
      </c>
      <c r="N12" s="1" t="s">
        <v>2182</v>
      </c>
      <c r="Y12" s="1" t="s">
        <v>39</v>
      </c>
      <c r="Z12" s="1" t="s">
        <v>4951</v>
      </c>
    </row>
    <row r="13" ht="15.75" customHeight="1">
      <c r="A13" s="1" t="s">
        <v>35</v>
      </c>
      <c r="B13" s="4" t="s">
        <v>40</v>
      </c>
      <c r="C13" s="104" t="s">
        <v>625</v>
      </c>
      <c r="D13" s="2" t="s">
        <v>636</v>
      </c>
      <c r="E13" s="1" t="s">
        <v>473</v>
      </c>
      <c r="F13" s="1">
        <v>182.0804</v>
      </c>
      <c r="G13" s="1">
        <v>1.2031</v>
      </c>
      <c r="H13" s="2">
        <v>10.0</v>
      </c>
      <c r="I13" s="103">
        <v>208057.8</v>
      </c>
      <c r="J13" s="103">
        <v>222835.0</v>
      </c>
      <c r="K13" s="140">
        <v>10.0</v>
      </c>
      <c r="L13" s="103">
        <v>212276.9</v>
      </c>
      <c r="M13" s="103">
        <v>215372.6</v>
      </c>
      <c r="N13" s="1" t="s">
        <v>2900</v>
      </c>
      <c r="Y13" s="1" t="s">
        <v>39</v>
      </c>
      <c r="Z13" s="1" t="s">
        <v>4952</v>
      </c>
    </row>
    <row r="14" ht="15.75" customHeight="1">
      <c r="A14" s="1" t="s">
        <v>35</v>
      </c>
      <c r="B14" s="4" t="s">
        <v>40</v>
      </c>
      <c r="C14" s="104" t="s">
        <v>625</v>
      </c>
      <c r="D14" s="2" t="s">
        <v>636</v>
      </c>
      <c r="E14" s="1" t="s">
        <v>4953</v>
      </c>
      <c r="F14" s="1">
        <v>150.0572</v>
      </c>
      <c r="G14" s="1">
        <v>1.1562</v>
      </c>
      <c r="H14" s="2">
        <v>10.0</v>
      </c>
      <c r="I14" s="103">
        <v>13065.0</v>
      </c>
      <c r="J14" s="103">
        <v>13912.15</v>
      </c>
      <c r="K14" s="140">
        <v>10.0</v>
      </c>
      <c r="L14" s="103">
        <v>16267.98</v>
      </c>
      <c r="M14" s="103">
        <v>15312.17</v>
      </c>
      <c r="N14" s="1" t="s">
        <v>2444</v>
      </c>
      <c r="Y14" s="1" t="s">
        <v>39</v>
      </c>
      <c r="Z14" s="1" t="s">
        <v>4954</v>
      </c>
    </row>
    <row r="15" ht="15.75" customHeight="1">
      <c r="A15" s="1" t="s">
        <v>35</v>
      </c>
      <c r="B15" s="4" t="s">
        <v>40</v>
      </c>
      <c r="C15" s="104" t="s">
        <v>625</v>
      </c>
      <c r="D15" s="2" t="s">
        <v>636</v>
      </c>
      <c r="E15" s="1" t="s">
        <v>4955</v>
      </c>
      <c r="F15" s="1">
        <v>454.2923</v>
      </c>
      <c r="G15" s="1">
        <v>6.8824</v>
      </c>
      <c r="H15" s="2">
        <v>10.0</v>
      </c>
      <c r="I15" s="103">
        <v>79996.38</v>
      </c>
      <c r="J15" s="103">
        <v>70453.1</v>
      </c>
      <c r="K15" s="140">
        <v>10.0</v>
      </c>
      <c r="L15" s="103">
        <v>125878.6</v>
      </c>
      <c r="M15" s="103">
        <v>97456.03</v>
      </c>
      <c r="N15" s="1" t="s">
        <v>839</v>
      </c>
      <c r="Y15" s="1" t="s">
        <v>39</v>
      </c>
      <c r="Z15" s="1" t="s">
        <v>4956</v>
      </c>
    </row>
    <row r="16" ht="15.75" customHeight="1">
      <c r="A16" s="1" t="s">
        <v>35</v>
      </c>
      <c r="B16" s="4" t="s">
        <v>40</v>
      </c>
      <c r="C16" s="104" t="s">
        <v>625</v>
      </c>
      <c r="D16" s="2" t="s">
        <v>636</v>
      </c>
      <c r="E16" s="1" t="s">
        <v>3987</v>
      </c>
      <c r="F16" s="1">
        <v>132.0755</v>
      </c>
      <c r="G16" s="1">
        <v>0.785</v>
      </c>
      <c r="H16" s="2">
        <v>10.0</v>
      </c>
      <c r="I16" s="103">
        <v>60071.62</v>
      </c>
      <c r="J16" s="103">
        <v>65805.33</v>
      </c>
      <c r="K16" s="140">
        <v>10.0</v>
      </c>
      <c r="L16" s="103">
        <v>55395.16</v>
      </c>
      <c r="M16" s="103">
        <v>62284.82</v>
      </c>
      <c r="N16" s="1" t="s">
        <v>1723</v>
      </c>
      <c r="Y16" s="1" t="s">
        <v>39</v>
      </c>
      <c r="Z16" s="1" t="s">
        <v>4957</v>
      </c>
    </row>
    <row r="17" ht="15.75" customHeight="1">
      <c r="A17" s="1" t="s">
        <v>35</v>
      </c>
      <c r="B17" s="4" t="s">
        <v>40</v>
      </c>
      <c r="C17" s="104" t="s">
        <v>625</v>
      </c>
      <c r="D17" s="2" t="s">
        <v>636</v>
      </c>
      <c r="E17" s="1" t="s">
        <v>4958</v>
      </c>
      <c r="F17" s="1">
        <v>284.2943</v>
      </c>
      <c r="G17" s="1">
        <v>6.4873</v>
      </c>
      <c r="H17" s="2">
        <v>10.0</v>
      </c>
      <c r="I17" s="103">
        <v>776440.1</v>
      </c>
      <c r="J17" s="103">
        <v>727248.3</v>
      </c>
      <c r="K17" s="140">
        <v>10.0</v>
      </c>
      <c r="L17" s="103">
        <v>942795.1</v>
      </c>
      <c r="M17" s="103">
        <v>964442.0</v>
      </c>
      <c r="N17" s="1" t="s">
        <v>4959</v>
      </c>
      <c r="Y17" s="1" t="s">
        <v>39</v>
      </c>
      <c r="Z17" s="1" t="s">
        <v>4960</v>
      </c>
    </row>
    <row r="18" ht="15.75" customHeight="1">
      <c r="A18" s="1" t="s">
        <v>35</v>
      </c>
      <c r="B18" s="4" t="s">
        <v>40</v>
      </c>
      <c r="C18" s="104" t="s">
        <v>625</v>
      </c>
      <c r="D18" s="2" t="s">
        <v>636</v>
      </c>
      <c r="E18" s="1" t="s">
        <v>4390</v>
      </c>
      <c r="F18" s="1">
        <v>165.0539</v>
      </c>
      <c r="G18" s="1">
        <v>1.2031</v>
      </c>
      <c r="H18" s="2">
        <v>10.0</v>
      </c>
      <c r="I18" s="103">
        <v>119835.5</v>
      </c>
      <c r="J18" s="103">
        <v>134707.8</v>
      </c>
      <c r="K18" s="140">
        <v>10.0</v>
      </c>
      <c r="L18" s="103">
        <v>146195.0</v>
      </c>
      <c r="M18" s="103">
        <v>149773.1</v>
      </c>
      <c r="N18" s="1" t="s">
        <v>1108</v>
      </c>
      <c r="Y18" s="1" t="s">
        <v>39</v>
      </c>
      <c r="Z18" s="1" t="s">
        <v>4961</v>
      </c>
    </row>
    <row r="19" ht="15.75" customHeight="1">
      <c r="A19" s="1" t="s">
        <v>35</v>
      </c>
      <c r="B19" s="4" t="s">
        <v>40</v>
      </c>
      <c r="C19" s="104" t="s">
        <v>625</v>
      </c>
      <c r="D19" s="2" t="s">
        <v>636</v>
      </c>
      <c r="E19" s="1" t="s">
        <v>4962</v>
      </c>
      <c r="F19" s="1">
        <v>139.1106</v>
      </c>
      <c r="G19" s="1">
        <v>5.3957</v>
      </c>
      <c r="H19" s="2">
        <v>10.0</v>
      </c>
      <c r="I19" s="103">
        <v>7040.876</v>
      </c>
      <c r="J19" s="103">
        <v>6012.405</v>
      </c>
      <c r="K19" s="140">
        <v>10.0</v>
      </c>
      <c r="L19" s="103">
        <v>20574.55</v>
      </c>
      <c r="M19" s="103">
        <v>20403.27</v>
      </c>
      <c r="N19" s="1" t="s">
        <v>4963</v>
      </c>
      <c r="Y19" s="1" t="s">
        <v>39</v>
      </c>
      <c r="Z19" s="1" t="s">
        <v>4964</v>
      </c>
    </row>
    <row r="20" ht="15.75" customHeight="1">
      <c r="A20" s="1" t="s">
        <v>35</v>
      </c>
      <c r="B20" s="4" t="s">
        <v>40</v>
      </c>
      <c r="C20" s="104" t="s">
        <v>625</v>
      </c>
      <c r="D20" s="2" t="s">
        <v>636</v>
      </c>
      <c r="E20" s="1" t="s">
        <v>287</v>
      </c>
      <c r="F20" s="1">
        <v>269.0871</v>
      </c>
      <c r="G20" s="1">
        <v>1.5512</v>
      </c>
      <c r="H20" s="2">
        <v>10.0</v>
      </c>
      <c r="I20" s="103">
        <v>978.994</v>
      </c>
      <c r="J20" s="103">
        <v>435.905</v>
      </c>
      <c r="K20" s="140">
        <v>10.0</v>
      </c>
      <c r="L20" s="103">
        <v>15.209</v>
      </c>
      <c r="M20" s="103">
        <v>15.21</v>
      </c>
      <c r="N20" s="1" t="s">
        <v>2258</v>
      </c>
      <c r="Y20" s="1" t="s">
        <v>39</v>
      </c>
      <c r="Z20" s="1" t="s">
        <v>4965</v>
      </c>
    </row>
    <row r="21" ht="15.75" customHeight="1">
      <c r="A21" s="1" t="s">
        <v>35</v>
      </c>
      <c r="B21" s="4" t="s">
        <v>40</v>
      </c>
      <c r="C21" s="104" t="s">
        <v>625</v>
      </c>
      <c r="D21" s="2" t="s">
        <v>636</v>
      </c>
      <c r="E21" s="1" t="s">
        <v>4966</v>
      </c>
      <c r="F21" s="1">
        <v>232.1537</v>
      </c>
      <c r="G21" s="1">
        <v>2.0018</v>
      </c>
      <c r="H21" s="2">
        <v>10.0</v>
      </c>
      <c r="I21" s="103">
        <v>26928.06</v>
      </c>
      <c r="J21" s="103">
        <v>23125.05</v>
      </c>
      <c r="K21" s="140">
        <v>10.0</v>
      </c>
      <c r="L21" s="103">
        <v>39221.62</v>
      </c>
      <c r="M21" s="103">
        <v>20884.36</v>
      </c>
      <c r="N21" s="1" t="s">
        <v>4262</v>
      </c>
      <c r="Y21" s="1" t="s">
        <v>39</v>
      </c>
      <c r="Z21" s="1" t="s">
        <v>4967</v>
      </c>
    </row>
    <row r="22" ht="15.75" customHeight="1">
      <c r="A22" s="1" t="s">
        <v>35</v>
      </c>
      <c r="B22" s="4" t="s">
        <v>40</v>
      </c>
      <c r="C22" s="104" t="s">
        <v>625</v>
      </c>
      <c r="D22" s="2" t="s">
        <v>636</v>
      </c>
      <c r="E22" s="1" t="s">
        <v>4968</v>
      </c>
      <c r="F22" s="1">
        <v>144.101</v>
      </c>
      <c r="G22" s="1">
        <v>0.8025</v>
      </c>
      <c r="H22" s="2">
        <v>10.0</v>
      </c>
      <c r="I22" s="103">
        <v>82578.13</v>
      </c>
      <c r="J22" s="103">
        <v>61858.65</v>
      </c>
      <c r="K22" s="140">
        <v>10.0</v>
      </c>
      <c r="L22" s="103">
        <v>81277.66</v>
      </c>
      <c r="M22" s="103">
        <v>48683.72</v>
      </c>
      <c r="N22" s="1" t="s">
        <v>3257</v>
      </c>
      <c r="Y22" s="1" t="s">
        <v>39</v>
      </c>
      <c r="Z22" s="1" t="s">
        <v>4969</v>
      </c>
    </row>
    <row r="23" ht="15.75" customHeight="1">
      <c r="A23" s="1" t="s">
        <v>35</v>
      </c>
      <c r="B23" s="4" t="s">
        <v>40</v>
      </c>
      <c r="C23" s="104" t="s">
        <v>625</v>
      </c>
      <c r="D23" s="2" t="s">
        <v>636</v>
      </c>
      <c r="E23" s="1" t="s">
        <v>4970</v>
      </c>
      <c r="F23" s="1">
        <v>312.1295</v>
      </c>
      <c r="G23" s="1">
        <v>2.0713</v>
      </c>
      <c r="H23" s="2">
        <v>10.0</v>
      </c>
      <c r="I23" s="103">
        <v>2838.736</v>
      </c>
      <c r="J23" s="103">
        <v>2710.51</v>
      </c>
      <c r="K23" s="140">
        <v>10.0</v>
      </c>
      <c r="L23" s="103">
        <v>3528.4</v>
      </c>
      <c r="M23" s="103">
        <v>3036.18</v>
      </c>
      <c r="N23" s="1" t="s">
        <v>4971</v>
      </c>
      <c r="Y23" s="1" t="s">
        <v>39</v>
      </c>
      <c r="Z23" s="1" t="s">
        <v>4972</v>
      </c>
    </row>
    <row r="24" ht="15.75" customHeight="1">
      <c r="A24" s="1" t="s">
        <v>35</v>
      </c>
      <c r="B24" s="4" t="s">
        <v>40</v>
      </c>
      <c r="C24" s="104" t="s">
        <v>625</v>
      </c>
      <c r="D24" s="2" t="s">
        <v>636</v>
      </c>
      <c r="E24" s="1" t="s">
        <v>4973</v>
      </c>
      <c r="F24" s="1">
        <v>180.0645</v>
      </c>
      <c r="G24" s="1">
        <v>2.9396</v>
      </c>
      <c r="H24" s="2">
        <v>10.0</v>
      </c>
      <c r="I24" s="103">
        <v>4520.332</v>
      </c>
      <c r="J24" s="103">
        <v>3631.825</v>
      </c>
      <c r="K24" s="140">
        <v>10.0</v>
      </c>
      <c r="L24" s="103">
        <v>8811.183</v>
      </c>
      <c r="M24" s="103">
        <v>3818.585</v>
      </c>
      <c r="N24" s="1" t="s">
        <v>1221</v>
      </c>
      <c r="Y24" s="1" t="s">
        <v>39</v>
      </c>
      <c r="Z24" s="1" t="s">
        <v>4974</v>
      </c>
    </row>
    <row r="25" ht="15.75" customHeight="1">
      <c r="A25" s="1" t="s">
        <v>35</v>
      </c>
      <c r="B25" s="4" t="s">
        <v>40</v>
      </c>
      <c r="C25" s="104" t="s">
        <v>625</v>
      </c>
      <c r="D25" s="2" t="s">
        <v>636</v>
      </c>
      <c r="E25" s="1" t="s">
        <v>4975</v>
      </c>
      <c r="F25" s="1">
        <v>384.1142</v>
      </c>
      <c r="G25" s="1">
        <v>1.9844</v>
      </c>
      <c r="H25" s="2">
        <v>10.0</v>
      </c>
      <c r="I25" s="103">
        <v>4669.816</v>
      </c>
      <c r="J25" s="103">
        <v>4293.245</v>
      </c>
      <c r="K25" s="140">
        <v>10.0</v>
      </c>
      <c r="L25" s="103">
        <v>4450.623</v>
      </c>
      <c r="M25" s="103">
        <v>4343.75</v>
      </c>
      <c r="N25" s="1" t="s">
        <v>4976</v>
      </c>
      <c r="Y25" s="1" t="s">
        <v>39</v>
      </c>
      <c r="Z25" s="1" t="s">
        <v>4977</v>
      </c>
    </row>
    <row r="26" ht="15.75" customHeight="1">
      <c r="A26" s="1" t="s">
        <v>35</v>
      </c>
      <c r="B26" s="4" t="s">
        <v>40</v>
      </c>
      <c r="C26" s="104" t="s">
        <v>625</v>
      </c>
      <c r="D26" s="2" t="s">
        <v>636</v>
      </c>
      <c r="E26" s="1" t="s">
        <v>4978</v>
      </c>
      <c r="F26" s="1">
        <v>288.2526</v>
      </c>
      <c r="G26" s="1">
        <v>6.539</v>
      </c>
      <c r="H26" s="2">
        <v>10.0</v>
      </c>
      <c r="I26" s="103">
        <v>47524.9</v>
      </c>
      <c r="J26" s="103">
        <v>46078.88</v>
      </c>
      <c r="K26" s="140">
        <v>10.0</v>
      </c>
      <c r="L26" s="103">
        <v>38359.36</v>
      </c>
      <c r="M26" s="103">
        <v>38568.56</v>
      </c>
      <c r="N26" s="1" t="s">
        <v>4979</v>
      </c>
      <c r="Y26" s="1" t="s">
        <v>39</v>
      </c>
      <c r="Z26" s="1" t="s">
        <v>4980</v>
      </c>
    </row>
    <row r="27" ht="15.75" customHeight="1">
      <c r="A27" s="1" t="s">
        <v>35</v>
      </c>
      <c r="B27" s="4" t="s">
        <v>40</v>
      </c>
      <c r="C27" s="104" t="s">
        <v>625</v>
      </c>
      <c r="D27" s="2" t="s">
        <v>636</v>
      </c>
      <c r="E27" s="1" t="s">
        <v>4981</v>
      </c>
      <c r="F27" s="1">
        <v>190.0852</v>
      </c>
      <c r="G27" s="1">
        <v>4.8704</v>
      </c>
      <c r="H27" s="2">
        <v>10.0</v>
      </c>
      <c r="I27" s="103">
        <v>14263.53</v>
      </c>
      <c r="J27" s="103">
        <v>10795.46</v>
      </c>
      <c r="K27" s="140">
        <v>10.0</v>
      </c>
      <c r="L27" s="103">
        <v>7534.981</v>
      </c>
      <c r="M27" s="103">
        <v>6436.165</v>
      </c>
      <c r="N27" s="1" t="s">
        <v>2249</v>
      </c>
      <c r="Y27" s="1" t="s">
        <v>39</v>
      </c>
      <c r="Z27" s="1" t="s">
        <v>4982</v>
      </c>
    </row>
    <row r="28" ht="15.75" customHeight="1">
      <c r="A28" s="1" t="s">
        <v>35</v>
      </c>
      <c r="B28" s="4" t="s">
        <v>40</v>
      </c>
      <c r="C28" s="104" t="s">
        <v>625</v>
      </c>
      <c r="D28" s="2" t="s">
        <v>636</v>
      </c>
      <c r="E28" s="1" t="s">
        <v>4983</v>
      </c>
      <c r="F28" s="1">
        <v>426.32</v>
      </c>
      <c r="G28" s="1">
        <v>6.0217</v>
      </c>
      <c r="H28" s="2">
        <v>10.0</v>
      </c>
      <c r="I28" s="103">
        <v>15609.25</v>
      </c>
      <c r="J28" s="103">
        <v>6962.59</v>
      </c>
      <c r="K28" s="140">
        <v>10.0</v>
      </c>
      <c r="L28" s="103">
        <v>38272.75</v>
      </c>
      <c r="M28" s="103">
        <v>9983.84</v>
      </c>
      <c r="N28" s="1" t="s">
        <v>1668</v>
      </c>
      <c r="Y28" s="1" t="s">
        <v>39</v>
      </c>
      <c r="Z28" s="1" t="s">
        <v>4984</v>
      </c>
    </row>
    <row r="29" ht="15.75" customHeight="1">
      <c r="A29" s="1" t="s">
        <v>35</v>
      </c>
      <c r="B29" s="4" t="s">
        <v>40</v>
      </c>
      <c r="C29" s="104" t="s">
        <v>625</v>
      </c>
      <c r="D29" s="2" t="s">
        <v>636</v>
      </c>
      <c r="E29" s="1" t="s">
        <v>4985</v>
      </c>
      <c r="F29" s="1">
        <v>478.3281</v>
      </c>
      <c r="G29" s="1">
        <v>6.9076</v>
      </c>
      <c r="H29" s="2">
        <v>10.0</v>
      </c>
      <c r="I29" s="103">
        <v>42408.18</v>
      </c>
      <c r="J29" s="103">
        <v>43015.7</v>
      </c>
      <c r="K29" s="140">
        <v>10.0</v>
      </c>
      <c r="L29" s="103">
        <v>55289.94</v>
      </c>
      <c r="M29" s="103">
        <v>54865.56</v>
      </c>
      <c r="N29" s="1" t="s">
        <v>834</v>
      </c>
      <c r="Y29" s="1" t="s">
        <v>39</v>
      </c>
      <c r="Z29" s="1" t="s">
        <v>4986</v>
      </c>
    </row>
    <row r="30" ht="15.75" customHeight="1">
      <c r="A30" s="1" t="s">
        <v>35</v>
      </c>
      <c r="B30" s="4" t="s">
        <v>40</v>
      </c>
      <c r="C30" s="104" t="s">
        <v>625</v>
      </c>
      <c r="D30" s="2" t="s">
        <v>636</v>
      </c>
      <c r="E30" s="1" t="s">
        <v>4987</v>
      </c>
      <c r="F30" s="1">
        <v>212.0188</v>
      </c>
      <c r="G30" s="1">
        <v>5.3081</v>
      </c>
      <c r="H30" s="2">
        <v>10.0</v>
      </c>
      <c r="I30" s="103">
        <v>4484.255</v>
      </c>
      <c r="J30" s="103">
        <v>2769.67</v>
      </c>
      <c r="K30" s="140">
        <v>10.0</v>
      </c>
      <c r="L30" s="103">
        <v>6922.726</v>
      </c>
      <c r="M30" s="103">
        <v>2023.995</v>
      </c>
      <c r="N30" s="1" t="s">
        <v>4988</v>
      </c>
      <c r="Y30" s="1" t="s">
        <v>39</v>
      </c>
      <c r="Z30" s="1" t="s">
        <v>4972</v>
      </c>
    </row>
    <row r="31" ht="15.75" customHeight="1">
      <c r="A31" s="1" t="s">
        <v>35</v>
      </c>
      <c r="B31" s="4" t="s">
        <v>40</v>
      </c>
      <c r="C31" s="104" t="s">
        <v>625</v>
      </c>
      <c r="D31" s="2" t="s">
        <v>636</v>
      </c>
      <c r="E31" s="1" t="s">
        <v>4306</v>
      </c>
      <c r="F31" s="1">
        <v>361.2003</v>
      </c>
      <c r="G31" s="1">
        <v>4.8356</v>
      </c>
      <c r="H31" s="2">
        <v>10.0</v>
      </c>
      <c r="I31" s="103">
        <v>15367.0</v>
      </c>
      <c r="J31" s="103">
        <v>15488.0</v>
      </c>
      <c r="K31" s="140">
        <v>10.0</v>
      </c>
      <c r="L31" s="103">
        <v>17066.97</v>
      </c>
      <c r="M31" s="103">
        <v>15765.36</v>
      </c>
      <c r="N31" s="1" t="s">
        <v>4307</v>
      </c>
      <c r="Y31" s="1" t="s">
        <v>39</v>
      </c>
      <c r="Z31" s="1" t="s">
        <v>4989</v>
      </c>
    </row>
    <row r="32" ht="15.75" customHeight="1">
      <c r="A32" s="1" t="s">
        <v>35</v>
      </c>
      <c r="B32" s="4" t="s">
        <v>40</v>
      </c>
      <c r="C32" s="104" t="s">
        <v>625</v>
      </c>
      <c r="D32" s="2" t="s">
        <v>636</v>
      </c>
      <c r="E32" s="1" t="s">
        <v>4990</v>
      </c>
      <c r="F32" s="1">
        <v>450.3208</v>
      </c>
      <c r="G32" s="1">
        <v>6.0906</v>
      </c>
      <c r="H32" s="2">
        <v>10.0</v>
      </c>
      <c r="I32" s="103">
        <v>126829.1</v>
      </c>
      <c r="J32" s="103">
        <v>112245.4</v>
      </c>
      <c r="K32" s="140">
        <v>10.0</v>
      </c>
      <c r="L32" s="103">
        <v>294592.5</v>
      </c>
      <c r="M32" s="103">
        <v>197206.4</v>
      </c>
      <c r="N32" s="1" t="s">
        <v>2086</v>
      </c>
      <c r="Y32" s="1" t="s">
        <v>39</v>
      </c>
      <c r="Z32" s="1" t="s">
        <v>4991</v>
      </c>
    </row>
    <row r="33" ht="15.75" customHeight="1">
      <c r="A33" s="1" t="s">
        <v>35</v>
      </c>
      <c r="B33" s="4" t="s">
        <v>40</v>
      </c>
      <c r="C33" s="104" t="s">
        <v>625</v>
      </c>
      <c r="D33" s="2" t="s">
        <v>636</v>
      </c>
      <c r="E33" s="1" t="s">
        <v>4992</v>
      </c>
      <c r="F33" s="1">
        <v>256.2629</v>
      </c>
      <c r="G33" s="1">
        <v>7.9084</v>
      </c>
      <c r="H33" s="2">
        <v>10.0</v>
      </c>
      <c r="I33" s="103">
        <v>6334.069</v>
      </c>
      <c r="J33" s="103">
        <v>5793.33</v>
      </c>
      <c r="K33" s="140">
        <v>10.0</v>
      </c>
      <c r="L33" s="103">
        <v>7213.069</v>
      </c>
      <c r="M33" s="103">
        <v>7168.225</v>
      </c>
      <c r="N33" s="1" t="s">
        <v>4993</v>
      </c>
      <c r="Y33" s="1" t="s">
        <v>39</v>
      </c>
      <c r="Z33" s="1" t="s">
        <v>4994</v>
      </c>
    </row>
    <row r="34" ht="15.75" customHeight="1">
      <c r="A34" s="1" t="s">
        <v>35</v>
      </c>
      <c r="B34" s="4" t="s">
        <v>40</v>
      </c>
      <c r="C34" s="104" t="s">
        <v>625</v>
      </c>
      <c r="D34" s="2" t="s">
        <v>636</v>
      </c>
      <c r="E34" s="1" t="s">
        <v>4995</v>
      </c>
      <c r="F34" s="1">
        <v>206.0818</v>
      </c>
      <c r="G34" s="1">
        <v>3.8609</v>
      </c>
      <c r="H34" s="2">
        <v>10.0</v>
      </c>
      <c r="I34" s="103">
        <v>16697.36</v>
      </c>
      <c r="J34" s="103">
        <v>13765.82</v>
      </c>
      <c r="K34" s="140">
        <v>10.0</v>
      </c>
      <c r="L34" s="103">
        <v>12617.08</v>
      </c>
      <c r="M34" s="103">
        <v>12998.94</v>
      </c>
      <c r="N34" s="1" t="s">
        <v>1694</v>
      </c>
      <c r="Y34" s="1" t="s">
        <v>39</v>
      </c>
      <c r="Z34" s="1" t="s">
        <v>4996</v>
      </c>
    </row>
    <row r="35" ht="15.75" customHeight="1">
      <c r="A35" s="1" t="s">
        <v>35</v>
      </c>
      <c r="B35" s="4" t="s">
        <v>40</v>
      </c>
      <c r="C35" s="104" t="s">
        <v>625</v>
      </c>
      <c r="D35" s="2" t="s">
        <v>636</v>
      </c>
      <c r="E35" s="1" t="s">
        <v>4997</v>
      </c>
      <c r="F35" s="1">
        <v>153.0648</v>
      </c>
      <c r="G35" s="1">
        <v>1.6204</v>
      </c>
      <c r="H35" s="2">
        <v>10.0</v>
      </c>
      <c r="I35" s="103">
        <v>23001.14</v>
      </c>
      <c r="J35" s="103">
        <v>24757.55</v>
      </c>
      <c r="K35" s="140">
        <v>10.0</v>
      </c>
      <c r="L35" s="103">
        <v>25516.79</v>
      </c>
      <c r="M35" s="103">
        <v>22197.28</v>
      </c>
      <c r="N35" s="1" t="s">
        <v>2502</v>
      </c>
      <c r="Y35" s="1" t="s">
        <v>39</v>
      </c>
      <c r="Z35" s="1" t="s">
        <v>4998</v>
      </c>
    </row>
    <row r="36" ht="15.75" customHeight="1">
      <c r="A36" s="1" t="s">
        <v>35</v>
      </c>
      <c r="B36" s="4" t="s">
        <v>40</v>
      </c>
      <c r="C36" s="104" t="s">
        <v>625</v>
      </c>
      <c r="D36" s="2" t="s">
        <v>636</v>
      </c>
      <c r="E36" s="1" t="s">
        <v>4999</v>
      </c>
      <c r="F36" s="1">
        <v>120.0804</v>
      </c>
      <c r="G36" s="1">
        <v>1.8806</v>
      </c>
      <c r="H36" s="2">
        <v>10.0</v>
      </c>
      <c r="I36" s="103">
        <v>1208169.0</v>
      </c>
      <c r="J36" s="103">
        <v>1166901.0</v>
      </c>
      <c r="K36" s="140">
        <v>10.0</v>
      </c>
      <c r="L36" s="103">
        <v>1326996.0</v>
      </c>
      <c r="M36" s="103">
        <v>1322470.0</v>
      </c>
      <c r="N36" s="1" t="s">
        <v>3408</v>
      </c>
      <c r="Y36" s="1" t="s">
        <v>39</v>
      </c>
      <c r="Z36" s="1" t="s">
        <v>5000</v>
      </c>
    </row>
    <row r="37" ht="15.75" customHeight="1">
      <c r="A37" s="1" t="s">
        <v>35</v>
      </c>
      <c r="B37" s="4" t="s">
        <v>40</v>
      </c>
      <c r="C37" s="104" t="s">
        <v>625</v>
      </c>
      <c r="D37" s="2" t="s">
        <v>636</v>
      </c>
      <c r="E37" s="1" t="s">
        <v>4310</v>
      </c>
      <c r="F37" s="1">
        <v>363.2168</v>
      </c>
      <c r="G37" s="1">
        <v>4.8006</v>
      </c>
      <c r="H37" s="2">
        <v>10.0</v>
      </c>
      <c r="I37" s="103">
        <v>136930.2</v>
      </c>
      <c r="J37" s="103">
        <v>156616.1</v>
      </c>
      <c r="K37" s="140">
        <v>10.0</v>
      </c>
      <c r="L37" s="103">
        <v>125698.5</v>
      </c>
      <c r="M37" s="103">
        <v>112392.0</v>
      </c>
      <c r="N37" s="1" t="s">
        <v>4311</v>
      </c>
      <c r="Y37" s="1" t="s">
        <v>39</v>
      </c>
      <c r="Z37" s="1" t="s">
        <v>5001</v>
      </c>
    </row>
    <row r="38" ht="15.75" customHeight="1">
      <c r="A38" s="1" t="s">
        <v>35</v>
      </c>
      <c r="B38" s="4" t="s">
        <v>40</v>
      </c>
      <c r="C38" s="104" t="s">
        <v>625</v>
      </c>
      <c r="D38" s="2" t="s">
        <v>636</v>
      </c>
      <c r="E38" s="1" t="s">
        <v>3526</v>
      </c>
      <c r="F38" s="1">
        <v>114.0651</v>
      </c>
      <c r="G38" s="1">
        <v>0.7677</v>
      </c>
      <c r="H38" s="2">
        <v>10.0</v>
      </c>
      <c r="I38" s="103">
        <v>52903.71</v>
      </c>
      <c r="J38" s="103">
        <v>50010.17</v>
      </c>
      <c r="K38" s="140">
        <v>10.0</v>
      </c>
      <c r="L38" s="103">
        <v>43338.48</v>
      </c>
      <c r="M38" s="103">
        <v>40295.44</v>
      </c>
      <c r="N38" s="1" t="s">
        <v>638</v>
      </c>
      <c r="Y38" s="1" t="s">
        <v>39</v>
      </c>
      <c r="Z38" s="1" t="s">
        <v>5002</v>
      </c>
    </row>
    <row r="39" ht="15.75" customHeight="1">
      <c r="A39" s="1" t="s">
        <v>35</v>
      </c>
      <c r="B39" s="4" t="s">
        <v>40</v>
      </c>
      <c r="C39" s="104" t="s">
        <v>625</v>
      </c>
      <c r="D39" s="2" t="s">
        <v>636</v>
      </c>
      <c r="E39" s="1" t="s">
        <v>171</v>
      </c>
      <c r="F39" s="1">
        <v>162.1116</v>
      </c>
      <c r="G39" s="1">
        <v>0.7677</v>
      </c>
      <c r="H39" s="2">
        <v>10.0</v>
      </c>
      <c r="I39" s="103">
        <v>192526.3</v>
      </c>
      <c r="J39" s="103">
        <v>175081.2</v>
      </c>
      <c r="K39" s="140">
        <v>10.0</v>
      </c>
      <c r="L39" s="103">
        <v>215909.6</v>
      </c>
      <c r="M39" s="103">
        <v>214862.4</v>
      </c>
      <c r="N39" s="1" t="s">
        <v>1640</v>
      </c>
      <c r="Y39" s="1" t="s">
        <v>39</v>
      </c>
      <c r="Z39" s="1" t="s">
        <v>174</v>
      </c>
    </row>
    <row r="40" ht="15.75" customHeight="1">
      <c r="A40" s="1" t="s">
        <v>35</v>
      </c>
      <c r="B40" s="4" t="s">
        <v>40</v>
      </c>
      <c r="C40" s="104" t="s">
        <v>625</v>
      </c>
      <c r="D40" s="2" t="s">
        <v>636</v>
      </c>
      <c r="E40" s="1" t="s">
        <v>5003</v>
      </c>
      <c r="F40" s="1">
        <v>184.0595</v>
      </c>
      <c r="G40" s="1">
        <v>1.6893</v>
      </c>
      <c r="H40" s="2">
        <v>10.0</v>
      </c>
      <c r="I40" s="103">
        <v>37.315</v>
      </c>
      <c r="J40" s="103">
        <v>2.1</v>
      </c>
      <c r="K40" s="140">
        <v>10.0</v>
      </c>
      <c r="L40" s="103">
        <v>2.931</v>
      </c>
      <c r="M40" s="103">
        <v>2.1</v>
      </c>
      <c r="N40" s="1" t="s">
        <v>3104</v>
      </c>
      <c r="Y40" s="1" t="s">
        <v>39</v>
      </c>
      <c r="Z40" s="1" t="s">
        <v>5004</v>
      </c>
    </row>
    <row r="41" ht="15.75" customHeight="1">
      <c r="A41" s="1" t="s">
        <v>35</v>
      </c>
      <c r="B41" s="4" t="s">
        <v>40</v>
      </c>
      <c r="C41" s="104" t="s">
        <v>625</v>
      </c>
      <c r="D41" s="2" t="s">
        <v>636</v>
      </c>
      <c r="E41" s="1" t="s">
        <v>262</v>
      </c>
      <c r="F41" s="1">
        <v>583.2535</v>
      </c>
      <c r="G41" s="1">
        <v>6.3326</v>
      </c>
      <c r="H41" s="2">
        <v>10.0</v>
      </c>
      <c r="I41" s="103">
        <v>99404.12</v>
      </c>
      <c r="J41" s="103">
        <v>78928.72</v>
      </c>
      <c r="K41" s="140">
        <v>10.0</v>
      </c>
      <c r="L41" s="103">
        <v>74478.14</v>
      </c>
      <c r="M41" s="103">
        <v>67508.92</v>
      </c>
      <c r="N41" s="1" t="s">
        <v>1597</v>
      </c>
      <c r="Y41" s="1" t="s">
        <v>39</v>
      </c>
      <c r="Z41" s="1" t="s">
        <v>5005</v>
      </c>
    </row>
    <row r="42" ht="15.75" customHeight="1">
      <c r="A42" s="1" t="s">
        <v>35</v>
      </c>
      <c r="B42" s="4" t="s">
        <v>40</v>
      </c>
      <c r="C42" s="104" t="s">
        <v>625</v>
      </c>
      <c r="D42" s="2" t="s">
        <v>636</v>
      </c>
      <c r="E42" s="1" t="s">
        <v>5006</v>
      </c>
      <c r="F42" s="1">
        <v>123.0538</v>
      </c>
      <c r="G42" s="1">
        <v>1.5339</v>
      </c>
      <c r="H42" s="2">
        <v>10.0</v>
      </c>
      <c r="I42" s="103">
        <v>11809.51</v>
      </c>
      <c r="J42" s="103">
        <v>5209.665</v>
      </c>
      <c r="K42" s="140">
        <v>10.0</v>
      </c>
      <c r="L42" s="103">
        <v>11162.19</v>
      </c>
      <c r="M42" s="103">
        <v>11533.5</v>
      </c>
      <c r="N42" s="1" t="s">
        <v>2732</v>
      </c>
      <c r="Y42" s="1" t="s">
        <v>39</v>
      </c>
      <c r="Z42" s="1" t="s">
        <v>5007</v>
      </c>
    </row>
    <row r="43" ht="15.75" customHeight="1">
      <c r="A43" s="1" t="s">
        <v>35</v>
      </c>
      <c r="B43" s="4" t="s">
        <v>40</v>
      </c>
      <c r="C43" s="104" t="s">
        <v>625</v>
      </c>
      <c r="D43" s="2" t="s">
        <v>636</v>
      </c>
      <c r="E43" s="1" t="s">
        <v>5008</v>
      </c>
      <c r="F43" s="1">
        <v>166.0711</v>
      </c>
      <c r="G43" s="1">
        <v>1.3248</v>
      </c>
      <c r="H43" s="2">
        <v>10.0</v>
      </c>
      <c r="I43" s="103">
        <v>4812.498</v>
      </c>
      <c r="J43" s="103">
        <v>4673.175</v>
      </c>
      <c r="K43" s="140">
        <v>10.0</v>
      </c>
      <c r="L43" s="103">
        <v>6212.376</v>
      </c>
      <c r="M43" s="103">
        <v>6168.015</v>
      </c>
      <c r="N43" s="1" t="s">
        <v>1396</v>
      </c>
      <c r="Y43" s="1" t="s">
        <v>39</v>
      </c>
      <c r="Z43" s="1" t="s">
        <v>5009</v>
      </c>
    </row>
    <row r="44" ht="15.75" customHeight="1">
      <c r="A44" s="1" t="s">
        <v>35</v>
      </c>
      <c r="B44" s="4" t="s">
        <v>40</v>
      </c>
      <c r="C44" s="104" t="s">
        <v>625</v>
      </c>
      <c r="D44" s="2" t="s">
        <v>636</v>
      </c>
      <c r="E44" s="1" t="s">
        <v>5010</v>
      </c>
      <c r="F44" s="1">
        <v>325.1122</v>
      </c>
      <c r="G44" s="1">
        <v>0.785</v>
      </c>
      <c r="H44" s="2">
        <v>10.0</v>
      </c>
      <c r="I44" s="103">
        <v>17893.07</v>
      </c>
      <c r="J44" s="103">
        <v>18406.76</v>
      </c>
      <c r="K44" s="140">
        <v>10.0</v>
      </c>
      <c r="L44" s="103">
        <v>8372.637</v>
      </c>
      <c r="M44" s="103">
        <v>6925.105</v>
      </c>
      <c r="N44" s="1" t="s">
        <v>2315</v>
      </c>
      <c r="Y44" s="1" t="s">
        <v>39</v>
      </c>
      <c r="Z44" s="1" t="s">
        <v>5011</v>
      </c>
    </row>
    <row r="45" ht="15.75" customHeight="1">
      <c r="A45" s="1" t="s">
        <v>35</v>
      </c>
      <c r="B45" s="4" t="s">
        <v>40</v>
      </c>
      <c r="C45" s="104" t="s">
        <v>625</v>
      </c>
      <c r="D45" s="2" t="s">
        <v>636</v>
      </c>
      <c r="E45" s="1" t="s">
        <v>5012</v>
      </c>
      <c r="F45" s="1">
        <v>506.359</v>
      </c>
      <c r="G45" s="1">
        <v>7.2254</v>
      </c>
      <c r="H45" s="2">
        <v>10.0</v>
      </c>
      <c r="I45" s="103">
        <v>2148.126</v>
      </c>
      <c r="J45" s="103">
        <v>1916.715</v>
      </c>
      <c r="K45" s="140">
        <v>10.0</v>
      </c>
      <c r="L45" s="103">
        <v>5444.529</v>
      </c>
      <c r="M45" s="103">
        <v>5292.82</v>
      </c>
      <c r="N45" s="1" t="s">
        <v>5013</v>
      </c>
      <c r="Y45" s="1" t="s">
        <v>39</v>
      </c>
      <c r="Z45" s="1" t="s">
        <v>5014</v>
      </c>
    </row>
    <row r="46" ht="15.75" customHeight="1">
      <c r="A46" s="1" t="s">
        <v>35</v>
      </c>
      <c r="B46" s="4" t="s">
        <v>40</v>
      </c>
      <c r="C46" s="104" t="s">
        <v>625</v>
      </c>
      <c r="D46" s="2" t="s">
        <v>636</v>
      </c>
      <c r="E46" s="1" t="s">
        <v>5015</v>
      </c>
      <c r="F46" s="1">
        <v>480.3076</v>
      </c>
      <c r="G46" s="1">
        <v>7.0124</v>
      </c>
      <c r="H46" s="2">
        <v>10.0</v>
      </c>
      <c r="I46" s="103">
        <v>35178.25</v>
      </c>
      <c r="J46" s="103">
        <v>36478.58</v>
      </c>
      <c r="K46" s="140">
        <v>10.0</v>
      </c>
      <c r="L46" s="103">
        <v>42450.42</v>
      </c>
      <c r="M46" s="103">
        <v>43075.06</v>
      </c>
      <c r="N46" s="1" t="s">
        <v>3768</v>
      </c>
      <c r="Y46" s="1" t="s">
        <v>39</v>
      </c>
      <c r="Z46" s="1" t="s">
        <v>5016</v>
      </c>
    </row>
    <row r="47" ht="15.75" customHeight="1">
      <c r="A47" s="1" t="s">
        <v>35</v>
      </c>
      <c r="B47" s="4" t="s">
        <v>40</v>
      </c>
      <c r="C47" s="104" t="s">
        <v>625</v>
      </c>
      <c r="D47" s="2" t="s">
        <v>636</v>
      </c>
      <c r="E47" s="1" t="s">
        <v>4373</v>
      </c>
      <c r="F47" s="1">
        <v>139.0379</v>
      </c>
      <c r="G47" s="1">
        <v>3.9535</v>
      </c>
      <c r="H47" s="2">
        <v>10.0</v>
      </c>
      <c r="I47" s="103">
        <v>1541.664</v>
      </c>
      <c r="J47" s="103">
        <v>407.245</v>
      </c>
      <c r="K47" s="140">
        <v>10.0</v>
      </c>
      <c r="L47" s="103">
        <v>156.888</v>
      </c>
      <c r="M47" s="103">
        <v>60.52</v>
      </c>
      <c r="N47" s="1" t="s">
        <v>1240</v>
      </c>
      <c r="Y47" s="1" t="s">
        <v>39</v>
      </c>
      <c r="Z47" s="1" t="s">
        <v>5017</v>
      </c>
    </row>
    <row r="48" ht="15.75" customHeight="1">
      <c r="A48" s="1" t="s">
        <v>35</v>
      </c>
      <c r="B48" s="4" t="s">
        <v>40</v>
      </c>
      <c r="C48" s="104" t="s">
        <v>625</v>
      </c>
      <c r="D48" s="2" t="s">
        <v>636</v>
      </c>
      <c r="E48" s="1" t="s">
        <v>5018</v>
      </c>
      <c r="F48" s="1">
        <v>132.1008</v>
      </c>
      <c r="G48" s="1">
        <v>0.9246</v>
      </c>
      <c r="H48" s="2">
        <v>10.0</v>
      </c>
      <c r="I48" s="103">
        <v>148632.1</v>
      </c>
      <c r="J48" s="103">
        <v>154598.5</v>
      </c>
      <c r="K48" s="140">
        <v>10.0</v>
      </c>
      <c r="L48" s="103">
        <v>141354.0</v>
      </c>
      <c r="M48" s="103">
        <v>144539.1</v>
      </c>
      <c r="N48" s="1" t="s">
        <v>2272</v>
      </c>
      <c r="Y48" s="1" t="s">
        <v>39</v>
      </c>
      <c r="Z48" s="1" t="s">
        <v>5019</v>
      </c>
    </row>
    <row r="49" ht="15.75" customHeight="1">
      <c r="A49" s="1" t="s">
        <v>35</v>
      </c>
      <c r="B49" s="4" t="s">
        <v>40</v>
      </c>
      <c r="C49" s="104" t="s">
        <v>625</v>
      </c>
      <c r="D49" s="2" t="s">
        <v>636</v>
      </c>
      <c r="E49" s="1" t="s">
        <v>3970</v>
      </c>
      <c r="F49" s="1">
        <v>287.0997</v>
      </c>
      <c r="G49" s="1">
        <v>2.905</v>
      </c>
      <c r="H49" s="2">
        <v>10.0</v>
      </c>
      <c r="I49" s="103">
        <v>14351.95</v>
      </c>
      <c r="J49" s="103">
        <v>8649.775</v>
      </c>
      <c r="K49" s="140">
        <v>10.0</v>
      </c>
      <c r="L49" s="103">
        <v>10966.3</v>
      </c>
      <c r="M49" s="103">
        <v>8318.285</v>
      </c>
      <c r="N49" s="1" t="s">
        <v>2970</v>
      </c>
      <c r="Y49" s="1" t="s">
        <v>39</v>
      </c>
      <c r="Z49" s="1" t="s">
        <v>5020</v>
      </c>
    </row>
    <row r="50" ht="15.75" customHeight="1">
      <c r="A50" s="1" t="s">
        <v>35</v>
      </c>
      <c r="B50" s="4" t="s">
        <v>40</v>
      </c>
      <c r="C50" s="104" t="s">
        <v>625</v>
      </c>
      <c r="D50" s="2" t="s">
        <v>636</v>
      </c>
      <c r="E50" s="1" t="s">
        <v>5021</v>
      </c>
      <c r="F50" s="1">
        <v>243.0868</v>
      </c>
      <c r="G50" s="1">
        <v>4.139</v>
      </c>
      <c r="H50" s="2">
        <v>10.0</v>
      </c>
      <c r="I50" s="103">
        <v>2349.136</v>
      </c>
      <c r="J50" s="103">
        <v>2439.155</v>
      </c>
      <c r="K50" s="140">
        <v>10.0</v>
      </c>
      <c r="L50" s="103">
        <v>2864.95</v>
      </c>
      <c r="M50" s="103">
        <v>2785.305</v>
      </c>
      <c r="N50" s="1" t="s">
        <v>5022</v>
      </c>
      <c r="Y50" s="1" t="s">
        <v>39</v>
      </c>
      <c r="Z50" s="1" t="s">
        <v>4972</v>
      </c>
    </row>
    <row r="51" ht="15.75" customHeight="1">
      <c r="A51" s="1" t="s">
        <v>35</v>
      </c>
      <c r="B51" s="4" t="s">
        <v>40</v>
      </c>
      <c r="C51" s="104" t="s">
        <v>625</v>
      </c>
      <c r="D51" s="2" t="s">
        <v>636</v>
      </c>
      <c r="E51" s="1" t="s">
        <v>5023</v>
      </c>
      <c r="F51" s="1">
        <v>261.1439</v>
      </c>
      <c r="G51" s="1">
        <v>2.366</v>
      </c>
      <c r="H51" s="2">
        <v>10.0</v>
      </c>
      <c r="I51" s="103">
        <v>19166.45</v>
      </c>
      <c r="J51" s="103">
        <v>21125.18</v>
      </c>
      <c r="K51" s="140">
        <v>10.0</v>
      </c>
      <c r="L51" s="103">
        <v>20462.28</v>
      </c>
      <c r="M51" s="103">
        <v>19200.03</v>
      </c>
      <c r="N51" s="1" t="s">
        <v>1991</v>
      </c>
      <c r="Y51" s="1" t="s">
        <v>39</v>
      </c>
      <c r="Z51" s="1" t="s">
        <v>5024</v>
      </c>
    </row>
    <row r="52" ht="15.75" customHeight="1">
      <c r="A52" s="1" t="s">
        <v>35</v>
      </c>
      <c r="B52" s="4" t="s">
        <v>40</v>
      </c>
      <c r="C52" s="104" t="s">
        <v>625</v>
      </c>
      <c r="D52" s="2" t="s">
        <v>636</v>
      </c>
      <c r="E52" s="1" t="s">
        <v>4159</v>
      </c>
      <c r="F52" s="1">
        <v>104.1058</v>
      </c>
      <c r="G52" s="1">
        <v>0.7504</v>
      </c>
      <c r="H52" s="2">
        <v>10.0</v>
      </c>
      <c r="I52" s="103">
        <v>49339.57</v>
      </c>
      <c r="J52" s="103">
        <v>45603.89</v>
      </c>
      <c r="K52" s="140">
        <v>10.0</v>
      </c>
      <c r="L52" s="103">
        <v>61274.72</v>
      </c>
      <c r="M52" s="103">
        <v>59359.58</v>
      </c>
      <c r="N52" s="1" t="s">
        <v>1679</v>
      </c>
      <c r="Y52" s="1" t="s">
        <v>39</v>
      </c>
      <c r="Z52" s="1" t="s">
        <v>5025</v>
      </c>
    </row>
    <row r="53" ht="15.75" customHeight="1">
      <c r="A53" s="1" t="s">
        <v>35</v>
      </c>
      <c r="B53" s="4" t="s">
        <v>40</v>
      </c>
      <c r="C53" s="104" t="s">
        <v>625</v>
      </c>
      <c r="D53" s="2" t="s">
        <v>636</v>
      </c>
      <c r="E53" s="1" t="s">
        <v>5026</v>
      </c>
      <c r="F53" s="1">
        <v>70.0644</v>
      </c>
      <c r="G53" s="1">
        <v>0.785</v>
      </c>
      <c r="H53" s="2">
        <v>10.0</v>
      </c>
      <c r="I53" s="103">
        <v>54805.31</v>
      </c>
      <c r="J53" s="103">
        <v>47020.94</v>
      </c>
      <c r="K53" s="140">
        <v>10.0</v>
      </c>
      <c r="L53" s="103">
        <v>63990.38</v>
      </c>
      <c r="M53" s="103">
        <v>51594.29</v>
      </c>
      <c r="N53" s="1" t="s">
        <v>5027</v>
      </c>
      <c r="Y53" s="1" t="s">
        <v>39</v>
      </c>
      <c r="Z53" s="1" t="s">
        <v>5028</v>
      </c>
    </row>
    <row r="54" ht="15.75" customHeight="1">
      <c r="A54" s="1" t="s">
        <v>35</v>
      </c>
      <c r="B54" s="4" t="s">
        <v>40</v>
      </c>
      <c r="C54" s="104" t="s">
        <v>625</v>
      </c>
      <c r="D54" s="2" t="s">
        <v>636</v>
      </c>
      <c r="E54" s="1" t="s">
        <v>456</v>
      </c>
      <c r="F54" s="1">
        <v>313.1541</v>
      </c>
      <c r="G54" s="1">
        <v>3.2003</v>
      </c>
      <c r="H54" s="2">
        <v>10.0</v>
      </c>
      <c r="I54" s="103">
        <v>2138.804</v>
      </c>
      <c r="J54" s="103">
        <v>2204.34</v>
      </c>
      <c r="K54" s="140">
        <v>10.0</v>
      </c>
      <c r="L54" s="103">
        <v>2934.786</v>
      </c>
      <c r="M54" s="103">
        <v>2889.645</v>
      </c>
      <c r="N54" s="1" t="s">
        <v>5029</v>
      </c>
      <c r="Y54" s="1" t="s">
        <v>39</v>
      </c>
      <c r="Z54" s="1" t="s">
        <v>5030</v>
      </c>
    </row>
    <row r="55" ht="15.75" customHeight="1">
      <c r="A55" s="1" t="s">
        <v>35</v>
      </c>
      <c r="B55" s="4" t="s">
        <v>40</v>
      </c>
      <c r="C55" s="104" t="s">
        <v>625</v>
      </c>
      <c r="D55" s="2" t="s">
        <v>636</v>
      </c>
      <c r="E55" s="1" t="s">
        <v>5031</v>
      </c>
      <c r="F55" s="1">
        <v>118.0643</v>
      </c>
      <c r="G55" s="1">
        <v>2.2796</v>
      </c>
      <c r="H55" s="2">
        <v>10.0</v>
      </c>
      <c r="I55" s="103">
        <v>58465.24</v>
      </c>
      <c r="J55" s="103">
        <v>58356.48</v>
      </c>
      <c r="K55" s="140">
        <v>10.0</v>
      </c>
      <c r="L55" s="103">
        <v>60139.28</v>
      </c>
      <c r="M55" s="103">
        <v>61600.15</v>
      </c>
      <c r="N55" s="1" t="s">
        <v>5032</v>
      </c>
      <c r="Y55" s="1" t="s">
        <v>39</v>
      </c>
      <c r="Z55" s="1" t="s">
        <v>5033</v>
      </c>
    </row>
    <row r="56" ht="15.75" customHeight="1">
      <c r="A56" s="1" t="s">
        <v>35</v>
      </c>
      <c r="B56" s="4" t="s">
        <v>40</v>
      </c>
      <c r="C56" s="104" t="s">
        <v>625</v>
      </c>
      <c r="D56" s="2" t="s">
        <v>636</v>
      </c>
      <c r="E56" s="1" t="s">
        <v>5034</v>
      </c>
      <c r="F56" s="1">
        <v>516.298</v>
      </c>
      <c r="G56" s="1">
        <v>5.6748</v>
      </c>
      <c r="H56" s="2">
        <v>10.0</v>
      </c>
      <c r="I56" s="103">
        <v>2754.627</v>
      </c>
      <c r="J56" s="103">
        <v>1977.375</v>
      </c>
      <c r="K56" s="140">
        <v>10.0</v>
      </c>
      <c r="L56" s="103">
        <v>8393.244</v>
      </c>
      <c r="M56" s="103">
        <v>2454.775</v>
      </c>
      <c r="N56" s="1" t="s">
        <v>3310</v>
      </c>
      <c r="Y56" s="1" t="s">
        <v>39</v>
      </c>
      <c r="Z56" s="1" t="s">
        <v>5035</v>
      </c>
    </row>
    <row r="57" ht="15.75" customHeight="1">
      <c r="A57" s="1" t="s">
        <v>35</v>
      </c>
      <c r="B57" s="4" t="s">
        <v>40</v>
      </c>
      <c r="C57" s="104" t="s">
        <v>625</v>
      </c>
      <c r="D57" s="2" t="s">
        <v>636</v>
      </c>
      <c r="E57" s="1" t="s">
        <v>5036</v>
      </c>
      <c r="F57" s="1">
        <v>279.1341</v>
      </c>
      <c r="G57" s="1">
        <v>1.9322</v>
      </c>
      <c r="H57" s="2">
        <v>10.0</v>
      </c>
      <c r="I57" s="103">
        <v>2601.021</v>
      </c>
      <c r="J57" s="103">
        <v>2144.71</v>
      </c>
      <c r="K57" s="140">
        <v>10.0</v>
      </c>
      <c r="L57" s="103">
        <v>2738.259</v>
      </c>
      <c r="M57" s="103">
        <v>2685.57</v>
      </c>
      <c r="N57" s="1" t="s">
        <v>5037</v>
      </c>
      <c r="Y57" s="1" t="s">
        <v>39</v>
      </c>
      <c r="Z57" s="1" t="s">
        <v>5038</v>
      </c>
    </row>
    <row r="58" ht="15.75" customHeight="1">
      <c r="A58" s="1" t="s">
        <v>35</v>
      </c>
      <c r="B58" s="4" t="s">
        <v>40</v>
      </c>
      <c r="C58" s="104" t="s">
        <v>625</v>
      </c>
      <c r="D58" s="2" t="s">
        <v>636</v>
      </c>
      <c r="E58" s="1" t="s">
        <v>5039</v>
      </c>
      <c r="F58" s="1">
        <v>134.0589</v>
      </c>
      <c r="G58" s="1">
        <v>3.4137</v>
      </c>
      <c r="H58" s="2">
        <v>10.0</v>
      </c>
      <c r="I58" s="103">
        <v>12318.36</v>
      </c>
      <c r="J58" s="103">
        <v>8820.41</v>
      </c>
      <c r="K58" s="140">
        <v>10.0</v>
      </c>
      <c r="L58" s="103">
        <v>9357.396</v>
      </c>
      <c r="M58" s="103">
        <v>8219.96</v>
      </c>
      <c r="N58" s="1" t="s">
        <v>2254</v>
      </c>
      <c r="Y58" s="1" t="s">
        <v>39</v>
      </c>
      <c r="Z58" s="1" t="s">
        <v>5040</v>
      </c>
    </row>
    <row r="59" ht="15.75" customHeight="1">
      <c r="A59" s="1" t="s">
        <v>35</v>
      </c>
      <c r="B59" s="4" t="s">
        <v>40</v>
      </c>
      <c r="C59" s="104" t="s">
        <v>625</v>
      </c>
      <c r="D59" s="2" t="s">
        <v>636</v>
      </c>
      <c r="E59" s="1" t="s">
        <v>5041</v>
      </c>
      <c r="F59" s="1">
        <v>295.1282</v>
      </c>
      <c r="G59" s="1">
        <v>2.5051</v>
      </c>
      <c r="H59" s="2">
        <v>10.0</v>
      </c>
      <c r="I59" s="103">
        <v>16543.5</v>
      </c>
      <c r="J59" s="103">
        <v>15610.4</v>
      </c>
      <c r="K59" s="140">
        <v>10.0</v>
      </c>
      <c r="L59" s="103">
        <v>16766.53</v>
      </c>
      <c r="M59" s="103">
        <v>17013.17</v>
      </c>
      <c r="N59" s="1" t="s">
        <v>5042</v>
      </c>
      <c r="Y59" s="1" t="s">
        <v>39</v>
      </c>
      <c r="Z59" s="1" t="s">
        <v>5043</v>
      </c>
    </row>
    <row r="60" ht="15.75" customHeight="1">
      <c r="A60" s="1" t="s">
        <v>35</v>
      </c>
      <c r="B60" s="4" t="s">
        <v>40</v>
      </c>
      <c r="C60" s="104" t="s">
        <v>625</v>
      </c>
      <c r="D60" s="2" t="s">
        <v>636</v>
      </c>
      <c r="E60" s="1" t="s">
        <v>5044</v>
      </c>
      <c r="F60" s="1">
        <v>163.0743</v>
      </c>
      <c r="G60" s="1">
        <v>7.0535</v>
      </c>
      <c r="H60" s="2">
        <v>10.0</v>
      </c>
      <c r="I60" s="103">
        <v>5130.64</v>
      </c>
      <c r="J60" s="103">
        <v>4963.49</v>
      </c>
      <c r="K60" s="140">
        <v>10.0</v>
      </c>
      <c r="L60" s="103">
        <v>5861.989</v>
      </c>
      <c r="M60" s="103">
        <v>5569.465</v>
      </c>
      <c r="N60" s="1" t="s">
        <v>5045</v>
      </c>
      <c r="Y60" s="1" t="s">
        <v>39</v>
      </c>
      <c r="Z60" s="1" t="s">
        <v>5046</v>
      </c>
    </row>
    <row r="61" ht="15.75" customHeight="1">
      <c r="A61" s="1" t="s">
        <v>35</v>
      </c>
      <c r="B61" s="4" t="s">
        <v>40</v>
      </c>
      <c r="C61" s="104" t="s">
        <v>625</v>
      </c>
      <c r="D61" s="2" t="s">
        <v>636</v>
      </c>
      <c r="E61" s="1" t="s">
        <v>5047</v>
      </c>
      <c r="F61" s="1">
        <v>348.0687</v>
      </c>
      <c r="G61" s="1">
        <v>0.8025</v>
      </c>
      <c r="H61" s="2">
        <v>10.0</v>
      </c>
      <c r="I61" s="103">
        <v>33608.22</v>
      </c>
      <c r="J61" s="103">
        <v>22240.2</v>
      </c>
      <c r="K61" s="140">
        <v>10.0</v>
      </c>
      <c r="L61" s="103">
        <v>42115.09</v>
      </c>
      <c r="M61" s="103">
        <v>40765.6</v>
      </c>
      <c r="N61" s="1" t="s">
        <v>5048</v>
      </c>
      <c r="Y61" s="1" t="s">
        <v>39</v>
      </c>
      <c r="Z61" s="1" t="s">
        <v>5049</v>
      </c>
    </row>
    <row r="62" ht="15.75" customHeight="1">
      <c r="A62" s="1" t="s">
        <v>35</v>
      </c>
      <c r="B62" s="4" t="s">
        <v>40</v>
      </c>
      <c r="C62" s="104" t="s">
        <v>625</v>
      </c>
      <c r="D62" s="2" t="s">
        <v>636</v>
      </c>
      <c r="E62" s="1" t="s">
        <v>5050</v>
      </c>
      <c r="F62" s="1">
        <v>130.0487</v>
      </c>
      <c r="G62" s="1">
        <v>1.1691</v>
      </c>
      <c r="H62" s="2">
        <v>10.0</v>
      </c>
      <c r="I62" s="103">
        <v>16410.81</v>
      </c>
      <c r="J62" s="103">
        <v>15845.74</v>
      </c>
      <c r="K62" s="140">
        <v>10.0</v>
      </c>
      <c r="L62" s="103">
        <v>13857.38</v>
      </c>
      <c r="M62" s="103">
        <v>13235.45</v>
      </c>
      <c r="N62" s="1" t="s">
        <v>2032</v>
      </c>
      <c r="Y62" s="1" t="s">
        <v>39</v>
      </c>
      <c r="Z62" s="1" t="s">
        <v>5051</v>
      </c>
    </row>
    <row r="63" ht="15.75" customHeight="1">
      <c r="A63" s="1" t="s">
        <v>35</v>
      </c>
      <c r="B63" s="4" t="s">
        <v>40</v>
      </c>
      <c r="C63" s="104" t="s">
        <v>625</v>
      </c>
      <c r="D63" s="2" t="s">
        <v>636</v>
      </c>
      <c r="E63" s="1" t="s">
        <v>3560</v>
      </c>
      <c r="F63" s="1">
        <v>169.0349</v>
      </c>
      <c r="G63" s="1">
        <v>0.82</v>
      </c>
      <c r="H63" s="2">
        <v>10.0</v>
      </c>
      <c r="I63" s="103">
        <v>316322.6</v>
      </c>
      <c r="J63" s="103">
        <v>322001.3</v>
      </c>
      <c r="K63" s="140">
        <v>10.0</v>
      </c>
      <c r="L63" s="103">
        <v>391841.8</v>
      </c>
      <c r="M63" s="103">
        <v>409190.6</v>
      </c>
      <c r="N63" s="1" t="s">
        <v>3442</v>
      </c>
      <c r="Y63" s="1" t="s">
        <v>39</v>
      </c>
      <c r="Z63" s="1" t="s">
        <v>5052</v>
      </c>
    </row>
    <row r="64" ht="15.75" customHeight="1">
      <c r="A64" s="1" t="s">
        <v>35</v>
      </c>
      <c r="B64" s="4" t="s">
        <v>40</v>
      </c>
      <c r="C64" s="104" t="s">
        <v>625</v>
      </c>
      <c r="D64" s="2" t="s">
        <v>636</v>
      </c>
      <c r="E64" s="1" t="s">
        <v>5053</v>
      </c>
      <c r="F64" s="1">
        <v>193.0962</v>
      </c>
      <c r="G64" s="1">
        <v>1.5165</v>
      </c>
      <c r="H64" s="2">
        <v>10.0</v>
      </c>
      <c r="I64" s="103">
        <v>715.597</v>
      </c>
      <c r="J64" s="103">
        <v>387.23</v>
      </c>
      <c r="K64" s="140">
        <v>10.0</v>
      </c>
      <c r="L64" s="103">
        <v>15.207</v>
      </c>
      <c r="M64" s="103">
        <v>15.21</v>
      </c>
      <c r="N64" s="1" t="s">
        <v>5054</v>
      </c>
      <c r="Y64" s="1" t="s">
        <v>39</v>
      </c>
      <c r="Z64" s="1" t="s">
        <v>5055</v>
      </c>
    </row>
    <row r="65" ht="15.75" customHeight="1">
      <c r="A65" s="1" t="s">
        <v>35</v>
      </c>
      <c r="B65" s="4" t="s">
        <v>40</v>
      </c>
      <c r="C65" s="104" t="s">
        <v>625</v>
      </c>
      <c r="D65" s="2" t="s">
        <v>636</v>
      </c>
      <c r="E65" s="1" t="s">
        <v>5056</v>
      </c>
      <c r="F65" s="1">
        <v>205.0856</v>
      </c>
      <c r="G65" s="1">
        <v>7.191</v>
      </c>
      <c r="H65" s="2">
        <v>10.0</v>
      </c>
      <c r="I65" s="103">
        <v>156708.8</v>
      </c>
      <c r="J65" s="103">
        <v>160124.3</v>
      </c>
      <c r="K65" s="140">
        <v>10.0</v>
      </c>
      <c r="L65" s="103">
        <v>186324.8</v>
      </c>
      <c r="M65" s="103">
        <v>178916.7</v>
      </c>
      <c r="N65" s="1" t="s">
        <v>3640</v>
      </c>
      <c r="Y65" s="1" t="s">
        <v>39</v>
      </c>
      <c r="Z65" s="1" t="s">
        <v>5057</v>
      </c>
    </row>
    <row r="66" ht="15.75" customHeight="1">
      <c r="A66" s="1" t="s">
        <v>35</v>
      </c>
      <c r="B66" s="4" t="s">
        <v>40</v>
      </c>
      <c r="C66" s="104" t="s">
        <v>625</v>
      </c>
      <c r="D66" s="2" t="s">
        <v>636</v>
      </c>
      <c r="E66" s="1" t="s">
        <v>5058</v>
      </c>
      <c r="F66" s="1">
        <v>338.3424</v>
      </c>
      <c r="G66" s="1">
        <v>8.3907</v>
      </c>
      <c r="H66" s="2">
        <v>10.0</v>
      </c>
      <c r="I66" s="103">
        <v>848565.7</v>
      </c>
      <c r="J66" s="103">
        <v>828189.5</v>
      </c>
      <c r="K66" s="140">
        <v>10.0</v>
      </c>
      <c r="L66" s="103">
        <v>1024933.0</v>
      </c>
      <c r="M66" s="103">
        <v>1019758.0</v>
      </c>
      <c r="N66" s="1" t="s">
        <v>3612</v>
      </c>
      <c r="Y66" s="1" t="s">
        <v>39</v>
      </c>
      <c r="Z66" s="1" t="s">
        <v>5059</v>
      </c>
    </row>
    <row r="67" ht="15.75" customHeight="1">
      <c r="A67" s="1" t="s">
        <v>35</v>
      </c>
      <c r="B67" s="4" t="s">
        <v>40</v>
      </c>
      <c r="C67" s="104" t="s">
        <v>625</v>
      </c>
      <c r="D67" s="2" t="s">
        <v>636</v>
      </c>
      <c r="E67" s="1" t="s">
        <v>3559</v>
      </c>
      <c r="F67" s="1">
        <v>61.0381</v>
      </c>
      <c r="G67" s="1">
        <v>0.785</v>
      </c>
      <c r="H67" s="2">
        <v>10.0</v>
      </c>
      <c r="I67" s="103">
        <v>163316.9</v>
      </c>
      <c r="J67" s="103">
        <v>167227.9</v>
      </c>
      <c r="K67" s="140">
        <v>10.0</v>
      </c>
      <c r="L67" s="103">
        <v>146782.3</v>
      </c>
      <c r="M67" s="103">
        <v>165422.9</v>
      </c>
      <c r="N67" s="1" t="s">
        <v>3936</v>
      </c>
      <c r="Y67" s="1" t="s">
        <v>39</v>
      </c>
      <c r="Z67" s="1" t="s">
        <v>5060</v>
      </c>
    </row>
    <row r="68" ht="15.75" customHeight="1">
      <c r="A68" s="1" t="s">
        <v>35</v>
      </c>
      <c r="B68" s="4" t="s">
        <v>40</v>
      </c>
      <c r="C68" s="104" t="s">
        <v>625</v>
      </c>
      <c r="D68" s="2" t="s">
        <v>636</v>
      </c>
      <c r="E68" s="1" t="s">
        <v>5061</v>
      </c>
      <c r="F68" s="1">
        <v>332.2612</v>
      </c>
      <c r="G68" s="1">
        <v>6.1251</v>
      </c>
      <c r="H68" s="2">
        <v>10.0</v>
      </c>
      <c r="I68" s="103">
        <v>5630.254</v>
      </c>
      <c r="J68" s="103">
        <v>5950.13</v>
      </c>
      <c r="K68" s="140">
        <v>10.0</v>
      </c>
      <c r="L68" s="103">
        <v>5711.472</v>
      </c>
      <c r="M68" s="103">
        <v>5892.385</v>
      </c>
      <c r="N68" s="1" t="s">
        <v>5062</v>
      </c>
      <c r="Y68" s="1" t="s">
        <v>39</v>
      </c>
      <c r="Z68" s="1" t="s">
        <v>5063</v>
      </c>
    </row>
    <row r="69" ht="15.75" customHeight="1">
      <c r="A69" s="1" t="s">
        <v>35</v>
      </c>
      <c r="B69" s="4" t="s">
        <v>40</v>
      </c>
      <c r="C69" s="104" t="s">
        <v>625</v>
      </c>
      <c r="D69" s="2" t="s">
        <v>636</v>
      </c>
      <c r="E69" s="1" t="s">
        <v>5064</v>
      </c>
      <c r="F69" s="1">
        <v>103.0533</v>
      </c>
      <c r="G69" s="1">
        <v>1.8806</v>
      </c>
      <c r="H69" s="2">
        <v>10.0</v>
      </c>
      <c r="I69" s="103">
        <v>91794.98</v>
      </c>
      <c r="J69" s="103">
        <v>88311.99</v>
      </c>
      <c r="K69" s="140">
        <v>10.0</v>
      </c>
      <c r="L69" s="103">
        <v>100959.8</v>
      </c>
      <c r="M69" s="103">
        <v>100607.6</v>
      </c>
      <c r="N69" s="1" t="s">
        <v>3636</v>
      </c>
      <c r="Y69" s="1" t="s">
        <v>39</v>
      </c>
      <c r="Z69" s="1" t="s">
        <v>5065</v>
      </c>
    </row>
    <row r="70" ht="15.75" customHeight="1">
      <c r="A70" s="1" t="s">
        <v>35</v>
      </c>
      <c r="B70" s="4" t="s">
        <v>40</v>
      </c>
      <c r="C70" s="104" t="s">
        <v>625</v>
      </c>
      <c r="D70" s="2" t="s">
        <v>636</v>
      </c>
      <c r="E70" s="1" t="s">
        <v>5066</v>
      </c>
      <c r="F70" s="1">
        <v>324.2866</v>
      </c>
      <c r="G70" s="1">
        <v>5.7791</v>
      </c>
      <c r="H70" s="2">
        <v>10.0</v>
      </c>
      <c r="I70" s="103">
        <v>3014.491</v>
      </c>
      <c r="J70" s="103">
        <v>2902.405</v>
      </c>
      <c r="K70" s="140">
        <v>10.0</v>
      </c>
      <c r="L70" s="103">
        <v>3131.554</v>
      </c>
      <c r="M70" s="103">
        <v>2940.885</v>
      </c>
      <c r="N70" s="1" t="s">
        <v>3232</v>
      </c>
      <c r="Y70" s="1" t="s">
        <v>39</v>
      </c>
      <c r="Z70" s="1" t="s">
        <v>5067</v>
      </c>
    </row>
    <row r="71" ht="15.75" customHeight="1">
      <c r="A71" s="1" t="s">
        <v>35</v>
      </c>
      <c r="B71" s="4" t="s">
        <v>40</v>
      </c>
      <c r="C71" s="104" t="s">
        <v>625</v>
      </c>
      <c r="D71" s="2" t="s">
        <v>636</v>
      </c>
      <c r="E71" s="1" t="s">
        <v>5068</v>
      </c>
      <c r="F71" s="1">
        <v>190.0489</v>
      </c>
      <c r="G71" s="1">
        <v>2.4878</v>
      </c>
      <c r="H71" s="2">
        <v>10.0</v>
      </c>
      <c r="I71" s="103">
        <v>973.288</v>
      </c>
      <c r="J71" s="103">
        <v>720.295</v>
      </c>
      <c r="K71" s="140">
        <v>10.0</v>
      </c>
      <c r="L71" s="103">
        <v>1262.784</v>
      </c>
      <c r="M71" s="103">
        <v>1197.09</v>
      </c>
      <c r="N71" s="1" t="s">
        <v>2302</v>
      </c>
      <c r="Y71" s="1" t="s">
        <v>39</v>
      </c>
      <c r="Z71" s="1" t="s">
        <v>5069</v>
      </c>
    </row>
    <row r="72" ht="15.75" customHeight="1">
      <c r="A72" s="1" t="s">
        <v>35</v>
      </c>
      <c r="B72" s="4" t="s">
        <v>40</v>
      </c>
      <c r="C72" s="104" t="s">
        <v>625</v>
      </c>
      <c r="D72" s="2" t="s">
        <v>636</v>
      </c>
      <c r="E72" s="1" t="s">
        <v>5070</v>
      </c>
      <c r="F72" s="1">
        <v>136.0738</v>
      </c>
      <c r="G72" s="1">
        <v>0.82</v>
      </c>
      <c r="H72" s="2">
        <v>10.0</v>
      </c>
      <c r="I72" s="103">
        <v>38823.41</v>
      </c>
      <c r="J72" s="103">
        <v>41295.61</v>
      </c>
      <c r="K72" s="140">
        <v>10.0</v>
      </c>
      <c r="L72" s="103">
        <v>40275.88</v>
      </c>
      <c r="M72" s="103">
        <v>40222.84</v>
      </c>
      <c r="N72" s="1" t="s">
        <v>5071</v>
      </c>
      <c r="Y72" s="1" t="s">
        <v>39</v>
      </c>
      <c r="Z72" s="1" t="s">
        <v>5072</v>
      </c>
    </row>
    <row r="73" ht="15.75" customHeight="1">
      <c r="A73" s="1" t="s">
        <v>35</v>
      </c>
      <c r="B73" s="4" t="s">
        <v>40</v>
      </c>
      <c r="C73" s="104" t="s">
        <v>625</v>
      </c>
      <c r="D73" s="2" t="s">
        <v>636</v>
      </c>
      <c r="E73" s="1" t="s">
        <v>5073</v>
      </c>
      <c r="F73" s="1">
        <v>147.043</v>
      </c>
      <c r="G73" s="1">
        <v>1.2031</v>
      </c>
      <c r="H73" s="2">
        <v>10.0</v>
      </c>
      <c r="I73" s="103">
        <v>22665.98</v>
      </c>
      <c r="J73" s="103">
        <v>25799.32</v>
      </c>
      <c r="K73" s="140">
        <v>10.0</v>
      </c>
      <c r="L73" s="103">
        <v>27743.4</v>
      </c>
      <c r="M73" s="103">
        <v>27230.2</v>
      </c>
      <c r="N73" s="1" t="s">
        <v>1108</v>
      </c>
      <c r="Y73" s="1" t="s">
        <v>39</v>
      </c>
      <c r="Z73" s="1" t="s">
        <v>5074</v>
      </c>
    </row>
    <row r="74" ht="15.75" customHeight="1">
      <c r="A74" s="1" t="s">
        <v>35</v>
      </c>
      <c r="B74" s="4" t="s">
        <v>40</v>
      </c>
      <c r="C74" s="104" t="s">
        <v>625</v>
      </c>
      <c r="D74" s="2" t="s">
        <v>636</v>
      </c>
      <c r="E74" s="1" t="s">
        <v>5075</v>
      </c>
      <c r="F74" s="1">
        <v>143.1053</v>
      </c>
      <c r="G74" s="1">
        <v>4.3302</v>
      </c>
      <c r="H74" s="2">
        <v>10.0</v>
      </c>
      <c r="I74" s="103">
        <v>1357.057</v>
      </c>
      <c r="J74" s="103">
        <v>1379.125</v>
      </c>
      <c r="K74" s="140">
        <v>10.0</v>
      </c>
      <c r="L74" s="103">
        <v>1679.749</v>
      </c>
      <c r="M74" s="103">
        <v>1589.835</v>
      </c>
      <c r="N74" s="1" t="s">
        <v>1132</v>
      </c>
      <c r="Y74" s="1" t="s">
        <v>39</v>
      </c>
      <c r="Z74" s="1" t="s">
        <v>5076</v>
      </c>
    </row>
    <row r="75" ht="15.75" customHeight="1">
      <c r="A75" s="1" t="s">
        <v>35</v>
      </c>
      <c r="B75" s="4" t="s">
        <v>40</v>
      </c>
      <c r="C75" s="104" t="s">
        <v>625</v>
      </c>
      <c r="D75" s="2" t="s">
        <v>636</v>
      </c>
      <c r="E75" s="1" t="s">
        <v>5077</v>
      </c>
      <c r="F75" s="1">
        <v>181.0853</v>
      </c>
      <c r="G75" s="1">
        <v>5.4307</v>
      </c>
      <c r="H75" s="2">
        <v>10.0</v>
      </c>
      <c r="I75" s="103">
        <v>73124.86</v>
      </c>
      <c r="J75" s="103">
        <v>9677.56</v>
      </c>
      <c r="K75" s="140">
        <v>10.0</v>
      </c>
      <c r="L75" s="103">
        <v>65923.7</v>
      </c>
      <c r="M75" s="103">
        <v>21208.12</v>
      </c>
      <c r="N75" s="1" t="s">
        <v>3072</v>
      </c>
      <c r="Y75" s="1" t="s">
        <v>39</v>
      </c>
      <c r="Z75" s="1" t="s">
        <v>5078</v>
      </c>
    </row>
    <row r="76" ht="15.75" customHeight="1">
      <c r="A76" s="1" t="s">
        <v>35</v>
      </c>
      <c r="B76" s="4" t="s">
        <v>40</v>
      </c>
      <c r="C76" s="104" t="s">
        <v>625</v>
      </c>
      <c r="D76" s="2" t="s">
        <v>636</v>
      </c>
      <c r="E76" s="1" t="s">
        <v>5079</v>
      </c>
      <c r="F76" s="1">
        <v>359.2888</v>
      </c>
      <c r="G76" s="1">
        <v>6.0046</v>
      </c>
      <c r="H76" s="2">
        <v>10.0</v>
      </c>
      <c r="I76" s="103">
        <v>1149183.0</v>
      </c>
      <c r="J76" s="103">
        <v>1114874.0</v>
      </c>
      <c r="K76" s="140">
        <v>10.0</v>
      </c>
      <c r="L76" s="103">
        <v>1057784.0</v>
      </c>
      <c r="M76" s="103">
        <v>1095503.0</v>
      </c>
      <c r="N76" s="1" t="s">
        <v>2374</v>
      </c>
      <c r="Y76" s="1" t="s">
        <v>39</v>
      </c>
      <c r="Z76" s="1" t="s">
        <v>5080</v>
      </c>
    </row>
    <row r="77" ht="15.75" customHeight="1">
      <c r="A77" s="1" t="s">
        <v>35</v>
      </c>
      <c r="B77" s="4" t="s">
        <v>40</v>
      </c>
      <c r="C77" s="104" t="s">
        <v>625</v>
      </c>
      <c r="D77" s="2" t="s">
        <v>636</v>
      </c>
      <c r="E77" s="1" t="s">
        <v>400</v>
      </c>
      <c r="F77" s="1">
        <v>84.0434</v>
      </c>
      <c r="G77" s="1">
        <v>0.785</v>
      </c>
      <c r="H77" s="2">
        <v>10.0</v>
      </c>
      <c r="I77" s="103">
        <v>19942.76</v>
      </c>
      <c r="J77" s="103">
        <v>17516.71</v>
      </c>
      <c r="K77" s="140">
        <v>10.0</v>
      </c>
      <c r="L77" s="103">
        <v>18908.02</v>
      </c>
      <c r="M77" s="103">
        <v>18117.35</v>
      </c>
      <c r="N77" s="1" t="s">
        <v>1017</v>
      </c>
      <c r="Y77" s="1" t="s">
        <v>39</v>
      </c>
      <c r="Z77" s="1" t="s">
        <v>5081</v>
      </c>
    </row>
    <row r="78" ht="15.75" customHeight="1">
      <c r="A78" s="1" t="s">
        <v>35</v>
      </c>
      <c r="B78" s="4" t="s">
        <v>40</v>
      </c>
      <c r="C78" s="104" t="s">
        <v>625</v>
      </c>
      <c r="D78" s="2" t="s">
        <v>636</v>
      </c>
      <c r="E78" s="1" t="s">
        <v>5082</v>
      </c>
      <c r="F78" s="1">
        <v>196.0598</v>
      </c>
      <c r="G78" s="1">
        <v>2.2104</v>
      </c>
      <c r="H78" s="2">
        <v>10.0</v>
      </c>
      <c r="I78" s="103">
        <v>502.697</v>
      </c>
      <c r="J78" s="103">
        <v>123.06</v>
      </c>
      <c r="K78" s="140">
        <v>10.0</v>
      </c>
      <c r="L78" s="103">
        <v>49.33</v>
      </c>
      <c r="M78" s="103">
        <v>1.59</v>
      </c>
      <c r="N78" s="1" t="s">
        <v>1253</v>
      </c>
      <c r="Y78" s="1" t="s">
        <v>39</v>
      </c>
      <c r="Z78" s="1" t="s">
        <v>5083</v>
      </c>
    </row>
    <row r="79" ht="15.75" customHeight="1">
      <c r="A79" s="1" t="s">
        <v>35</v>
      </c>
      <c r="B79" s="4" t="s">
        <v>40</v>
      </c>
      <c r="C79" s="104" t="s">
        <v>625</v>
      </c>
      <c r="D79" s="2" t="s">
        <v>636</v>
      </c>
      <c r="E79" s="1" t="s">
        <v>5084</v>
      </c>
      <c r="F79" s="1">
        <v>282.1697</v>
      </c>
      <c r="G79" s="1">
        <v>2.4008</v>
      </c>
      <c r="H79" s="2">
        <v>10.0</v>
      </c>
      <c r="I79" s="103">
        <v>3523.905</v>
      </c>
      <c r="J79" s="103">
        <v>3352.32</v>
      </c>
      <c r="K79" s="140">
        <v>10.0</v>
      </c>
      <c r="L79" s="103">
        <v>3294.789</v>
      </c>
      <c r="M79" s="103">
        <v>3191.17</v>
      </c>
      <c r="N79" s="1" t="s">
        <v>5085</v>
      </c>
      <c r="Y79" s="1" t="s">
        <v>39</v>
      </c>
      <c r="Z79" s="1" t="s">
        <v>5086</v>
      </c>
    </row>
    <row r="80" ht="15.75" customHeight="1">
      <c r="A80" s="1" t="s">
        <v>35</v>
      </c>
      <c r="B80" s="4" t="s">
        <v>40</v>
      </c>
      <c r="C80" s="104" t="s">
        <v>625</v>
      </c>
      <c r="D80" s="2" t="s">
        <v>636</v>
      </c>
      <c r="E80" s="1" t="s">
        <v>3991</v>
      </c>
      <c r="F80" s="1">
        <v>130.0639</v>
      </c>
      <c r="G80" s="1">
        <v>3.8755</v>
      </c>
      <c r="H80" s="2">
        <v>10.0</v>
      </c>
      <c r="I80" s="103">
        <v>9889.547</v>
      </c>
      <c r="J80" s="103">
        <v>10098.56</v>
      </c>
      <c r="K80" s="140">
        <v>10.0</v>
      </c>
      <c r="L80" s="103">
        <v>9009.411</v>
      </c>
      <c r="M80" s="103">
        <v>9177.445</v>
      </c>
      <c r="N80" s="1" t="s">
        <v>3992</v>
      </c>
      <c r="Y80" s="1" t="s">
        <v>39</v>
      </c>
      <c r="Z80" s="1" t="s">
        <v>5087</v>
      </c>
    </row>
    <row r="81" ht="15.75" customHeight="1">
      <c r="A81" s="1" t="s">
        <v>35</v>
      </c>
      <c r="B81" s="4" t="s">
        <v>40</v>
      </c>
      <c r="C81" s="104" t="s">
        <v>625</v>
      </c>
      <c r="D81" s="2" t="s">
        <v>636</v>
      </c>
      <c r="E81" s="1" t="s">
        <v>5088</v>
      </c>
      <c r="F81" s="1">
        <v>152.0013</v>
      </c>
      <c r="G81" s="1">
        <v>0.8721</v>
      </c>
      <c r="H81" s="2">
        <v>10.0</v>
      </c>
      <c r="I81" s="103">
        <v>4484.23</v>
      </c>
      <c r="J81" s="103">
        <v>4405.3</v>
      </c>
      <c r="K81" s="140">
        <v>10.0</v>
      </c>
      <c r="L81" s="103">
        <v>4959.198</v>
      </c>
      <c r="M81" s="103">
        <v>4996.055</v>
      </c>
      <c r="N81" s="1" t="s">
        <v>1206</v>
      </c>
      <c r="Y81" s="1" t="s">
        <v>39</v>
      </c>
      <c r="Z81" s="1" t="s">
        <v>5089</v>
      </c>
    </row>
    <row r="82" ht="15.75" customHeight="1">
      <c r="A82" s="1" t="s">
        <v>35</v>
      </c>
      <c r="B82" s="4" t="s">
        <v>40</v>
      </c>
      <c r="C82" s="104" t="s">
        <v>625</v>
      </c>
      <c r="D82" s="2" t="s">
        <v>636</v>
      </c>
      <c r="E82" s="1" t="s">
        <v>5090</v>
      </c>
      <c r="F82" s="1">
        <v>504.3057</v>
      </c>
      <c r="G82" s="1">
        <v>8.7589</v>
      </c>
      <c r="H82" s="2">
        <v>10.0</v>
      </c>
      <c r="I82" s="103">
        <v>8866.315</v>
      </c>
      <c r="J82" s="103">
        <v>8472.075</v>
      </c>
      <c r="K82" s="140">
        <v>10.0</v>
      </c>
      <c r="L82" s="103">
        <v>13247.04</v>
      </c>
      <c r="M82" s="103">
        <v>12589.26</v>
      </c>
      <c r="N82" s="1" t="s">
        <v>1047</v>
      </c>
      <c r="Y82" s="1" t="s">
        <v>39</v>
      </c>
      <c r="Z82" s="1" t="s">
        <v>5091</v>
      </c>
    </row>
    <row r="83" ht="15.75" customHeight="1">
      <c r="A83" s="1" t="s">
        <v>35</v>
      </c>
      <c r="B83" s="4" t="s">
        <v>40</v>
      </c>
      <c r="C83" s="104" t="s">
        <v>625</v>
      </c>
      <c r="D83" s="2" t="s">
        <v>636</v>
      </c>
      <c r="E83" s="1" t="s">
        <v>5092</v>
      </c>
      <c r="F83" s="1">
        <v>141.0391</v>
      </c>
      <c r="G83" s="1">
        <v>1.2031</v>
      </c>
      <c r="H83" s="2">
        <v>10.0</v>
      </c>
      <c r="I83" s="103">
        <v>2234.675</v>
      </c>
      <c r="J83" s="103">
        <v>1827.575</v>
      </c>
      <c r="K83" s="140">
        <v>10.0</v>
      </c>
      <c r="L83" s="103">
        <v>2369.733</v>
      </c>
      <c r="M83" s="103">
        <v>2281.405</v>
      </c>
      <c r="N83" s="1" t="s">
        <v>5093</v>
      </c>
      <c r="Y83" s="1" t="s">
        <v>39</v>
      </c>
      <c r="Z83" s="1" t="s">
        <v>11</v>
      </c>
    </row>
    <row r="84" ht="15.75" customHeight="1">
      <c r="A84" s="1" t="s">
        <v>35</v>
      </c>
      <c r="B84" s="4" t="s">
        <v>40</v>
      </c>
      <c r="C84" s="104" t="s">
        <v>625</v>
      </c>
      <c r="D84" s="2" t="s">
        <v>636</v>
      </c>
      <c r="E84" s="1" t="s">
        <v>5094</v>
      </c>
      <c r="F84" s="1">
        <v>283.2626</v>
      </c>
      <c r="G84" s="1">
        <v>8.624</v>
      </c>
      <c r="H84" s="2">
        <v>10.0</v>
      </c>
      <c r="I84" s="103">
        <v>985.77</v>
      </c>
      <c r="J84" s="103">
        <v>962.375</v>
      </c>
      <c r="K84" s="140">
        <v>10.0</v>
      </c>
      <c r="L84" s="103">
        <v>1086.471</v>
      </c>
      <c r="M84" s="103">
        <v>923.315</v>
      </c>
      <c r="N84" s="1" t="s">
        <v>4764</v>
      </c>
      <c r="Y84" s="1" t="s">
        <v>39</v>
      </c>
      <c r="Z84" s="1" t="s">
        <v>5095</v>
      </c>
    </row>
    <row r="85" ht="15.75" customHeight="1">
      <c r="A85" s="1" t="s">
        <v>35</v>
      </c>
      <c r="B85" s="4" t="s">
        <v>40</v>
      </c>
      <c r="C85" s="104" t="s">
        <v>625</v>
      </c>
      <c r="D85" s="2" t="s">
        <v>636</v>
      </c>
      <c r="E85" s="1" t="s">
        <v>5096</v>
      </c>
      <c r="F85" s="1">
        <v>193.034</v>
      </c>
      <c r="G85" s="1">
        <v>0.8025</v>
      </c>
      <c r="H85" s="2">
        <v>10.0</v>
      </c>
      <c r="I85" s="103">
        <v>4572.603</v>
      </c>
      <c r="J85" s="103">
        <v>4482.02</v>
      </c>
      <c r="K85" s="140">
        <v>10.0</v>
      </c>
      <c r="L85" s="188" t="e">
        <v>#DIV/0!</v>
      </c>
      <c r="M85" s="188" t="e">
        <v>#NUM!</v>
      </c>
      <c r="N85" s="1" t="s">
        <v>5097</v>
      </c>
      <c r="Y85" s="1" t="s">
        <v>39</v>
      </c>
      <c r="Z85" s="1" t="s">
        <v>5098</v>
      </c>
    </row>
    <row r="86" ht="15.75" customHeight="1">
      <c r="A86" s="1" t="s">
        <v>35</v>
      </c>
      <c r="B86" s="1" t="s">
        <v>53</v>
      </c>
      <c r="C86" s="1" t="s">
        <v>5099</v>
      </c>
      <c r="D86" s="2" t="s">
        <v>626</v>
      </c>
      <c r="E86" s="1" t="s">
        <v>3910</v>
      </c>
      <c r="F86" s="1">
        <v>144.0668809</v>
      </c>
      <c r="G86" s="1">
        <v>384.935</v>
      </c>
      <c r="H86" s="189">
        <v>30.0</v>
      </c>
      <c r="I86" s="103">
        <v>0.510517</v>
      </c>
      <c r="J86" s="103">
        <v>0.473704</v>
      </c>
      <c r="K86" s="189">
        <v>30.0</v>
      </c>
      <c r="L86" s="103">
        <v>0.724239</v>
      </c>
      <c r="M86" s="103">
        <v>0.631106</v>
      </c>
      <c r="N86" s="1" t="s">
        <v>1225</v>
      </c>
      <c r="Y86" s="2" t="s">
        <v>23</v>
      </c>
    </row>
    <row r="87" ht="15.75" customHeight="1">
      <c r="A87" s="1" t="s">
        <v>35</v>
      </c>
      <c r="B87" s="1" t="s">
        <v>53</v>
      </c>
      <c r="C87" s="1" t="s">
        <v>5099</v>
      </c>
      <c r="D87" s="2" t="s">
        <v>626</v>
      </c>
      <c r="E87" s="1" t="s">
        <v>3910</v>
      </c>
      <c r="F87" s="1">
        <v>151.0262294</v>
      </c>
      <c r="G87" s="1">
        <v>195.724</v>
      </c>
      <c r="H87" s="189">
        <v>30.0</v>
      </c>
      <c r="I87" s="103">
        <v>2.027573</v>
      </c>
      <c r="J87" s="103">
        <v>1.814854</v>
      </c>
      <c r="K87" s="189">
        <v>30.0</v>
      </c>
      <c r="L87" s="103">
        <v>1.491971</v>
      </c>
      <c r="M87" s="103">
        <v>1.478415</v>
      </c>
      <c r="N87" s="1" t="s">
        <v>3496</v>
      </c>
      <c r="Y87" s="2" t="s">
        <v>23</v>
      </c>
    </row>
    <row r="88" ht="15.75" customHeight="1">
      <c r="A88" s="1" t="s">
        <v>35</v>
      </c>
      <c r="B88" s="1" t="s">
        <v>53</v>
      </c>
      <c r="C88" s="1" t="s">
        <v>5099</v>
      </c>
      <c r="D88" s="2" t="s">
        <v>626</v>
      </c>
      <c r="E88" s="1" t="s">
        <v>3910</v>
      </c>
      <c r="F88" s="1">
        <v>151.0611819</v>
      </c>
      <c r="G88" s="1">
        <v>892.808</v>
      </c>
      <c r="H88" s="189">
        <v>30.0</v>
      </c>
      <c r="I88" s="103">
        <v>0.267676</v>
      </c>
      <c r="J88" s="103">
        <v>0.249339</v>
      </c>
      <c r="K88" s="189">
        <v>30.0</v>
      </c>
      <c r="L88" s="103">
        <v>0.428316</v>
      </c>
      <c r="M88" s="103">
        <v>0.33904</v>
      </c>
      <c r="N88" s="190" t="s">
        <v>5100</v>
      </c>
      <c r="Y88" s="2" t="s">
        <v>23</v>
      </c>
    </row>
    <row r="89" ht="15.75" customHeight="1">
      <c r="A89" s="1" t="s">
        <v>35</v>
      </c>
      <c r="B89" s="1" t="s">
        <v>53</v>
      </c>
      <c r="C89" s="1" t="s">
        <v>5099</v>
      </c>
      <c r="D89" s="2" t="s">
        <v>626</v>
      </c>
      <c r="E89" s="1" t="s">
        <v>3910</v>
      </c>
      <c r="F89" s="1">
        <v>193.0617383</v>
      </c>
      <c r="G89" s="1">
        <v>343.394</v>
      </c>
      <c r="H89" s="189">
        <v>30.0</v>
      </c>
      <c r="I89" s="103">
        <v>0.26481</v>
      </c>
      <c r="J89" s="103">
        <v>0.269832</v>
      </c>
      <c r="K89" s="189">
        <v>30.0</v>
      </c>
      <c r="L89" s="103">
        <v>0.212387</v>
      </c>
      <c r="M89" s="103">
        <v>0.214734</v>
      </c>
      <c r="N89" s="191" t="s">
        <v>2174</v>
      </c>
      <c r="Y89" s="2" t="s">
        <v>23</v>
      </c>
    </row>
    <row r="90" ht="15.75" customHeight="1">
      <c r="A90" s="1" t="s">
        <v>35</v>
      </c>
      <c r="B90" s="1" t="s">
        <v>53</v>
      </c>
      <c r="C90" s="1" t="s">
        <v>5099</v>
      </c>
      <c r="D90" s="2" t="s">
        <v>626</v>
      </c>
      <c r="E90" s="1" t="s">
        <v>3910</v>
      </c>
      <c r="F90" s="1">
        <v>218.1028939</v>
      </c>
      <c r="G90" s="1">
        <v>299.664</v>
      </c>
      <c r="H90" s="189">
        <v>30.0</v>
      </c>
      <c r="I90" s="103">
        <v>1.080999</v>
      </c>
      <c r="J90" s="103">
        <v>0.98851</v>
      </c>
      <c r="K90" s="189">
        <v>30.0</v>
      </c>
      <c r="L90" s="103">
        <v>0.822649</v>
      </c>
      <c r="M90" s="103">
        <v>0.736305</v>
      </c>
      <c r="N90" s="192" t="s">
        <v>2936</v>
      </c>
      <c r="Y90" s="2" t="s">
        <v>23</v>
      </c>
    </row>
    <row r="91" ht="15.75" customHeight="1">
      <c r="A91" s="1" t="s">
        <v>35</v>
      </c>
      <c r="B91" s="1" t="s">
        <v>53</v>
      </c>
      <c r="C91" s="1" t="s">
        <v>5099</v>
      </c>
      <c r="D91" s="2" t="s">
        <v>626</v>
      </c>
      <c r="E91" s="1" t="s">
        <v>3910</v>
      </c>
      <c r="F91" s="1">
        <v>243.1229408</v>
      </c>
      <c r="G91" s="1">
        <v>519.9925</v>
      </c>
      <c r="H91" s="189">
        <v>30.0</v>
      </c>
      <c r="I91" s="103">
        <v>0.592849</v>
      </c>
      <c r="J91" s="103">
        <v>0.391735</v>
      </c>
      <c r="K91" s="189">
        <v>30.0</v>
      </c>
      <c r="L91" s="103">
        <v>0.323491</v>
      </c>
      <c r="M91" s="103">
        <v>0.271381</v>
      </c>
      <c r="N91" s="4" t="s">
        <v>5101</v>
      </c>
      <c r="O91" s="193"/>
      <c r="P91" s="190"/>
      <c r="Y91" s="2" t="s">
        <v>23</v>
      </c>
    </row>
    <row r="92" ht="15.75" customHeight="1">
      <c r="A92" s="1" t="s">
        <v>35</v>
      </c>
      <c r="B92" s="1" t="s">
        <v>53</v>
      </c>
      <c r="C92" s="1" t="s">
        <v>5099</v>
      </c>
      <c r="D92" s="2" t="s">
        <v>626</v>
      </c>
      <c r="E92" s="1" t="s">
        <v>3910</v>
      </c>
      <c r="F92" s="1">
        <v>104.0705729</v>
      </c>
      <c r="G92" s="1">
        <v>148.263</v>
      </c>
      <c r="H92" s="189">
        <v>30.0</v>
      </c>
      <c r="I92" s="103">
        <v>1.394864</v>
      </c>
      <c r="J92" s="103">
        <v>1.387346</v>
      </c>
      <c r="K92" s="189">
        <v>30.0</v>
      </c>
      <c r="L92" s="103">
        <v>1.046217</v>
      </c>
      <c r="M92" s="103">
        <v>0.689959</v>
      </c>
      <c r="N92" s="194" t="s">
        <v>1078</v>
      </c>
      <c r="O92" s="195"/>
      <c r="P92" s="113"/>
      <c r="Y92" s="2" t="s">
        <v>23</v>
      </c>
    </row>
    <row r="93" ht="15.75" customHeight="1">
      <c r="A93" s="1" t="s">
        <v>35</v>
      </c>
      <c r="B93" s="1" t="s">
        <v>53</v>
      </c>
      <c r="C93" s="1" t="s">
        <v>5099</v>
      </c>
      <c r="D93" s="2" t="s">
        <v>626</v>
      </c>
      <c r="E93" s="1" t="s">
        <v>3910</v>
      </c>
      <c r="F93" s="1">
        <v>111.0202824</v>
      </c>
      <c r="G93" s="1">
        <v>652.125</v>
      </c>
      <c r="H93" s="189">
        <v>30.0</v>
      </c>
      <c r="I93" s="103">
        <v>1.155996</v>
      </c>
      <c r="J93" s="103">
        <v>1.164942</v>
      </c>
      <c r="K93" s="189">
        <v>30.0</v>
      </c>
      <c r="L93" s="103">
        <v>0.917287</v>
      </c>
      <c r="M93" s="103">
        <v>0.905199</v>
      </c>
      <c r="N93" s="4" t="s">
        <v>5102</v>
      </c>
      <c r="O93" s="196"/>
      <c r="P93" s="113"/>
      <c r="Y93" s="2" t="s">
        <v>23</v>
      </c>
    </row>
    <row r="94" ht="15.75" customHeight="1">
      <c r="A94" s="1" t="s">
        <v>35</v>
      </c>
      <c r="B94" s="1" t="s">
        <v>53</v>
      </c>
      <c r="C94" s="1" t="s">
        <v>5099</v>
      </c>
      <c r="D94" s="2" t="s">
        <v>626</v>
      </c>
      <c r="E94" s="1" t="s">
        <v>3910</v>
      </c>
      <c r="F94" s="1">
        <v>125.9861411</v>
      </c>
      <c r="G94" s="1">
        <v>45.08585</v>
      </c>
      <c r="H94" s="189">
        <v>30.0</v>
      </c>
      <c r="I94" s="103">
        <v>0.464757</v>
      </c>
      <c r="J94" s="103">
        <v>0.444883</v>
      </c>
      <c r="K94" s="189">
        <v>30.0</v>
      </c>
      <c r="L94" s="103">
        <v>0.3641</v>
      </c>
      <c r="M94" s="103">
        <v>0.354649</v>
      </c>
      <c r="N94" s="197" t="s">
        <v>3300</v>
      </c>
      <c r="O94" s="198"/>
      <c r="P94" s="113"/>
      <c r="Y94" s="2" t="s">
        <v>23</v>
      </c>
    </row>
    <row r="95" ht="15.75" customHeight="1">
      <c r="A95" s="1" t="s">
        <v>35</v>
      </c>
      <c r="B95" s="1" t="s">
        <v>53</v>
      </c>
      <c r="C95" s="1" t="s">
        <v>5099</v>
      </c>
      <c r="D95" s="2" t="s">
        <v>626</v>
      </c>
      <c r="E95" s="1" t="s">
        <v>3910</v>
      </c>
      <c r="F95" s="1">
        <v>132.0767104</v>
      </c>
      <c r="G95" s="1">
        <v>103.444</v>
      </c>
      <c r="H95" s="189">
        <v>30.0</v>
      </c>
      <c r="I95" s="103">
        <v>11.1674</v>
      </c>
      <c r="J95" s="103">
        <v>8.596455</v>
      </c>
      <c r="K95" s="189">
        <v>30.0</v>
      </c>
      <c r="L95" s="103">
        <v>16.2815</v>
      </c>
      <c r="M95" s="103">
        <v>13.18028</v>
      </c>
      <c r="N95" s="194" t="s">
        <v>1723</v>
      </c>
      <c r="O95" s="199"/>
      <c r="P95" s="191"/>
      <c r="Y95" s="2" t="s">
        <v>23</v>
      </c>
    </row>
    <row r="96" ht="15.75" customHeight="1">
      <c r="A96" s="1" t="s">
        <v>35</v>
      </c>
      <c r="B96" s="1" t="s">
        <v>53</v>
      </c>
      <c r="C96" s="1" t="s">
        <v>5099</v>
      </c>
      <c r="D96" s="2" t="s">
        <v>626</v>
      </c>
      <c r="E96" s="1" t="s">
        <v>3910</v>
      </c>
      <c r="F96" s="1">
        <v>139.0501327</v>
      </c>
      <c r="G96" s="1">
        <v>152.6745</v>
      </c>
      <c r="H96" s="189">
        <v>30.0</v>
      </c>
      <c r="I96" s="103">
        <v>1.360739</v>
      </c>
      <c r="J96" s="103">
        <v>1.306762</v>
      </c>
      <c r="K96" s="189">
        <v>30.0</v>
      </c>
      <c r="L96" s="103">
        <v>1.615453</v>
      </c>
      <c r="M96" s="103">
        <v>1.520503</v>
      </c>
      <c r="N96" s="1" t="s">
        <v>1699</v>
      </c>
      <c r="Y96" s="2" t="s">
        <v>23</v>
      </c>
    </row>
    <row r="97" ht="15.75" customHeight="1">
      <c r="A97" s="1" t="s">
        <v>35</v>
      </c>
      <c r="B97" s="1" t="s">
        <v>53</v>
      </c>
      <c r="C97" s="1" t="s">
        <v>5099</v>
      </c>
      <c r="D97" s="2" t="s">
        <v>626</v>
      </c>
      <c r="E97" s="1" t="s">
        <v>3910</v>
      </c>
      <c r="F97" s="1">
        <v>180.0655517</v>
      </c>
      <c r="G97" s="1">
        <v>405.373</v>
      </c>
      <c r="H97" s="189">
        <v>30.0</v>
      </c>
      <c r="I97" s="103">
        <v>12.76965</v>
      </c>
      <c r="J97" s="103">
        <v>10.76376</v>
      </c>
      <c r="K97" s="189">
        <v>30.0</v>
      </c>
      <c r="L97" s="103">
        <v>18.28624</v>
      </c>
      <c r="M97" s="103">
        <v>13.45895</v>
      </c>
      <c r="N97" s="1" t="s">
        <v>1221</v>
      </c>
      <c r="Y97" s="2" t="s">
        <v>23</v>
      </c>
    </row>
    <row r="98" ht="15.75" customHeight="1">
      <c r="A98" s="1" t="s">
        <v>35</v>
      </c>
      <c r="B98" s="1" t="s">
        <v>53</v>
      </c>
      <c r="C98" s="1" t="s">
        <v>5099</v>
      </c>
      <c r="D98" s="2" t="s">
        <v>626</v>
      </c>
      <c r="E98" s="1" t="s">
        <v>3910</v>
      </c>
      <c r="F98" s="1">
        <v>194.0812662</v>
      </c>
      <c r="G98" s="1">
        <v>435.333</v>
      </c>
      <c r="H98" s="189">
        <v>30.0</v>
      </c>
      <c r="I98" s="103">
        <v>0.124656</v>
      </c>
      <c r="J98" s="103">
        <v>0.043086</v>
      </c>
      <c r="K98" s="189">
        <v>30.0</v>
      </c>
      <c r="L98" s="103">
        <v>0.033418</v>
      </c>
      <c r="M98" s="103">
        <v>0.012238</v>
      </c>
      <c r="N98" s="1" t="s">
        <v>2718</v>
      </c>
      <c r="Y98" s="2" t="s">
        <v>23</v>
      </c>
    </row>
    <row r="99" ht="15.75" customHeight="1">
      <c r="A99" s="1" t="s">
        <v>35</v>
      </c>
      <c r="B99" s="1" t="s">
        <v>53</v>
      </c>
      <c r="C99" s="1" t="s">
        <v>5099</v>
      </c>
      <c r="D99" s="2" t="s">
        <v>626</v>
      </c>
      <c r="E99" s="1" t="s">
        <v>3910</v>
      </c>
      <c r="F99" s="1">
        <v>377.1426405</v>
      </c>
      <c r="G99" s="1">
        <v>380.596</v>
      </c>
      <c r="H99" s="189">
        <v>30.0</v>
      </c>
      <c r="I99" s="103">
        <v>0.284109</v>
      </c>
      <c r="J99" s="103">
        <v>0.180999</v>
      </c>
      <c r="K99" s="189">
        <v>30.0</v>
      </c>
      <c r="L99" s="103">
        <v>0.164512</v>
      </c>
      <c r="M99" s="103">
        <v>0.047877</v>
      </c>
      <c r="N99" s="1" t="s">
        <v>3140</v>
      </c>
      <c r="Y99" s="2" t="s">
        <v>23</v>
      </c>
    </row>
    <row r="100" ht="15.75" customHeight="1">
      <c r="A100" s="1" t="s">
        <v>35</v>
      </c>
      <c r="B100" s="4" t="s">
        <v>36</v>
      </c>
      <c r="C100" s="104" t="s">
        <v>635</v>
      </c>
      <c r="D100" s="2" t="s">
        <v>626</v>
      </c>
      <c r="E100" s="1" t="s">
        <v>5103</v>
      </c>
      <c r="F100" s="1">
        <v>180.06336</v>
      </c>
      <c r="G100" s="1">
        <v>1.271</v>
      </c>
      <c r="Y100" s="1" t="s">
        <v>39</v>
      </c>
      <c r="Z100" s="140" t="s">
        <v>5104</v>
      </c>
      <c r="AA100" s="140"/>
    </row>
    <row r="101" ht="15.75" customHeight="1">
      <c r="A101" s="1" t="s">
        <v>35</v>
      </c>
      <c r="B101" s="4" t="s">
        <v>36</v>
      </c>
      <c r="C101" s="104" t="s">
        <v>635</v>
      </c>
      <c r="D101" s="2" t="s">
        <v>626</v>
      </c>
      <c r="E101" s="1" t="s">
        <v>5105</v>
      </c>
      <c r="F101" s="1">
        <v>182.07899</v>
      </c>
      <c r="G101" s="1">
        <v>1.252</v>
      </c>
      <c r="Y101" s="1" t="s">
        <v>39</v>
      </c>
      <c r="Z101" s="140" t="s">
        <v>5106</v>
      </c>
      <c r="AA101" s="140"/>
    </row>
    <row r="102" ht="15.75" customHeight="1">
      <c r="A102" s="1" t="s">
        <v>35</v>
      </c>
      <c r="B102" s="4" t="s">
        <v>36</v>
      </c>
      <c r="C102" s="104" t="s">
        <v>635</v>
      </c>
      <c r="D102" s="2" t="s">
        <v>626</v>
      </c>
      <c r="E102" s="1" t="s">
        <v>4983</v>
      </c>
      <c r="F102" s="1">
        <v>408.28761</v>
      </c>
      <c r="G102" s="1">
        <v>7.401</v>
      </c>
      <c r="Y102" s="1" t="s">
        <v>39</v>
      </c>
      <c r="Z102" s="140" t="s">
        <v>4984</v>
      </c>
      <c r="AA102" s="140"/>
    </row>
    <row r="103" ht="15.75" customHeight="1">
      <c r="A103" s="1" t="s">
        <v>35</v>
      </c>
      <c r="B103" s="4" t="s">
        <v>36</v>
      </c>
      <c r="C103" s="104" t="s">
        <v>635</v>
      </c>
      <c r="D103" s="2" t="s">
        <v>626</v>
      </c>
      <c r="E103" s="1" t="s">
        <v>5107</v>
      </c>
      <c r="F103" s="1">
        <v>213.00959</v>
      </c>
      <c r="G103" s="1">
        <v>5.324</v>
      </c>
      <c r="Y103" s="1" t="s">
        <v>39</v>
      </c>
      <c r="Z103" s="140" t="s">
        <v>5108</v>
      </c>
      <c r="AA103" s="140"/>
    </row>
    <row r="104" ht="15.75" customHeight="1">
      <c r="A104" s="1" t="s">
        <v>35</v>
      </c>
      <c r="B104" s="4" t="s">
        <v>36</v>
      </c>
      <c r="C104" s="104" t="s">
        <v>635</v>
      </c>
      <c r="D104" s="2" t="s">
        <v>626</v>
      </c>
      <c r="E104" s="1" t="s">
        <v>5109</v>
      </c>
      <c r="F104" s="1">
        <v>332.27142</v>
      </c>
      <c r="G104" s="1">
        <v>10.509</v>
      </c>
      <c r="Y104" s="1" t="s">
        <v>39</v>
      </c>
      <c r="Z104" s="140" t="s">
        <v>5110</v>
      </c>
      <c r="AA104" s="140"/>
    </row>
    <row r="105" ht="15.75" customHeight="1">
      <c r="A105" s="1" t="s">
        <v>35</v>
      </c>
      <c r="B105" s="4" t="s">
        <v>36</v>
      </c>
      <c r="C105" s="104" t="s">
        <v>635</v>
      </c>
      <c r="D105" s="2" t="s">
        <v>626</v>
      </c>
      <c r="E105" s="1" t="s">
        <v>3521</v>
      </c>
      <c r="F105" s="1">
        <v>304.24008</v>
      </c>
      <c r="G105" s="1">
        <v>9.844</v>
      </c>
      <c r="Y105" s="1" t="s">
        <v>39</v>
      </c>
      <c r="Z105" s="140" t="s">
        <v>5111</v>
      </c>
      <c r="AA105" s="140"/>
    </row>
    <row r="106" ht="15.75" customHeight="1">
      <c r="A106" s="1" t="s">
        <v>35</v>
      </c>
      <c r="B106" s="4" t="s">
        <v>36</v>
      </c>
      <c r="C106" s="104" t="s">
        <v>635</v>
      </c>
      <c r="D106" s="2" t="s">
        <v>626</v>
      </c>
      <c r="E106" s="1" t="s">
        <v>5112</v>
      </c>
      <c r="F106" s="1">
        <v>392.29272</v>
      </c>
      <c r="G106" s="1">
        <v>8.038</v>
      </c>
      <c r="Y106" s="1" t="s">
        <v>39</v>
      </c>
      <c r="Z106" s="140" t="s">
        <v>5113</v>
      </c>
      <c r="AA106" s="140"/>
    </row>
    <row r="107" ht="15.75" customHeight="1">
      <c r="A107" s="1" t="s">
        <v>35</v>
      </c>
      <c r="B107" s="4" t="s">
        <v>36</v>
      </c>
      <c r="C107" s="104" t="s">
        <v>635</v>
      </c>
      <c r="D107" s="2" t="s">
        <v>626</v>
      </c>
      <c r="E107" s="1" t="s">
        <v>149</v>
      </c>
      <c r="F107" s="1">
        <v>449.31416</v>
      </c>
      <c r="G107" s="1">
        <v>7.404</v>
      </c>
      <c r="Y107" s="1" t="s">
        <v>39</v>
      </c>
      <c r="Z107" s="140" t="s">
        <v>152</v>
      </c>
      <c r="AA107" s="140"/>
    </row>
    <row r="108" ht="15.75" customHeight="1">
      <c r="A108" s="1" t="s">
        <v>35</v>
      </c>
      <c r="B108" s="4" t="s">
        <v>36</v>
      </c>
      <c r="C108" s="104" t="s">
        <v>635</v>
      </c>
      <c r="D108" s="2" t="s">
        <v>626</v>
      </c>
      <c r="E108" s="1" t="s">
        <v>5114</v>
      </c>
      <c r="F108" s="1">
        <v>264.11093</v>
      </c>
      <c r="G108" s="1">
        <v>5.383</v>
      </c>
      <c r="Y108" s="1" t="s">
        <v>39</v>
      </c>
      <c r="Z108" s="140" t="s">
        <v>5020</v>
      </c>
      <c r="AA108" s="140"/>
    </row>
    <row r="109" ht="15.75" customHeight="1">
      <c r="A109" s="1" t="s">
        <v>35</v>
      </c>
      <c r="B109" s="4" t="s">
        <v>36</v>
      </c>
      <c r="C109" s="104" t="s">
        <v>635</v>
      </c>
      <c r="D109" s="2" t="s">
        <v>626</v>
      </c>
      <c r="E109" s="1" t="s">
        <v>4943</v>
      </c>
      <c r="F109" s="1">
        <v>465.30906</v>
      </c>
      <c r="G109" s="1">
        <v>6.958</v>
      </c>
      <c r="Y109" s="1" t="s">
        <v>39</v>
      </c>
      <c r="Z109" s="140" t="s">
        <v>4944</v>
      </c>
      <c r="AA109" s="140"/>
    </row>
    <row r="110" ht="15.75" customHeight="1">
      <c r="A110" s="1" t="s">
        <v>35</v>
      </c>
      <c r="B110" s="4" t="s">
        <v>36</v>
      </c>
      <c r="C110" s="104" t="s">
        <v>635</v>
      </c>
      <c r="D110" s="2" t="s">
        <v>626</v>
      </c>
      <c r="E110" s="1" t="s">
        <v>5115</v>
      </c>
      <c r="F110" s="1">
        <v>282.25566</v>
      </c>
      <c r="G110" s="1">
        <v>10.642</v>
      </c>
      <c r="Y110" s="1" t="s">
        <v>39</v>
      </c>
      <c r="Z110" s="140" t="s">
        <v>5095</v>
      </c>
      <c r="AA110" s="140"/>
    </row>
    <row r="111" ht="15.75" customHeight="1">
      <c r="A111" s="1" t="s">
        <v>35</v>
      </c>
      <c r="B111" s="4" t="s">
        <v>36</v>
      </c>
      <c r="C111" s="104" t="s">
        <v>635</v>
      </c>
      <c r="D111" s="2" t="s">
        <v>626</v>
      </c>
      <c r="E111" s="1" t="s">
        <v>5116</v>
      </c>
      <c r="F111" s="1">
        <v>282.25566</v>
      </c>
      <c r="G111" s="1">
        <v>10.498</v>
      </c>
      <c r="Y111" s="1" t="s">
        <v>39</v>
      </c>
      <c r="Z111" s="140" t="s">
        <v>5117</v>
      </c>
      <c r="AA111" s="140"/>
    </row>
    <row r="112" ht="15.75" customHeight="1">
      <c r="A112" s="1" t="s">
        <v>35</v>
      </c>
      <c r="B112" s="4" t="s">
        <v>36</v>
      </c>
      <c r="C112" s="104" t="s">
        <v>635</v>
      </c>
      <c r="D112" s="2" t="s">
        <v>626</v>
      </c>
      <c r="E112" s="1" t="s">
        <v>5118</v>
      </c>
      <c r="F112" s="1">
        <v>182.07875</v>
      </c>
      <c r="G112" s="1">
        <v>1.28</v>
      </c>
      <c r="Y112" s="1" t="s">
        <v>39</v>
      </c>
      <c r="Z112" s="140" t="s">
        <v>5106</v>
      </c>
      <c r="AA112" s="140"/>
    </row>
    <row r="113" ht="15.75" customHeight="1">
      <c r="A113" s="1" t="s">
        <v>35</v>
      </c>
      <c r="B113" s="4" t="s">
        <v>36</v>
      </c>
      <c r="C113" s="104" t="s">
        <v>635</v>
      </c>
      <c r="D113" s="2" t="s">
        <v>626</v>
      </c>
      <c r="E113" s="1" t="s">
        <v>5119</v>
      </c>
      <c r="F113" s="1">
        <v>567.35379</v>
      </c>
      <c r="G113" s="1">
        <v>9.463</v>
      </c>
      <c r="Y113" s="1" t="s">
        <v>39</v>
      </c>
      <c r="Z113" s="140" t="s">
        <v>5120</v>
      </c>
      <c r="AA113" s="140"/>
    </row>
    <row r="114" ht="15.75" customHeight="1">
      <c r="A114" s="1" t="s">
        <v>35</v>
      </c>
      <c r="B114" s="4" t="s">
        <v>36</v>
      </c>
      <c r="C114" s="104" t="s">
        <v>635</v>
      </c>
      <c r="D114" s="2" t="s">
        <v>626</v>
      </c>
      <c r="E114" s="1" t="s">
        <v>5121</v>
      </c>
      <c r="F114" s="1">
        <v>274.08744</v>
      </c>
      <c r="G114" s="1">
        <v>5.98</v>
      </c>
      <c r="Y114" s="1" t="s">
        <v>39</v>
      </c>
      <c r="Z114" s="140" t="s">
        <v>5122</v>
      </c>
      <c r="AA114" s="140"/>
    </row>
    <row r="115" ht="15.75" customHeight="1">
      <c r="A115" s="1" t="s">
        <v>35</v>
      </c>
      <c r="B115" s="4" t="s">
        <v>36</v>
      </c>
      <c r="C115" s="104" t="s">
        <v>635</v>
      </c>
      <c r="D115" s="2" t="s">
        <v>626</v>
      </c>
      <c r="E115" s="1" t="s">
        <v>5123</v>
      </c>
      <c r="F115" s="1">
        <v>130.06294</v>
      </c>
      <c r="G115" s="1">
        <v>5.596</v>
      </c>
      <c r="Y115" s="1" t="s">
        <v>39</v>
      </c>
      <c r="Z115" s="140" t="s">
        <v>5124</v>
      </c>
      <c r="AA115" s="140"/>
    </row>
    <row r="116" ht="15.75" customHeight="1">
      <c r="A116" s="1" t="s">
        <v>35</v>
      </c>
      <c r="B116" s="4" t="s">
        <v>36</v>
      </c>
      <c r="C116" s="104" t="s">
        <v>635</v>
      </c>
      <c r="D116" s="2" t="s">
        <v>626</v>
      </c>
      <c r="E116" s="1" t="s">
        <v>3546</v>
      </c>
      <c r="F116" s="1">
        <v>256.24015</v>
      </c>
      <c r="G116" s="1">
        <v>10.303</v>
      </c>
      <c r="Y116" s="1" t="s">
        <v>39</v>
      </c>
      <c r="Z116" s="140" t="s">
        <v>5125</v>
      </c>
      <c r="AA116" s="140"/>
    </row>
    <row r="117" ht="15.75" customHeight="1">
      <c r="A117" s="1" t="s">
        <v>35</v>
      </c>
      <c r="B117" s="4" t="s">
        <v>36</v>
      </c>
      <c r="C117" s="104" t="s">
        <v>635</v>
      </c>
      <c r="D117" s="2" t="s">
        <v>626</v>
      </c>
      <c r="E117" s="1" t="s">
        <v>5126</v>
      </c>
      <c r="F117" s="1">
        <v>368.16572</v>
      </c>
      <c r="G117" s="1">
        <v>7.719</v>
      </c>
      <c r="Y117" s="1" t="s">
        <v>39</v>
      </c>
      <c r="Z117" s="140" t="s">
        <v>5127</v>
      </c>
      <c r="AA117" s="140"/>
    </row>
    <row r="118" ht="15.75" customHeight="1">
      <c r="A118" s="1" t="s">
        <v>35</v>
      </c>
      <c r="B118" s="4" t="s">
        <v>36</v>
      </c>
      <c r="C118" s="104" t="s">
        <v>635</v>
      </c>
      <c r="D118" s="2" t="s">
        <v>626</v>
      </c>
      <c r="E118" s="1" t="s">
        <v>3515</v>
      </c>
      <c r="F118" s="1">
        <v>104.04764</v>
      </c>
      <c r="G118" s="1">
        <v>3.224</v>
      </c>
      <c r="Y118" s="1" t="s">
        <v>39</v>
      </c>
      <c r="Z118" s="140" t="s">
        <v>5128</v>
      </c>
      <c r="AA118" s="140"/>
    </row>
    <row r="119" ht="15.75" customHeight="1">
      <c r="A119" s="1" t="s">
        <v>35</v>
      </c>
      <c r="B119" s="4" t="s">
        <v>36</v>
      </c>
      <c r="C119" s="104" t="s">
        <v>635</v>
      </c>
      <c r="D119" s="2" t="s">
        <v>626</v>
      </c>
      <c r="E119" s="1" t="s">
        <v>5129</v>
      </c>
      <c r="F119" s="1">
        <v>118.06284</v>
      </c>
      <c r="G119" s="1">
        <v>5.3</v>
      </c>
      <c r="Y119" s="1" t="s">
        <v>39</v>
      </c>
      <c r="Z119" s="140" t="s">
        <v>5130</v>
      </c>
      <c r="AA119" s="140"/>
    </row>
    <row r="120" ht="15.75" customHeight="1">
      <c r="A120" s="1" t="s">
        <v>35</v>
      </c>
      <c r="B120" s="4" t="s">
        <v>36</v>
      </c>
      <c r="C120" s="104" t="s">
        <v>635</v>
      </c>
      <c r="D120" s="2" t="s">
        <v>626</v>
      </c>
      <c r="E120" s="1" t="s">
        <v>5131</v>
      </c>
      <c r="F120" s="1">
        <v>438.2983</v>
      </c>
      <c r="G120" s="1">
        <v>7.125</v>
      </c>
      <c r="Y120" s="1" t="s">
        <v>39</v>
      </c>
      <c r="Z120" s="140" t="s">
        <v>5132</v>
      </c>
      <c r="AA120" s="140"/>
    </row>
    <row r="121" ht="15.75" customHeight="1">
      <c r="A121" s="1" t="s">
        <v>35</v>
      </c>
      <c r="B121" s="4" t="s">
        <v>36</v>
      </c>
      <c r="C121" s="104" t="s">
        <v>635</v>
      </c>
      <c r="D121" s="2" t="s">
        <v>626</v>
      </c>
      <c r="E121" s="1" t="s">
        <v>5133</v>
      </c>
      <c r="F121" s="1">
        <v>453.06656</v>
      </c>
      <c r="G121" s="1">
        <v>5.435</v>
      </c>
      <c r="Y121" s="1" t="s">
        <v>39</v>
      </c>
      <c r="Z121" s="140" t="s">
        <v>5134</v>
      </c>
      <c r="AA121" s="140"/>
    </row>
    <row r="122" ht="15.75" customHeight="1">
      <c r="A122" s="1" t="s">
        <v>35</v>
      </c>
      <c r="B122" s="4" t="s">
        <v>36</v>
      </c>
      <c r="C122" s="104" t="s">
        <v>635</v>
      </c>
      <c r="D122" s="2" t="s">
        <v>626</v>
      </c>
      <c r="E122" s="1" t="s">
        <v>124</v>
      </c>
      <c r="F122" s="1">
        <v>226.22961</v>
      </c>
      <c r="G122" s="1">
        <v>9.481</v>
      </c>
      <c r="Y122" s="1" t="s">
        <v>39</v>
      </c>
      <c r="Z122" s="140" t="s">
        <v>5135</v>
      </c>
      <c r="AA122" s="140"/>
    </row>
    <row r="123" ht="15.75" customHeight="1">
      <c r="A123" s="1" t="s">
        <v>35</v>
      </c>
      <c r="B123" s="4" t="s">
        <v>36</v>
      </c>
      <c r="C123" s="104" t="s">
        <v>635</v>
      </c>
      <c r="D123" s="2" t="s">
        <v>626</v>
      </c>
      <c r="E123" s="1" t="s">
        <v>5136</v>
      </c>
      <c r="F123" s="1">
        <v>743.07405</v>
      </c>
      <c r="G123" s="1">
        <v>5.343</v>
      </c>
      <c r="Y123" s="1" t="s">
        <v>39</v>
      </c>
      <c r="Z123" s="140" t="s">
        <v>5137</v>
      </c>
      <c r="AA123" s="140"/>
    </row>
    <row r="124" ht="15.75" customHeight="1">
      <c r="A124" s="1" t="s">
        <v>35</v>
      </c>
      <c r="B124" s="4" t="s">
        <v>36</v>
      </c>
      <c r="C124" s="104" t="s">
        <v>635</v>
      </c>
      <c r="D124" s="2" t="s">
        <v>626</v>
      </c>
      <c r="E124" s="1" t="s">
        <v>5138</v>
      </c>
      <c r="F124" s="1">
        <v>230.15175</v>
      </c>
      <c r="G124" s="1">
        <v>6.585</v>
      </c>
      <c r="Y124" s="1" t="s">
        <v>39</v>
      </c>
      <c r="Z124" s="140" t="s">
        <v>5139</v>
      </c>
      <c r="AA124" s="140"/>
    </row>
    <row r="125" ht="15.75" customHeight="1">
      <c r="A125" s="1" t="s">
        <v>35</v>
      </c>
      <c r="B125" s="4" t="s">
        <v>36</v>
      </c>
      <c r="C125" s="104" t="s">
        <v>635</v>
      </c>
      <c r="D125" s="2" t="s">
        <v>626</v>
      </c>
      <c r="E125" s="1" t="s">
        <v>4310</v>
      </c>
      <c r="F125" s="1">
        <v>362.20941</v>
      </c>
      <c r="G125" s="1">
        <v>6.173</v>
      </c>
      <c r="Y125" s="1" t="s">
        <v>39</v>
      </c>
      <c r="Z125" s="140" t="s">
        <v>5001</v>
      </c>
      <c r="AA125" s="140"/>
    </row>
    <row r="126" ht="15.75" customHeight="1">
      <c r="A126" s="1" t="s">
        <v>35</v>
      </c>
      <c r="B126" s="4" t="s">
        <v>36</v>
      </c>
      <c r="C126" s="104" t="s">
        <v>635</v>
      </c>
      <c r="D126" s="2" t="s">
        <v>626</v>
      </c>
      <c r="E126" s="1" t="s">
        <v>5140</v>
      </c>
      <c r="F126" s="1">
        <v>129.04252</v>
      </c>
      <c r="G126" s="1">
        <v>1.449</v>
      </c>
      <c r="Y126" s="1" t="s">
        <v>39</v>
      </c>
      <c r="Z126" s="140" t="s">
        <v>5141</v>
      </c>
      <c r="AA126" s="140"/>
    </row>
    <row r="127" ht="15.75" customHeight="1">
      <c r="A127" s="1" t="s">
        <v>35</v>
      </c>
      <c r="B127" s="4" t="s">
        <v>36</v>
      </c>
      <c r="C127" s="104" t="s">
        <v>635</v>
      </c>
      <c r="D127" s="2" t="s">
        <v>626</v>
      </c>
      <c r="E127" s="1" t="s">
        <v>5142</v>
      </c>
      <c r="F127" s="1">
        <v>179.06158</v>
      </c>
      <c r="G127" s="1">
        <v>5.48</v>
      </c>
      <c r="Y127" s="1" t="s">
        <v>39</v>
      </c>
      <c r="Z127" s="140" t="s">
        <v>5143</v>
      </c>
      <c r="AA127" s="140"/>
    </row>
    <row r="128" ht="15.75" customHeight="1">
      <c r="A128" s="1" t="s">
        <v>35</v>
      </c>
      <c r="B128" s="4" t="s">
        <v>36</v>
      </c>
      <c r="C128" s="104" t="s">
        <v>635</v>
      </c>
      <c r="D128" s="2" t="s">
        <v>626</v>
      </c>
      <c r="E128" s="1" t="s">
        <v>5144</v>
      </c>
      <c r="F128" s="1">
        <v>159.0683</v>
      </c>
      <c r="G128" s="1">
        <v>5.65</v>
      </c>
      <c r="Y128" s="1" t="s">
        <v>39</v>
      </c>
      <c r="Z128" s="140" t="s">
        <v>5145</v>
      </c>
      <c r="AA128" s="140"/>
    </row>
    <row r="129" ht="15.75" customHeight="1">
      <c r="A129" s="1" t="s">
        <v>35</v>
      </c>
      <c r="B129" s="4" t="s">
        <v>36</v>
      </c>
      <c r="C129" s="104" t="s">
        <v>635</v>
      </c>
      <c r="D129" s="2" t="s">
        <v>626</v>
      </c>
      <c r="E129" s="1" t="s">
        <v>5146</v>
      </c>
      <c r="F129" s="1">
        <v>136.0524</v>
      </c>
      <c r="G129" s="1">
        <v>5.183</v>
      </c>
      <c r="Y129" s="1" t="s">
        <v>39</v>
      </c>
      <c r="Z129" s="140" t="s">
        <v>5147</v>
      </c>
      <c r="AA129" s="140"/>
    </row>
    <row r="130" ht="15.75" customHeight="1">
      <c r="A130" s="1" t="s">
        <v>35</v>
      </c>
      <c r="B130" s="4" t="s">
        <v>36</v>
      </c>
      <c r="C130" s="104" t="s">
        <v>635</v>
      </c>
      <c r="D130" s="2" t="s">
        <v>626</v>
      </c>
      <c r="E130" s="1" t="s">
        <v>5077</v>
      </c>
      <c r="F130" s="1">
        <v>180.07865</v>
      </c>
      <c r="G130" s="1">
        <v>6.412</v>
      </c>
      <c r="Y130" s="1" t="s">
        <v>39</v>
      </c>
      <c r="Z130" s="140" t="s">
        <v>5078</v>
      </c>
      <c r="AA130" s="140"/>
    </row>
    <row r="131" ht="15.75" customHeight="1">
      <c r="A131" s="1" t="s">
        <v>35</v>
      </c>
      <c r="B131" s="4" t="s">
        <v>36</v>
      </c>
      <c r="C131" s="104" t="s">
        <v>635</v>
      </c>
      <c r="D131" s="2" t="s">
        <v>626</v>
      </c>
      <c r="E131" s="1" t="s">
        <v>5148</v>
      </c>
      <c r="F131" s="1">
        <v>146.02153</v>
      </c>
      <c r="G131" s="1">
        <v>1.393</v>
      </c>
      <c r="Y131" s="1" t="s">
        <v>39</v>
      </c>
      <c r="Z131" s="140" t="s">
        <v>5149</v>
      </c>
      <c r="AA131" s="140"/>
    </row>
    <row r="132" ht="15.75" customHeight="1">
      <c r="A132" s="1" t="s">
        <v>35</v>
      </c>
      <c r="B132" s="4" t="s">
        <v>36</v>
      </c>
      <c r="C132" s="104" t="s">
        <v>635</v>
      </c>
      <c r="D132" s="2" t="s">
        <v>626</v>
      </c>
      <c r="E132" s="1" t="s">
        <v>5150</v>
      </c>
      <c r="F132" s="1">
        <v>116.04747</v>
      </c>
      <c r="G132" s="1">
        <v>4.73</v>
      </c>
      <c r="Y132" s="1" t="s">
        <v>39</v>
      </c>
      <c r="Z132" s="140" t="s">
        <v>5151</v>
      </c>
      <c r="AA132" s="140"/>
    </row>
    <row r="133" ht="15.75" customHeight="1">
      <c r="A133" s="1" t="s">
        <v>35</v>
      </c>
      <c r="B133" s="4" t="s">
        <v>36</v>
      </c>
      <c r="C133" s="104" t="s">
        <v>635</v>
      </c>
      <c r="D133" s="2" t="s">
        <v>626</v>
      </c>
      <c r="E133" s="1" t="s">
        <v>5152</v>
      </c>
      <c r="F133" s="1">
        <v>370.2356</v>
      </c>
      <c r="G133" s="1">
        <v>6.478</v>
      </c>
      <c r="Y133" s="1" t="s">
        <v>39</v>
      </c>
      <c r="Z133" s="140" t="s">
        <v>5153</v>
      </c>
      <c r="AA133" s="140"/>
    </row>
    <row r="134" ht="15.75" customHeight="1">
      <c r="A134" s="1" t="s">
        <v>35</v>
      </c>
      <c r="B134" s="4" t="s">
        <v>36</v>
      </c>
      <c r="C134" s="104" t="s">
        <v>635</v>
      </c>
      <c r="D134" s="2" t="s">
        <v>626</v>
      </c>
      <c r="E134" s="1" t="s">
        <v>4719</v>
      </c>
      <c r="F134" s="1">
        <v>188.14125</v>
      </c>
      <c r="G134" s="1">
        <v>7.077</v>
      </c>
      <c r="Y134" s="1" t="s">
        <v>39</v>
      </c>
      <c r="Z134" s="140" t="s">
        <v>5154</v>
      </c>
      <c r="AA134" s="140"/>
    </row>
    <row r="135" ht="15.75" customHeight="1">
      <c r="A135" s="1" t="s">
        <v>35</v>
      </c>
      <c r="B135" s="4" t="s">
        <v>36</v>
      </c>
      <c r="C135" s="104" t="s">
        <v>635</v>
      </c>
      <c r="D135" s="2" t="s">
        <v>626</v>
      </c>
      <c r="E135" s="1" t="s">
        <v>5155</v>
      </c>
      <c r="F135" s="1">
        <v>466.2568</v>
      </c>
      <c r="G135" s="1">
        <v>6.835</v>
      </c>
      <c r="Y135" s="1" t="s">
        <v>39</v>
      </c>
      <c r="Z135" s="140" t="s">
        <v>5156</v>
      </c>
      <c r="AA135" s="140"/>
    </row>
    <row r="136" ht="15.75" customHeight="1">
      <c r="A136" s="1" t="s">
        <v>35</v>
      </c>
      <c r="B136" s="4" t="s">
        <v>36</v>
      </c>
      <c r="C136" s="104" t="s">
        <v>635</v>
      </c>
      <c r="D136" s="2" t="s">
        <v>626</v>
      </c>
      <c r="E136" s="1" t="s">
        <v>5157</v>
      </c>
      <c r="F136" s="1">
        <v>280.24006</v>
      </c>
      <c r="G136" s="1">
        <v>8.945</v>
      </c>
      <c r="Y136" s="1" t="s">
        <v>39</v>
      </c>
      <c r="Z136" s="140" t="s">
        <v>5158</v>
      </c>
      <c r="AA136" s="140"/>
    </row>
    <row r="137" ht="15.75" customHeight="1">
      <c r="A137" s="1" t="s">
        <v>35</v>
      </c>
      <c r="B137" s="4" t="s">
        <v>36</v>
      </c>
      <c r="C137" s="104" t="s">
        <v>635</v>
      </c>
      <c r="D137" s="2" t="s">
        <v>626</v>
      </c>
      <c r="E137" s="1" t="s">
        <v>5159</v>
      </c>
      <c r="F137" s="1">
        <v>120.05738</v>
      </c>
      <c r="G137" s="1">
        <v>5.722</v>
      </c>
      <c r="Y137" s="1" t="s">
        <v>39</v>
      </c>
      <c r="Z137" s="140" t="s">
        <v>5160</v>
      </c>
      <c r="AA137" s="140"/>
    </row>
    <row r="138" ht="15.75" customHeight="1">
      <c r="A138" s="1" t="s">
        <v>35</v>
      </c>
      <c r="B138" s="4" t="s">
        <v>36</v>
      </c>
      <c r="C138" s="104" t="s">
        <v>635</v>
      </c>
      <c r="D138" s="2" t="s">
        <v>626</v>
      </c>
      <c r="E138" s="1" t="s">
        <v>5161</v>
      </c>
      <c r="F138" s="1">
        <v>150.05273</v>
      </c>
      <c r="G138" s="1">
        <v>1.307</v>
      </c>
      <c r="Y138" s="1" t="s">
        <v>39</v>
      </c>
      <c r="Z138" s="140" t="s">
        <v>5162</v>
      </c>
      <c r="AA138" s="140"/>
    </row>
    <row r="139" ht="15.75" customHeight="1">
      <c r="A139" s="1" t="s">
        <v>35</v>
      </c>
      <c r="B139" s="4" t="s">
        <v>36</v>
      </c>
      <c r="C139" s="104" t="s">
        <v>635</v>
      </c>
      <c r="D139" s="2" t="s">
        <v>626</v>
      </c>
      <c r="E139" s="1" t="s">
        <v>5163</v>
      </c>
      <c r="F139" s="1">
        <v>388.15559</v>
      </c>
      <c r="G139" s="1">
        <v>6.179</v>
      </c>
      <c r="Y139" s="1" t="s">
        <v>39</v>
      </c>
      <c r="Z139" s="140" t="s">
        <v>5164</v>
      </c>
      <c r="AA139" s="140"/>
    </row>
    <row r="140" ht="15.75" customHeight="1">
      <c r="A140" s="1" t="s">
        <v>35</v>
      </c>
      <c r="B140" s="4" t="s">
        <v>36</v>
      </c>
      <c r="C140" s="104" t="s">
        <v>635</v>
      </c>
      <c r="D140" s="2" t="s">
        <v>626</v>
      </c>
      <c r="E140" s="1" t="s">
        <v>5165</v>
      </c>
      <c r="F140" s="1">
        <v>414.37099</v>
      </c>
      <c r="G140" s="1">
        <v>10.33</v>
      </c>
      <c r="Y140" s="1" t="s">
        <v>39</v>
      </c>
      <c r="Z140" s="140" t="s">
        <v>5166</v>
      </c>
      <c r="AA140" s="140"/>
    </row>
    <row r="141" ht="15.75" customHeight="1">
      <c r="A141" s="1" t="s">
        <v>35</v>
      </c>
      <c r="B141" s="4" t="s">
        <v>36</v>
      </c>
      <c r="C141" s="104" t="s">
        <v>635</v>
      </c>
      <c r="D141" s="2" t="s">
        <v>626</v>
      </c>
      <c r="E141" s="1" t="s">
        <v>5167</v>
      </c>
      <c r="F141" s="1">
        <v>110.03671</v>
      </c>
      <c r="G141" s="1">
        <v>5.146</v>
      </c>
      <c r="Y141" s="1" t="s">
        <v>39</v>
      </c>
      <c r="Z141" s="140" t="s">
        <v>5168</v>
      </c>
      <c r="AA141" s="140"/>
    </row>
    <row r="142" ht="15.75" customHeight="1">
      <c r="A142" s="1" t="s">
        <v>35</v>
      </c>
      <c r="B142" s="4" t="s">
        <v>36</v>
      </c>
      <c r="C142" s="104" t="s">
        <v>635</v>
      </c>
      <c r="D142" s="2" t="s">
        <v>626</v>
      </c>
      <c r="E142" s="1" t="s">
        <v>5169</v>
      </c>
      <c r="F142" s="1">
        <v>244.06939</v>
      </c>
      <c r="G142" s="1">
        <v>1.325</v>
      </c>
      <c r="Y142" s="1" t="s">
        <v>39</v>
      </c>
      <c r="Z142" s="140" t="s">
        <v>5170</v>
      </c>
      <c r="AA142" s="140"/>
    </row>
    <row r="143" ht="15.75" customHeight="1">
      <c r="A143" s="1" t="s">
        <v>35</v>
      </c>
      <c r="B143" s="4" t="s">
        <v>36</v>
      </c>
      <c r="C143" s="104" t="s">
        <v>635</v>
      </c>
      <c r="D143" s="2" t="s">
        <v>626</v>
      </c>
      <c r="E143" s="1" t="s">
        <v>5171</v>
      </c>
      <c r="F143" s="1">
        <v>120.04223</v>
      </c>
      <c r="G143" s="1">
        <v>1.256</v>
      </c>
      <c r="Y143" s="1" t="s">
        <v>39</v>
      </c>
      <c r="Z143" s="140" t="s">
        <v>5172</v>
      </c>
      <c r="AA143" s="140"/>
    </row>
    <row r="144" ht="15.75" customHeight="1">
      <c r="A144" s="1" t="s">
        <v>35</v>
      </c>
      <c r="B144" s="4" t="s">
        <v>36</v>
      </c>
      <c r="C144" s="104" t="s">
        <v>635</v>
      </c>
      <c r="D144" s="2" t="s">
        <v>626</v>
      </c>
      <c r="E144" s="1" t="s">
        <v>5173</v>
      </c>
      <c r="F144" s="1">
        <v>144.11488</v>
      </c>
      <c r="G144" s="1">
        <v>6.849</v>
      </c>
      <c r="Y144" s="1" t="s">
        <v>39</v>
      </c>
      <c r="Z144" s="140" t="s">
        <v>5174</v>
      </c>
      <c r="AA144" s="140"/>
    </row>
    <row r="145" ht="15.75" customHeight="1">
      <c r="A145" s="1" t="s">
        <v>35</v>
      </c>
      <c r="B145" s="4" t="s">
        <v>36</v>
      </c>
      <c r="C145" s="104" t="s">
        <v>635</v>
      </c>
      <c r="D145" s="2" t="s">
        <v>626</v>
      </c>
      <c r="E145" s="1" t="s">
        <v>128</v>
      </c>
      <c r="F145" s="1">
        <v>175.09557</v>
      </c>
      <c r="G145" s="1">
        <v>1.28</v>
      </c>
      <c r="Y145" s="1" t="s">
        <v>39</v>
      </c>
      <c r="Z145" s="140" t="s">
        <v>5175</v>
      </c>
      <c r="AA145" s="140"/>
    </row>
    <row r="146" ht="15.75" customHeight="1">
      <c r="A146" s="1" t="s">
        <v>35</v>
      </c>
      <c r="B146" s="4" t="s">
        <v>36</v>
      </c>
      <c r="C146" s="104" t="s">
        <v>635</v>
      </c>
      <c r="D146" s="2" t="s">
        <v>626</v>
      </c>
      <c r="E146" s="1" t="s">
        <v>5082</v>
      </c>
      <c r="F146" s="1">
        <v>195.053</v>
      </c>
      <c r="G146" s="1">
        <v>5.03</v>
      </c>
      <c r="Y146" s="1" t="s">
        <v>39</v>
      </c>
      <c r="Z146" s="140" t="s">
        <v>5083</v>
      </c>
      <c r="AA146" s="140"/>
    </row>
    <row r="147" ht="15.75" customHeight="1">
      <c r="A147" s="1" t="s">
        <v>35</v>
      </c>
      <c r="B147" s="4" t="s">
        <v>36</v>
      </c>
      <c r="C147" s="104" t="s">
        <v>635</v>
      </c>
      <c r="D147" s="2" t="s">
        <v>626</v>
      </c>
      <c r="E147" s="1" t="s">
        <v>5176</v>
      </c>
      <c r="F147" s="1">
        <v>386.33968</v>
      </c>
      <c r="G147" s="1">
        <v>9.646</v>
      </c>
      <c r="Y147" s="1" t="s">
        <v>39</v>
      </c>
      <c r="Z147" s="140" t="s">
        <v>5177</v>
      </c>
      <c r="AA147" s="140"/>
    </row>
    <row r="148" ht="15.75" customHeight="1">
      <c r="A148" s="1" t="s">
        <v>35</v>
      </c>
      <c r="B148" s="4" t="s">
        <v>36</v>
      </c>
      <c r="C148" s="104" t="s">
        <v>635</v>
      </c>
      <c r="D148" s="2" t="s">
        <v>626</v>
      </c>
      <c r="E148" s="1" t="s">
        <v>5178</v>
      </c>
      <c r="F148" s="1">
        <v>268.24009</v>
      </c>
      <c r="G148" s="1">
        <v>10.092</v>
      </c>
      <c r="Y148" s="1" t="s">
        <v>39</v>
      </c>
      <c r="Z148" s="140" t="s">
        <v>5179</v>
      </c>
      <c r="AA148" s="140"/>
    </row>
    <row r="149" ht="15.75" customHeight="1">
      <c r="A149" s="1" t="s">
        <v>35</v>
      </c>
      <c r="B149" s="4" t="s">
        <v>36</v>
      </c>
      <c r="C149" s="104" t="s">
        <v>635</v>
      </c>
      <c r="D149" s="2" t="s">
        <v>626</v>
      </c>
      <c r="E149" s="1" t="s">
        <v>5034</v>
      </c>
      <c r="F149" s="1">
        <v>515.29184</v>
      </c>
      <c r="G149" s="1">
        <v>6.902</v>
      </c>
      <c r="Y149" s="1" t="s">
        <v>39</v>
      </c>
      <c r="Z149" s="140" t="s">
        <v>5035</v>
      </c>
      <c r="AA149" s="140"/>
    </row>
    <row r="150" ht="15.75" customHeight="1">
      <c r="A150" s="1" t="s">
        <v>35</v>
      </c>
      <c r="B150" s="4" t="s">
        <v>36</v>
      </c>
      <c r="C150" s="104" t="s">
        <v>635</v>
      </c>
      <c r="D150" s="2" t="s">
        <v>626</v>
      </c>
      <c r="E150" s="1" t="s">
        <v>5180</v>
      </c>
      <c r="F150" s="1">
        <v>132.04223</v>
      </c>
      <c r="G150" s="1">
        <v>1.254</v>
      </c>
      <c r="Y150" s="1" t="s">
        <v>39</v>
      </c>
      <c r="Z150" s="140" t="s">
        <v>5181</v>
      </c>
      <c r="AA150" s="140"/>
    </row>
    <row r="151" ht="15.75" customHeight="1">
      <c r="A151" s="1" t="s">
        <v>35</v>
      </c>
      <c r="B151" s="4" t="s">
        <v>36</v>
      </c>
      <c r="C151" s="104" t="s">
        <v>635</v>
      </c>
      <c r="D151" s="2" t="s">
        <v>626</v>
      </c>
      <c r="E151" s="1" t="s">
        <v>5182</v>
      </c>
      <c r="F151" s="1">
        <v>312.30286</v>
      </c>
      <c r="G151" s="1">
        <v>11.343</v>
      </c>
      <c r="Y151" s="1" t="s">
        <v>39</v>
      </c>
      <c r="Z151" s="140" t="s">
        <v>5183</v>
      </c>
      <c r="AA151" s="140"/>
    </row>
    <row r="152" ht="15.75" customHeight="1">
      <c r="A152" s="1" t="s">
        <v>35</v>
      </c>
      <c r="B152" s="4" t="s">
        <v>36</v>
      </c>
      <c r="C152" s="104" t="s">
        <v>635</v>
      </c>
      <c r="D152" s="2" t="s">
        <v>626</v>
      </c>
      <c r="E152" s="1" t="s">
        <v>5184</v>
      </c>
      <c r="F152" s="1">
        <v>176.03211</v>
      </c>
      <c r="G152" s="1">
        <v>6.73</v>
      </c>
      <c r="Y152" s="1" t="s">
        <v>39</v>
      </c>
      <c r="Z152" s="140" t="s">
        <v>5185</v>
      </c>
      <c r="AA152" s="140"/>
    </row>
    <row r="153" ht="15.75" customHeight="1">
      <c r="A153" s="1" t="s">
        <v>35</v>
      </c>
      <c r="B153" s="4" t="s">
        <v>36</v>
      </c>
      <c r="C153" s="104" t="s">
        <v>635</v>
      </c>
      <c r="D153" s="2" t="s">
        <v>626</v>
      </c>
      <c r="E153" s="1" t="s">
        <v>5186</v>
      </c>
      <c r="F153" s="1">
        <v>196.07347</v>
      </c>
      <c r="G153" s="1">
        <v>5.74</v>
      </c>
      <c r="Y153" s="1" t="s">
        <v>39</v>
      </c>
      <c r="Z153" s="140" t="s">
        <v>5187</v>
      </c>
      <c r="AA153" s="140"/>
    </row>
    <row r="154" ht="15.75" customHeight="1">
      <c r="A154" s="1" t="s">
        <v>35</v>
      </c>
      <c r="B154" s="4" t="s">
        <v>36</v>
      </c>
      <c r="C154" s="104" t="s">
        <v>635</v>
      </c>
      <c r="D154" s="2" t="s">
        <v>626</v>
      </c>
      <c r="E154" s="1" t="s">
        <v>5188</v>
      </c>
      <c r="F154" s="1">
        <v>334.21444</v>
      </c>
      <c r="G154" s="1">
        <v>7.844</v>
      </c>
      <c r="Y154" s="1" t="s">
        <v>39</v>
      </c>
      <c r="Z154" s="140" t="s">
        <v>5189</v>
      </c>
      <c r="AA154" s="140"/>
    </row>
    <row r="155" ht="15.75" customHeight="1">
      <c r="A155" s="1" t="s">
        <v>35</v>
      </c>
      <c r="B155" s="4" t="s">
        <v>36</v>
      </c>
      <c r="C155" s="104" t="s">
        <v>635</v>
      </c>
      <c r="D155" s="2" t="s">
        <v>626</v>
      </c>
      <c r="E155" s="1" t="s">
        <v>5190</v>
      </c>
      <c r="F155" s="1">
        <v>102.06812</v>
      </c>
      <c r="G155" s="1">
        <v>5.608</v>
      </c>
      <c r="Y155" s="1" t="s">
        <v>39</v>
      </c>
      <c r="Z155" s="140" t="s">
        <v>5191</v>
      </c>
      <c r="AA155" s="140"/>
    </row>
    <row r="156" ht="15.75" customHeight="1">
      <c r="A156" s="1" t="s">
        <v>35</v>
      </c>
      <c r="B156" s="4" t="s">
        <v>36</v>
      </c>
      <c r="C156" s="104" t="s">
        <v>635</v>
      </c>
      <c r="D156" s="2" t="s">
        <v>626</v>
      </c>
      <c r="E156" s="1" t="s">
        <v>5192</v>
      </c>
      <c r="F156" s="1">
        <v>104.04751</v>
      </c>
      <c r="G156" s="1">
        <v>2.55</v>
      </c>
      <c r="Y156" s="1" t="s">
        <v>39</v>
      </c>
      <c r="Z156" s="140" t="s">
        <v>5193</v>
      </c>
      <c r="AA156" s="140"/>
    </row>
    <row r="157" ht="15.75" customHeight="1">
      <c r="A157" s="1" t="s">
        <v>35</v>
      </c>
      <c r="B157" s="4" t="s">
        <v>36</v>
      </c>
      <c r="C157" s="104" t="s">
        <v>635</v>
      </c>
      <c r="D157" s="2" t="s">
        <v>626</v>
      </c>
      <c r="E157" s="1" t="s">
        <v>5194</v>
      </c>
      <c r="F157" s="1">
        <v>144.04217</v>
      </c>
      <c r="G157" s="1">
        <v>1.255</v>
      </c>
      <c r="Y157" s="1" t="s">
        <v>39</v>
      </c>
      <c r="Z157" s="140" t="s">
        <v>5195</v>
      </c>
      <c r="AA157" s="140"/>
    </row>
    <row r="158" ht="15.75" customHeight="1">
      <c r="A158" s="1" t="s">
        <v>35</v>
      </c>
      <c r="B158" s="4" t="s">
        <v>36</v>
      </c>
      <c r="C158" s="104" t="s">
        <v>635</v>
      </c>
      <c r="D158" s="2" t="s">
        <v>626</v>
      </c>
      <c r="E158" s="1" t="s">
        <v>5196</v>
      </c>
      <c r="F158" s="1">
        <v>106.02669</v>
      </c>
      <c r="G158" s="1">
        <v>1.324</v>
      </c>
      <c r="Y158" s="1" t="s">
        <v>39</v>
      </c>
      <c r="Z158" s="140" t="s">
        <v>5197</v>
      </c>
      <c r="AA158" s="140"/>
    </row>
    <row r="159" ht="15.75" customHeight="1">
      <c r="A159" s="1" t="s">
        <v>35</v>
      </c>
      <c r="B159" s="4" t="s">
        <v>36</v>
      </c>
      <c r="C159" s="104" t="s">
        <v>635</v>
      </c>
      <c r="D159" s="2" t="s">
        <v>626</v>
      </c>
      <c r="E159" s="1" t="s">
        <v>5198</v>
      </c>
      <c r="F159" s="1">
        <v>172.14635</v>
      </c>
      <c r="G159" s="1">
        <v>6.204</v>
      </c>
      <c r="Y159" s="1" t="s">
        <v>39</v>
      </c>
      <c r="Z159" s="140" t="s">
        <v>5199</v>
      </c>
      <c r="AA159" s="140"/>
    </row>
    <row r="160" ht="15.75" customHeight="1">
      <c r="A160" s="1" t="s">
        <v>35</v>
      </c>
      <c r="B160" s="4" t="s">
        <v>36</v>
      </c>
      <c r="C160" s="104" t="s">
        <v>635</v>
      </c>
      <c r="D160" s="2" t="s">
        <v>626</v>
      </c>
      <c r="E160" s="1" t="s">
        <v>5200</v>
      </c>
      <c r="F160" s="1">
        <v>194.04266</v>
      </c>
      <c r="G160" s="1">
        <v>6.467</v>
      </c>
      <c r="Y160" s="1" t="s">
        <v>39</v>
      </c>
      <c r="Z160" s="140" t="s">
        <v>5201</v>
      </c>
      <c r="AA160" s="140"/>
    </row>
    <row r="161" ht="15.75" customHeight="1">
      <c r="A161" s="1" t="s">
        <v>35</v>
      </c>
      <c r="B161" s="4" t="s">
        <v>36</v>
      </c>
      <c r="C161" s="104" t="s">
        <v>635</v>
      </c>
      <c r="D161" s="2" t="s">
        <v>626</v>
      </c>
      <c r="E161" s="1" t="s">
        <v>4975</v>
      </c>
      <c r="F161" s="1">
        <v>383.10781</v>
      </c>
      <c r="G161" s="1">
        <v>4.986</v>
      </c>
      <c r="Y161" s="1" t="s">
        <v>39</v>
      </c>
      <c r="Z161" s="140" t="s">
        <v>5202</v>
      </c>
      <c r="AA161" s="140"/>
    </row>
    <row r="162" ht="15.75" customHeight="1">
      <c r="A162" s="1" t="s">
        <v>35</v>
      </c>
      <c r="B162" s="4" t="s">
        <v>36</v>
      </c>
      <c r="C162" s="104" t="s">
        <v>635</v>
      </c>
      <c r="D162" s="2" t="s">
        <v>626</v>
      </c>
      <c r="E162" s="1" t="s">
        <v>5203</v>
      </c>
      <c r="F162" s="1">
        <v>132.07864</v>
      </c>
      <c r="G162" s="1">
        <v>5.557</v>
      </c>
      <c r="Y162" s="1" t="s">
        <v>39</v>
      </c>
      <c r="Z162" s="140" t="s">
        <v>5204</v>
      </c>
      <c r="AA162" s="140"/>
    </row>
    <row r="163" ht="15.75" customHeight="1">
      <c r="A163" s="1" t="s">
        <v>35</v>
      </c>
      <c r="B163" s="4" t="s">
        <v>36</v>
      </c>
      <c r="C163" s="104" t="s">
        <v>635</v>
      </c>
      <c r="D163" s="2" t="s">
        <v>626</v>
      </c>
      <c r="E163" s="1" t="s">
        <v>3862</v>
      </c>
      <c r="F163" s="1">
        <v>240.02389</v>
      </c>
      <c r="G163" s="1">
        <v>1.357</v>
      </c>
      <c r="Y163" s="1" t="s">
        <v>39</v>
      </c>
      <c r="Z163" s="140" t="s">
        <v>5205</v>
      </c>
      <c r="AA163" s="140"/>
    </row>
    <row r="164" ht="15.75" customHeight="1">
      <c r="A164" s="1" t="s">
        <v>35</v>
      </c>
      <c r="B164" s="4" t="s">
        <v>36</v>
      </c>
      <c r="C164" s="104" t="s">
        <v>635</v>
      </c>
      <c r="D164" s="2" t="s">
        <v>626</v>
      </c>
      <c r="E164" s="1" t="s">
        <v>5206</v>
      </c>
      <c r="F164" s="1">
        <v>228.20888</v>
      </c>
      <c r="G164" s="1">
        <v>9.457</v>
      </c>
      <c r="Y164" s="1" t="s">
        <v>39</v>
      </c>
      <c r="Z164" s="140" t="s">
        <v>5207</v>
      </c>
      <c r="AA164" s="140"/>
    </row>
    <row r="165" ht="15.75" customHeight="1">
      <c r="A165" s="1" t="s">
        <v>35</v>
      </c>
      <c r="B165" s="4" t="s">
        <v>36</v>
      </c>
      <c r="C165" s="104" t="s">
        <v>635</v>
      </c>
      <c r="D165" s="2" t="s">
        <v>626</v>
      </c>
      <c r="E165" s="1" t="s">
        <v>5208</v>
      </c>
      <c r="F165" s="1">
        <v>108.05774</v>
      </c>
      <c r="G165" s="1">
        <v>6.603</v>
      </c>
      <c r="Y165" s="1" t="s">
        <v>39</v>
      </c>
      <c r="Z165" s="140" t="s">
        <v>5209</v>
      </c>
      <c r="AA165" s="140"/>
    </row>
    <row r="166" ht="15.75" customHeight="1">
      <c r="A166" s="1" t="s">
        <v>35</v>
      </c>
      <c r="B166" s="4" t="s">
        <v>36</v>
      </c>
      <c r="C166" s="104" t="s">
        <v>635</v>
      </c>
      <c r="D166" s="2" t="s">
        <v>626</v>
      </c>
      <c r="E166" s="1" t="s">
        <v>5210</v>
      </c>
      <c r="F166" s="1">
        <v>336.23021</v>
      </c>
      <c r="G166" s="1">
        <v>7.273</v>
      </c>
      <c r="Y166" s="1" t="s">
        <v>39</v>
      </c>
      <c r="Z166" s="140" t="s">
        <v>5211</v>
      </c>
      <c r="AA166" s="140"/>
    </row>
    <row r="167" ht="15.75" customHeight="1">
      <c r="A167" s="1" t="s">
        <v>35</v>
      </c>
      <c r="B167" s="4" t="s">
        <v>36</v>
      </c>
      <c r="C167" s="104" t="s">
        <v>635</v>
      </c>
      <c r="D167" s="2" t="s">
        <v>626</v>
      </c>
      <c r="E167" s="1" t="s">
        <v>5212</v>
      </c>
      <c r="F167" s="1">
        <v>334.2872</v>
      </c>
      <c r="G167" s="1">
        <v>11.026</v>
      </c>
      <c r="Y167" s="1" t="s">
        <v>39</v>
      </c>
      <c r="Z167" s="140" t="s">
        <v>5213</v>
      </c>
      <c r="AA167" s="140"/>
    </row>
    <row r="168" ht="15.75" customHeight="1">
      <c r="A168" s="1" t="s">
        <v>35</v>
      </c>
      <c r="B168" s="4" t="s">
        <v>36</v>
      </c>
      <c r="C168" s="104" t="s">
        <v>635</v>
      </c>
      <c r="D168" s="2" t="s">
        <v>626</v>
      </c>
      <c r="E168" s="1" t="s">
        <v>5214</v>
      </c>
      <c r="F168" s="1">
        <v>350.11934</v>
      </c>
      <c r="G168" s="1">
        <v>6.71</v>
      </c>
      <c r="Y168" s="1" t="s">
        <v>39</v>
      </c>
      <c r="Z168" s="140" t="s">
        <v>5215</v>
      </c>
      <c r="AA168" s="140"/>
    </row>
    <row r="169" ht="15.75" customHeight="1">
      <c r="A169" s="1" t="s">
        <v>35</v>
      </c>
      <c r="B169" s="4" t="s">
        <v>36</v>
      </c>
      <c r="C169" s="104" t="s">
        <v>635</v>
      </c>
      <c r="D169" s="2" t="s">
        <v>626</v>
      </c>
      <c r="E169" s="1" t="s">
        <v>260</v>
      </c>
      <c r="F169" s="1">
        <v>174.01644</v>
      </c>
      <c r="G169" s="1">
        <v>1.328</v>
      </c>
      <c r="Y169" s="1" t="s">
        <v>39</v>
      </c>
      <c r="Z169" s="140" t="s">
        <v>5216</v>
      </c>
      <c r="AA169" s="140"/>
    </row>
    <row r="170" ht="15.75" customHeight="1">
      <c r="A170" s="1" t="s">
        <v>35</v>
      </c>
      <c r="B170" s="4" t="s">
        <v>36</v>
      </c>
      <c r="C170" s="104" t="s">
        <v>635</v>
      </c>
      <c r="D170" s="2" t="s">
        <v>626</v>
      </c>
      <c r="E170" s="1" t="s">
        <v>5217</v>
      </c>
      <c r="F170" s="1">
        <v>154.02654</v>
      </c>
      <c r="G170" s="1">
        <v>5.55</v>
      </c>
      <c r="Y170" s="1" t="s">
        <v>39</v>
      </c>
      <c r="Z170" s="140" t="s">
        <v>5218</v>
      </c>
      <c r="AA170" s="140"/>
    </row>
    <row r="171" ht="15.75" customHeight="1">
      <c r="A171" s="1" t="s">
        <v>35</v>
      </c>
      <c r="B171" s="4" t="s">
        <v>36</v>
      </c>
      <c r="C171" s="104" t="s">
        <v>635</v>
      </c>
      <c r="D171" s="2" t="s">
        <v>626</v>
      </c>
      <c r="E171" s="1" t="s">
        <v>5219</v>
      </c>
      <c r="F171" s="1">
        <v>210.12557</v>
      </c>
      <c r="G171" s="1">
        <v>6.55</v>
      </c>
      <c r="Y171" s="1" t="s">
        <v>39</v>
      </c>
      <c r="Z171" s="140" t="s">
        <v>5220</v>
      </c>
      <c r="AA171" s="140"/>
    </row>
    <row r="172" ht="15.75" customHeight="1">
      <c r="A172" s="1" t="s">
        <v>35</v>
      </c>
      <c r="B172" s="4" t="s">
        <v>36</v>
      </c>
      <c r="C172" s="104" t="s">
        <v>635</v>
      </c>
      <c r="D172" s="2" t="s">
        <v>626</v>
      </c>
      <c r="E172" s="1" t="s">
        <v>5221</v>
      </c>
      <c r="F172" s="1">
        <v>214.02423</v>
      </c>
      <c r="G172" s="1">
        <v>5.878</v>
      </c>
      <c r="Y172" s="1" t="s">
        <v>39</v>
      </c>
      <c r="Z172" s="140" t="s">
        <v>5222</v>
      </c>
      <c r="AA172" s="140"/>
    </row>
    <row r="173" ht="15.75" customHeight="1">
      <c r="A173" s="1" t="s">
        <v>35</v>
      </c>
      <c r="B173" s="4" t="s">
        <v>36</v>
      </c>
      <c r="C173" s="104" t="s">
        <v>635</v>
      </c>
      <c r="D173" s="2" t="s">
        <v>626</v>
      </c>
      <c r="E173" s="1" t="s">
        <v>5223</v>
      </c>
      <c r="F173" s="1">
        <v>244.20375</v>
      </c>
      <c r="G173" s="1">
        <v>8.644</v>
      </c>
      <c r="Y173" s="1" t="s">
        <v>39</v>
      </c>
      <c r="Z173" s="140" t="s">
        <v>5224</v>
      </c>
      <c r="AA173" s="140"/>
    </row>
    <row r="174" ht="15.75" customHeight="1">
      <c r="A174" s="1" t="s">
        <v>35</v>
      </c>
      <c r="B174" s="4" t="s">
        <v>36</v>
      </c>
      <c r="C174" s="104" t="s">
        <v>635</v>
      </c>
      <c r="D174" s="2" t="s">
        <v>626</v>
      </c>
      <c r="E174" s="1" t="s">
        <v>5225</v>
      </c>
      <c r="F174" s="1">
        <v>164.04727</v>
      </c>
      <c r="G174" s="1">
        <v>6.027</v>
      </c>
      <c r="Y174" s="1" t="s">
        <v>39</v>
      </c>
      <c r="Z174" s="140" t="s">
        <v>5226</v>
      </c>
      <c r="AA174" s="140"/>
    </row>
    <row r="175" ht="15.75" customHeight="1">
      <c r="A175" s="1" t="s">
        <v>35</v>
      </c>
      <c r="B175" s="4" t="s">
        <v>36</v>
      </c>
      <c r="C175" s="104" t="s">
        <v>635</v>
      </c>
      <c r="D175" s="2" t="s">
        <v>626</v>
      </c>
      <c r="E175" s="1" t="s">
        <v>5227</v>
      </c>
      <c r="F175" s="1">
        <v>148.0524</v>
      </c>
      <c r="G175" s="1">
        <v>5.501</v>
      </c>
      <c r="Y175" s="1" t="s">
        <v>39</v>
      </c>
      <c r="Z175" s="140" t="s">
        <v>5228</v>
      </c>
      <c r="AA175" s="140"/>
    </row>
    <row r="176" ht="15.75" customHeight="1">
      <c r="A176" s="1" t="s">
        <v>35</v>
      </c>
      <c r="B176" s="4" t="s">
        <v>36</v>
      </c>
      <c r="C176" s="104" t="s">
        <v>635</v>
      </c>
      <c r="D176" s="2" t="s">
        <v>626</v>
      </c>
      <c r="E176" s="1" t="s">
        <v>5229</v>
      </c>
      <c r="F176" s="1">
        <v>334.21452</v>
      </c>
      <c r="G176" s="1">
        <v>6.796</v>
      </c>
      <c r="Y176" s="1" t="s">
        <v>39</v>
      </c>
      <c r="Z176" s="140" t="s">
        <v>5230</v>
      </c>
      <c r="AA176" s="140"/>
    </row>
    <row r="177" ht="15.75" customHeight="1">
      <c r="A177" s="1" t="s">
        <v>35</v>
      </c>
      <c r="B177" s="4" t="s">
        <v>36</v>
      </c>
      <c r="C177" s="104" t="s">
        <v>635</v>
      </c>
      <c r="D177" s="2" t="s">
        <v>626</v>
      </c>
      <c r="E177" s="1" t="s">
        <v>5231</v>
      </c>
      <c r="F177" s="1">
        <v>376.13933</v>
      </c>
      <c r="G177" s="1">
        <v>9.455</v>
      </c>
      <c r="Y177" s="1" t="s">
        <v>39</v>
      </c>
      <c r="Z177" s="140" t="s">
        <v>5232</v>
      </c>
      <c r="AA177" s="140"/>
    </row>
    <row r="178" ht="15.75" customHeight="1">
      <c r="A178" s="1" t="s">
        <v>35</v>
      </c>
      <c r="B178" s="4" t="s">
        <v>36</v>
      </c>
      <c r="C178" s="104" t="s">
        <v>635</v>
      </c>
      <c r="D178" s="2" t="s">
        <v>626</v>
      </c>
      <c r="E178" s="1" t="s">
        <v>5233</v>
      </c>
      <c r="F178" s="1">
        <v>584.28429</v>
      </c>
      <c r="G178" s="1">
        <v>6.866</v>
      </c>
      <c r="Y178" s="1" t="s">
        <v>39</v>
      </c>
      <c r="Z178" s="140" t="s">
        <v>5234</v>
      </c>
      <c r="AA178" s="140"/>
    </row>
    <row r="179" ht="15.75" customHeight="1">
      <c r="A179" s="1" t="s">
        <v>35</v>
      </c>
      <c r="B179" s="4" t="s">
        <v>36</v>
      </c>
      <c r="C179" s="104" t="s">
        <v>635</v>
      </c>
      <c r="D179" s="2" t="s">
        <v>626</v>
      </c>
      <c r="E179" s="1" t="s">
        <v>5235</v>
      </c>
      <c r="F179" s="1">
        <v>342.20403</v>
      </c>
      <c r="G179" s="1">
        <v>7.402</v>
      </c>
      <c r="Y179" s="1" t="s">
        <v>39</v>
      </c>
      <c r="Z179" s="140" t="s">
        <v>5236</v>
      </c>
      <c r="AA179" s="140"/>
    </row>
    <row r="180" ht="15.75" customHeight="1">
      <c r="A180" s="1" t="s">
        <v>35</v>
      </c>
      <c r="B180" s="4" t="s">
        <v>36</v>
      </c>
      <c r="C180" s="104" t="s">
        <v>635</v>
      </c>
      <c r="D180" s="2" t="s">
        <v>626</v>
      </c>
      <c r="E180" s="1" t="s">
        <v>5237</v>
      </c>
      <c r="F180" s="1">
        <v>336.30283</v>
      </c>
      <c r="G180" s="1">
        <v>11.532</v>
      </c>
      <c r="Y180" s="1" t="s">
        <v>39</v>
      </c>
      <c r="Z180" s="140" t="s">
        <v>5238</v>
      </c>
      <c r="AA180" s="140"/>
    </row>
    <row r="181" ht="15.75" customHeight="1">
      <c r="A181" s="1" t="s">
        <v>35</v>
      </c>
      <c r="B181" s="4" t="s">
        <v>36</v>
      </c>
      <c r="C181" s="104" t="s">
        <v>635</v>
      </c>
      <c r="D181" s="2" t="s">
        <v>626</v>
      </c>
      <c r="E181" s="1" t="s">
        <v>5239</v>
      </c>
      <c r="F181" s="1">
        <v>218.11522</v>
      </c>
      <c r="G181" s="1">
        <v>5.627</v>
      </c>
      <c r="Y181" s="1" t="s">
        <v>39</v>
      </c>
      <c r="Z181" s="140" t="s">
        <v>5240</v>
      </c>
      <c r="AA181" s="140"/>
    </row>
    <row r="182" ht="15.75" customHeight="1">
      <c r="A182" s="1" t="s">
        <v>35</v>
      </c>
      <c r="B182" s="4" t="s">
        <v>36</v>
      </c>
      <c r="C182" s="104" t="s">
        <v>635</v>
      </c>
      <c r="D182" s="2" t="s">
        <v>626</v>
      </c>
      <c r="E182" s="1" t="s">
        <v>5241</v>
      </c>
      <c r="F182" s="1">
        <v>264.03023</v>
      </c>
      <c r="G182" s="1">
        <v>5.387</v>
      </c>
      <c r="Y182" s="1" t="s">
        <v>39</v>
      </c>
      <c r="Z182" s="140" t="s">
        <v>5242</v>
      </c>
      <c r="AA182" s="140"/>
    </row>
    <row r="183" ht="15.75" customHeight="1">
      <c r="A183" s="1" t="s">
        <v>35</v>
      </c>
      <c r="B183" s="4" t="s">
        <v>36</v>
      </c>
      <c r="C183" s="104" t="s">
        <v>635</v>
      </c>
      <c r="D183" s="2" t="s">
        <v>626</v>
      </c>
      <c r="E183" s="1" t="s">
        <v>432</v>
      </c>
      <c r="F183" s="1">
        <v>204.08975</v>
      </c>
      <c r="G183" s="1">
        <v>6.02</v>
      </c>
      <c r="Y183" s="1" t="s">
        <v>39</v>
      </c>
      <c r="Z183" s="140" t="s">
        <v>4935</v>
      </c>
      <c r="AA183" s="140"/>
    </row>
    <row r="184" ht="15.75" customHeight="1">
      <c r="A184" s="1" t="s">
        <v>35</v>
      </c>
      <c r="B184" s="4" t="s">
        <v>36</v>
      </c>
      <c r="C184" s="104" t="s">
        <v>635</v>
      </c>
      <c r="D184" s="2" t="s">
        <v>626</v>
      </c>
      <c r="E184" s="1" t="s">
        <v>5243</v>
      </c>
      <c r="F184" s="1">
        <v>165.04248</v>
      </c>
      <c r="G184" s="1">
        <v>5.765</v>
      </c>
      <c r="Y184" s="1" t="s">
        <v>39</v>
      </c>
      <c r="Z184" s="140" t="s">
        <v>5244</v>
      </c>
      <c r="AA184" s="140"/>
    </row>
    <row r="185" ht="15.75" customHeight="1">
      <c r="A185" s="1" t="s">
        <v>35</v>
      </c>
      <c r="B185" s="4" t="s">
        <v>36</v>
      </c>
      <c r="C185" s="104" t="s">
        <v>635</v>
      </c>
      <c r="D185" s="2" t="s">
        <v>626</v>
      </c>
      <c r="E185" s="1" t="s">
        <v>5245</v>
      </c>
      <c r="F185" s="1">
        <v>334.17809</v>
      </c>
      <c r="G185" s="1">
        <v>7.298</v>
      </c>
      <c r="Y185" s="1" t="s">
        <v>39</v>
      </c>
      <c r="Z185" s="140" t="s">
        <v>5246</v>
      </c>
      <c r="AA185" s="140"/>
    </row>
    <row r="186" ht="15.75" customHeight="1">
      <c r="A186" s="1" t="s">
        <v>35</v>
      </c>
      <c r="B186" s="4" t="s">
        <v>36</v>
      </c>
      <c r="C186" s="104" t="s">
        <v>635</v>
      </c>
      <c r="D186" s="2" t="s">
        <v>626</v>
      </c>
      <c r="E186" s="1" t="s">
        <v>5247</v>
      </c>
      <c r="F186" s="1">
        <v>181.11034</v>
      </c>
      <c r="G186" s="1">
        <v>6.572</v>
      </c>
      <c r="Y186" s="1" t="s">
        <v>39</v>
      </c>
      <c r="Z186" s="140" t="s">
        <v>5248</v>
      </c>
      <c r="AA186" s="140"/>
    </row>
    <row r="187" ht="15.75" customHeight="1">
      <c r="A187" s="1" t="s">
        <v>35</v>
      </c>
      <c r="B187" s="4" t="s">
        <v>36</v>
      </c>
      <c r="C187" s="104" t="s">
        <v>635</v>
      </c>
      <c r="D187" s="2" t="s">
        <v>626</v>
      </c>
      <c r="E187" s="1" t="s">
        <v>5249</v>
      </c>
      <c r="F187" s="1">
        <v>288.0608</v>
      </c>
      <c r="G187" s="1">
        <v>5.707</v>
      </c>
      <c r="Y187" s="1" t="s">
        <v>39</v>
      </c>
      <c r="Z187" s="140" t="s">
        <v>5250</v>
      </c>
      <c r="AA187" s="140"/>
    </row>
    <row r="188" ht="15.75" customHeight="1">
      <c r="A188" s="1" t="s">
        <v>35</v>
      </c>
      <c r="B188" s="4" t="s">
        <v>36</v>
      </c>
      <c r="C188" s="104" t="s">
        <v>635</v>
      </c>
      <c r="D188" s="2" t="s">
        <v>626</v>
      </c>
      <c r="E188" s="1" t="s">
        <v>5251</v>
      </c>
      <c r="F188" s="1">
        <v>352.22499</v>
      </c>
      <c r="G188" s="1">
        <v>6.758</v>
      </c>
      <c r="Y188" s="1" t="s">
        <v>39</v>
      </c>
      <c r="Z188" s="140" t="s">
        <v>5252</v>
      </c>
      <c r="AA188" s="140"/>
    </row>
    <row r="189" ht="15.75" customHeight="1">
      <c r="A189" s="1" t="s">
        <v>35</v>
      </c>
      <c r="B189" s="4" t="s">
        <v>36</v>
      </c>
      <c r="C189" s="104" t="s">
        <v>635</v>
      </c>
      <c r="D189" s="2" t="s">
        <v>626</v>
      </c>
      <c r="E189" s="1" t="s">
        <v>5253</v>
      </c>
      <c r="F189" s="1">
        <v>187.06331</v>
      </c>
      <c r="G189" s="1">
        <v>5.928</v>
      </c>
      <c r="Y189" s="1" t="s">
        <v>39</v>
      </c>
      <c r="Z189" s="140" t="s">
        <v>5254</v>
      </c>
      <c r="AA189" s="140"/>
    </row>
    <row r="190" ht="15.75" customHeight="1">
      <c r="A190" s="1" t="s">
        <v>35</v>
      </c>
      <c r="B190" s="4" t="s">
        <v>36</v>
      </c>
      <c r="C190" s="104" t="s">
        <v>635</v>
      </c>
      <c r="D190" s="2" t="s">
        <v>626</v>
      </c>
      <c r="E190" s="1" t="s">
        <v>5255</v>
      </c>
      <c r="F190" s="1">
        <v>403.08244</v>
      </c>
      <c r="G190" s="1">
        <v>6.738</v>
      </c>
      <c r="Y190" s="1" t="s">
        <v>39</v>
      </c>
      <c r="Z190" s="140" t="s">
        <v>5256</v>
      </c>
      <c r="AA190" s="140"/>
    </row>
    <row r="191" ht="15.75" customHeight="1">
      <c r="A191" s="1" t="s">
        <v>35</v>
      </c>
      <c r="B191" s="4" t="s">
        <v>36</v>
      </c>
      <c r="C191" s="104" t="s">
        <v>635</v>
      </c>
      <c r="D191" s="2" t="s">
        <v>626</v>
      </c>
      <c r="E191" s="1" t="s">
        <v>5257</v>
      </c>
      <c r="F191" s="1">
        <v>200.17762</v>
      </c>
      <c r="G191" s="1">
        <v>6.598</v>
      </c>
      <c r="Y191" s="1" t="s">
        <v>39</v>
      </c>
      <c r="Z191" s="140" t="s">
        <v>5258</v>
      </c>
      <c r="AA191" s="140"/>
    </row>
    <row r="192" ht="15.75" customHeight="1">
      <c r="A192" s="1" t="s">
        <v>35</v>
      </c>
      <c r="B192" s="4" t="s">
        <v>36</v>
      </c>
      <c r="C192" s="104" t="s">
        <v>635</v>
      </c>
      <c r="D192" s="2" t="s">
        <v>626</v>
      </c>
      <c r="E192" s="1" t="s">
        <v>5259</v>
      </c>
      <c r="F192" s="1">
        <v>614.14558</v>
      </c>
      <c r="G192" s="1">
        <v>6.467</v>
      </c>
      <c r="Y192" s="1" t="s">
        <v>39</v>
      </c>
      <c r="Z192" s="140" t="s">
        <v>5260</v>
      </c>
      <c r="AA192" s="140"/>
    </row>
    <row r="193" ht="15.75" customHeight="1">
      <c r="A193" s="1" t="s">
        <v>35</v>
      </c>
      <c r="B193" s="4" t="s">
        <v>36</v>
      </c>
      <c r="C193" s="104" t="s">
        <v>635</v>
      </c>
      <c r="D193" s="2" t="s">
        <v>626</v>
      </c>
      <c r="E193" s="1" t="s">
        <v>5261</v>
      </c>
      <c r="F193" s="1">
        <v>441.13975</v>
      </c>
      <c r="G193" s="1">
        <v>5.1</v>
      </c>
      <c r="Y193" s="1" t="s">
        <v>39</v>
      </c>
      <c r="Z193" s="140" t="s">
        <v>5262</v>
      </c>
      <c r="AA193" s="140"/>
    </row>
    <row r="194" ht="15.75" customHeight="1">
      <c r="A194" s="1" t="s">
        <v>35</v>
      </c>
      <c r="B194" s="4" t="s">
        <v>36</v>
      </c>
      <c r="C194" s="104" t="s">
        <v>635</v>
      </c>
      <c r="D194" s="2" t="s">
        <v>626</v>
      </c>
      <c r="E194" s="1" t="s">
        <v>3973</v>
      </c>
      <c r="F194" s="1">
        <v>203.11581</v>
      </c>
      <c r="G194" s="1">
        <v>5.065</v>
      </c>
      <c r="Y194" s="1" t="s">
        <v>39</v>
      </c>
      <c r="Z194" s="140" t="s">
        <v>5263</v>
      </c>
      <c r="AA194" s="140"/>
    </row>
    <row r="195" ht="15.75" customHeight="1">
      <c r="A195" s="1" t="s">
        <v>35</v>
      </c>
      <c r="B195" s="4" t="s">
        <v>36</v>
      </c>
      <c r="C195" s="104" t="s">
        <v>635</v>
      </c>
      <c r="D195" s="2" t="s">
        <v>626</v>
      </c>
      <c r="E195" s="1" t="s">
        <v>5264</v>
      </c>
      <c r="F195" s="1">
        <v>142.09938</v>
      </c>
      <c r="G195" s="1">
        <v>5.634</v>
      </c>
      <c r="Y195" s="1" t="s">
        <v>39</v>
      </c>
      <c r="Z195" s="140" t="s">
        <v>5265</v>
      </c>
      <c r="AA195" s="140"/>
    </row>
    <row r="196" ht="15.75" customHeight="1">
      <c r="A196" s="1" t="s">
        <v>35</v>
      </c>
      <c r="B196" s="4" t="s">
        <v>36</v>
      </c>
      <c r="C196" s="104" t="s">
        <v>635</v>
      </c>
      <c r="D196" s="2" t="s">
        <v>626</v>
      </c>
      <c r="E196" s="1" t="s">
        <v>5266</v>
      </c>
      <c r="F196" s="1">
        <v>566.05385</v>
      </c>
      <c r="G196" s="1">
        <v>5.9</v>
      </c>
      <c r="Y196" s="1" t="s">
        <v>39</v>
      </c>
      <c r="Z196" s="140" t="s">
        <v>5267</v>
      </c>
      <c r="AA196" s="140"/>
    </row>
    <row r="197" ht="15.75" customHeight="1">
      <c r="A197" s="1" t="s">
        <v>35</v>
      </c>
      <c r="B197" s="4" t="s">
        <v>36</v>
      </c>
      <c r="C197" s="104" t="s">
        <v>635</v>
      </c>
      <c r="D197" s="2" t="s">
        <v>626</v>
      </c>
      <c r="E197" s="1" t="s">
        <v>3646</v>
      </c>
      <c r="F197" s="1">
        <v>202.12048</v>
      </c>
      <c r="G197" s="1">
        <v>6.374</v>
      </c>
      <c r="Y197" s="1" t="s">
        <v>39</v>
      </c>
      <c r="Z197" s="140" t="s">
        <v>5268</v>
      </c>
      <c r="AA197" s="140"/>
    </row>
    <row r="198" ht="15.75" customHeight="1">
      <c r="A198" s="1" t="s">
        <v>35</v>
      </c>
      <c r="B198" s="4" t="s">
        <v>36</v>
      </c>
      <c r="C198" s="104" t="s">
        <v>635</v>
      </c>
      <c r="D198" s="2" t="s">
        <v>626</v>
      </c>
      <c r="E198" s="1" t="s">
        <v>5269</v>
      </c>
      <c r="F198" s="1">
        <v>285.09597</v>
      </c>
      <c r="G198" s="1">
        <v>4.849</v>
      </c>
      <c r="Y198" s="1" t="s">
        <v>39</v>
      </c>
      <c r="Z198" s="140" t="s">
        <v>5270</v>
      </c>
      <c r="AA198" s="140"/>
    </row>
    <row r="199" ht="15.75" customHeight="1">
      <c r="A199" s="1" t="s">
        <v>35</v>
      </c>
      <c r="B199" s="4" t="s">
        <v>36</v>
      </c>
      <c r="C199" s="104" t="s">
        <v>635</v>
      </c>
      <c r="D199" s="2" t="s">
        <v>626</v>
      </c>
      <c r="E199" s="1" t="s">
        <v>5271</v>
      </c>
      <c r="F199" s="1">
        <v>366.20432</v>
      </c>
      <c r="G199" s="1">
        <v>6.131</v>
      </c>
      <c r="Y199" s="1" t="s">
        <v>39</v>
      </c>
      <c r="Z199" s="140" t="s">
        <v>5272</v>
      </c>
      <c r="AA199" s="140"/>
    </row>
    <row r="200" ht="15.75" customHeight="1">
      <c r="A200" s="1" t="s">
        <v>35</v>
      </c>
      <c r="B200" s="4" t="s">
        <v>36</v>
      </c>
      <c r="C200" s="104" t="s">
        <v>635</v>
      </c>
      <c r="D200" s="2" t="s">
        <v>626</v>
      </c>
      <c r="E200" s="1" t="s">
        <v>5273</v>
      </c>
      <c r="F200" s="1">
        <v>278.22462</v>
      </c>
      <c r="G200" s="1">
        <v>7.056</v>
      </c>
      <c r="Y200" s="1" t="s">
        <v>39</v>
      </c>
      <c r="Z200" s="140" t="s">
        <v>5274</v>
      </c>
      <c r="AA200" s="140"/>
    </row>
    <row r="201" ht="15.75" customHeight="1">
      <c r="A201" s="1" t="s">
        <v>35</v>
      </c>
      <c r="B201" s="4" t="s">
        <v>36</v>
      </c>
      <c r="C201" s="104" t="s">
        <v>635</v>
      </c>
      <c r="D201" s="2" t="s">
        <v>626</v>
      </c>
      <c r="E201" s="1" t="s">
        <v>5275</v>
      </c>
      <c r="F201" s="1">
        <v>217.13137</v>
      </c>
      <c r="G201" s="1">
        <v>5.993</v>
      </c>
      <c r="Y201" s="1" t="s">
        <v>39</v>
      </c>
      <c r="Z201" s="140" t="s">
        <v>5276</v>
      </c>
      <c r="AA201" s="140"/>
    </row>
    <row r="202" ht="15.75" customHeight="1">
      <c r="A202" s="1" t="s">
        <v>35</v>
      </c>
      <c r="B202" s="4" t="s">
        <v>36</v>
      </c>
      <c r="C202" s="104" t="s">
        <v>635</v>
      </c>
      <c r="D202" s="2" t="s">
        <v>626</v>
      </c>
      <c r="E202" s="1" t="s">
        <v>5277</v>
      </c>
      <c r="F202" s="1">
        <v>370.23541</v>
      </c>
      <c r="G202" s="1">
        <v>7.142</v>
      </c>
      <c r="Y202" s="1" t="s">
        <v>39</v>
      </c>
      <c r="Z202" s="140" t="s">
        <v>5278</v>
      </c>
      <c r="AA202" s="140"/>
    </row>
    <row r="203" ht="15.75" customHeight="1">
      <c r="A203" s="1" t="s">
        <v>35</v>
      </c>
      <c r="B203" s="4" t="s">
        <v>36</v>
      </c>
      <c r="C203" s="104" t="s">
        <v>635</v>
      </c>
      <c r="D203" s="2" t="s">
        <v>626</v>
      </c>
      <c r="E203" s="1" t="s">
        <v>5279</v>
      </c>
      <c r="F203" s="1">
        <v>488.10957</v>
      </c>
      <c r="G203" s="1">
        <v>5.897</v>
      </c>
      <c r="Y203" s="1" t="s">
        <v>39</v>
      </c>
      <c r="Z203" s="140" t="s">
        <v>5280</v>
      </c>
      <c r="AA203" s="140"/>
    </row>
    <row r="204" ht="15.75" customHeight="1">
      <c r="A204" s="1" t="s">
        <v>35</v>
      </c>
      <c r="B204" s="4" t="s">
        <v>36</v>
      </c>
      <c r="C204" s="104" t="s">
        <v>635</v>
      </c>
      <c r="D204" s="2" t="s">
        <v>626</v>
      </c>
      <c r="E204" s="1" t="s">
        <v>5281</v>
      </c>
      <c r="F204" s="1">
        <v>223.08435</v>
      </c>
      <c r="G204" s="1">
        <v>5.178</v>
      </c>
      <c r="Y204" s="1" t="s">
        <v>39</v>
      </c>
      <c r="Z204" s="140" t="s">
        <v>5282</v>
      </c>
      <c r="AA204" s="140"/>
    </row>
    <row r="205" ht="15.75" customHeight="1">
      <c r="A205" s="1" t="s">
        <v>35</v>
      </c>
      <c r="B205" s="4" t="s">
        <v>36</v>
      </c>
      <c r="C205" s="104" t="s">
        <v>635</v>
      </c>
      <c r="D205" s="2" t="s">
        <v>626</v>
      </c>
      <c r="E205" s="1" t="s">
        <v>5283</v>
      </c>
      <c r="F205" s="1">
        <v>368.21922</v>
      </c>
      <c r="G205" s="1">
        <v>6.62</v>
      </c>
      <c r="Y205" s="1" t="s">
        <v>39</v>
      </c>
      <c r="Z205" s="140" t="s">
        <v>5284</v>
      </c>
      <c r="AA205" s="140"/>
    </row>
    <row r="206" ht="15.75" customHeight="1">
      <c r="A206" s="1" t="s">
        <v>35</v>
      </c>
      <c r="B206" s="4" t="s">
        <v>36</v>
      </c>
      <c r="C206" s="104" t="s">
        <v>635</v>
      </c>
      <c r="D206" s="2" t="s">
        <v>626</v>
      </c>
      <c r="E206" s="1" t="s">
        <v>5285</v>
      </c>
      <c r="F206" s="1">
        <v>260.13702</v>
      </c>
      <c r="G206" s="1">
        <v>5.076</v>
      </c>
      <c r="Y206" s="1" t="s">
        <v>39</v>
      </c>
      <c r="Z206" s="140" t="s">
        <v>5286</v>
      </c>
      <c r="AA206" s="140"/>
    </row>
    <row r="207" ht="15.75" customHeight="1">
      <c r="A207" s="1" t="s">
        <v>35</v>
      </c>
      <c r="B207" s="4" t="s">
        <v>36</v>
      </c>
      <c r="C207" s="104" t="s">
        <v>635</v>
      </c>
      <c r="D207" s="2" t="s">
        <v>626</v>
      </c>
      <c r="E207" s="1" t="s">
        <v>5287</v>
      </c>
      <c r="F207" s="1">
        <v>222.1004</v>
      </c>
      <c r="G207" s="1">
        <v>5.152</v>
      </c>
      <c r="Y207" s="1" t="s">
        <v>39</v>
      </c>
      <c r="Z207" s="140" t="s">
        <v>5288</v>
      </c>
      <c r="AA207" s="140"/>
    </row>
    <row r="208" ht="15.75" customHeight="1">
      <c r="A208" s="1" t="s">
        <v>35</v>
      </c>
      <c r="B208" s="4" t="s">
        <v>36</v>
      </c>
      <c r="C208" s="104" t="s">
        <v>635</v>
      </c>
      <c r="D208" s="2" t="s">
        <v>626</v>
      </c>
      <c r="E208" s="1" t="s">
        <v>4046</v>
      </c>
      <c r="F208" s="1">
        <v>192.02704</v>
      </c>
      <c r="G208" s="1">
        <v>1.388</v>
      </c>
      <c r="Y208" s="1" t="s">
        <v>39</v>
      </c>
      <c r="Z208" s="140" t="s">
        <v>5289</v>
      </c>
      <c r="AA208" s="140"/>
    </row>
    <row r="209" ht="15.75" customHeight="1">
      <c r="A209" s="1" t="s">
        <v>35</v>
      </c>
      <c r="B209" s="4" t="s">
        <v>36</v>
      </c>
      <c r="C209" s="104" t="s">
        <v>635</v>
      </c>
      <c r="D209" s="2" t="s">
        <v>626</v>
      </c>
      <c r="E209" s="1" t="s">
        <v>3828</v>
      </c>
      <c r="F209" s="1">
        <v>131.07339</v>
      </c>
      <c r="G209" s="1">
        <v>5.962</v>
      </c>
      <c r="Y209" s="1" t="s">
        <v>39</v>
      </c>
      <c r="Z209" s="140" t="s">
        <v>5290</v>
      </c>
      <c r="AA209" s="140"/>
    </row>
    <row r="210" ht="15.75" customHeight="1">
      <c r="A210" s="1" t="s">
        <v>35</v>
      </c>
      <c r="B210" s="4" t="s">
        <v>36</v>
      </c>
      <c r="C210" s="104" t="s">
        <v>635</v>
      </c>
      <c r="D210" s="2" t="s">
        <v>626</v>
      </c>
      <c r="E210" s="1" t="s">
        <v>5291</v>
      </c>
      <c r="F210" s="1">
        <v>258.18322</v>
      </c>
      <c r="G210" s="1">
        <v>7.079</v>
      </c>
      <c r="Y210" s="1" t="s">
        <v>39</v>
      </c>
      <c r="Z210" s="140" t="s">
        <v>5292</v>
      </c>
      <c r="AA210" s="140"/>
    </row>
    <row r="211" ht="15.75" customHeight="1">
      <c r="A211" s="1" t="s">
        <v>35</v>
      </c>
      <c r="B211" s="4" t="s">
        <v>36</v>
      </c>
      <c r="C211" s="104" t="s">
        <v>635</v>
      </c>
      <c r="D211" s="2" t="s">
        <v>626</v>
      </c>
      <c r="E211" s="1" t="s">
        <v>5293</v>
      </c>
      <c r="F211" s="1">
        <v>178.09934</v>
      </c>
      <c r="G211" s="1">
        <v>6.583</v>
      </c>
      <c r="Y211" s="1" t="s">
        <v>39</v>
      </c>
      <c r="Z211" s="140" t="s">
        <v>5294</v>
      </c>
      <c r="AA211" s="140"/>
    </row>
    <row r="212" ht="15.75" customHeight="1">
      <c r="A212" s="1" t="s">
        <v>35</v>
      </c>
      <c r="B212" s="4" t="s">
        <v>36</v>
      </c>
      <c r="C212" s="104" t="s">
        <v>635</v>
      </c>
      <c r="D212" s="2" t="s">
        <v>626</v>
      </c>
      <c r="E212" s="1" t="s">
        <v>4554</v>
      </c>
      <c r="F212" s="1">
        <v>584.26417</v>
      </c>
      <c r="G212" s="1">
        <v>7.251</v>
      </c>
      <c r="Y212" s="1" t="s">
        <v>39</v>
      </c>
      <c r="Z212" s="140" t="s">
        <v>5295</v>
      </c>
      <c r="AA212" s="140"/>
    </row>
    <row r="213" ht="15.75" customHeight="1">
      <c r="A213" s="1" t="s">
        <v>35</v>
      </c>
      <c r="B213" s="4" t="s">
        <v>36</v>
      </c>
      <c r="C213" s="104" t="s">
        <v>635</v>
      </c>
      <c r="D213" s="2" t="s">
        <v>626</v>
      </c>
      <c r="E213" s="1" t="s">
        <v>380</v>
      </c>
      <c r="F213" s="1">
        <v>125.01463</v>
      </c>
      <c r="G213" s="1">
        <v>1.454</v>
      </c>
      <c r="Y213" s="1" t="s">
        <v>39</v>
      </c>
      <c r="Z213" s="140" t="s">
        <v>5296</v>
      </c>
      <c r="AA213" s="140"/>
    </row>
    <row r="214" ht="15.75" customHeight="1">
      <c r="A214" s="1" t="s">
        <v>35</v>
      </c>
      <c r="B214" s="4" t="s">
        <v>36</v>
      </c>
      <c r="C214" s="104" t="s">
        <v>635</v>
      </c>
      <c r="D214" s="2" t="s">
        <v>626</v>
      </c>
      <c r="E214" s="1" t="s">
        <v>5297</v>
      </c>
      <c r="F214" s="1">
        <v>339.27739</v>
      </c>
      <c r="G214" s="1">
        <v>9.679</v>
      </c>
      <c r="Y214" s="1" t="s">
        <v>39</v>
      </c>
      <c r="Z214" s="140" t="s">
        <v>5298</v>
      </c>
      <c r="AA214" s="140"/>
    </row>
    <row r="215" ht="15.75" customHeight="1">
      <c r="A215" s="1" t="s">
        <v>35</v>
      </c>
      <c r="B215" s="4" t="s">
        <v>36</v>
      </c>
      <c r="C215" s="104" t="s">
        <v>635</v>
      </c>
      <c r="D215" s="2" t="s">
        <v>626</v>
      </c>
      <c r="E215" s="1" t="s">
        <v>4697</v>
      </c>
      <c r="F215" s="1">
        <v>196.05821</v>
      </c>
      <c r="G215" s="1">
        <v>1.28</v>
      </c>
      <c r="Y215" s="1" t="s">
        <v>39</v>
      </c>
      <c r="Z215" s="140" t="s">
        <v>5299</v>
      </c>
      <c r="AA215" s="140"/>
    </row>
    <row r="216" ht="15.75" customHeight="1">
      <c r="A216" s="1" t="s">
        <v>35</v>
      </c>
      <c r="B216" s="4" t="s">
        <v>36</v>
      </c>
      <c r="C216" s="104" t="s">
        <v>635</v>
      </c>
      <c r="D216" s="2" t="s">
        <v>626</v>
      </c>
      <c r="E216" s="1" t="s">
        <v>3551</v>
      </c>
      <c r="F216" s="1">
        <v>284.27137</v>
      </c>
      <c r="G216" s="1">
        <v>11.128</v>
      </c>
      <c r="Y216" s="1" t="s">
        <v>39</v>
      </c>
      <c r="Z216" s="140" t="s">
        <v>5300</v>
      </c>
      <c r="AA216" s="140"/>
    </row>
    <row r="217" ht="15.75" customHeight="1">
      <c r="A217" s="1" t="s">
        <v>35</v>
      </c>
      <c r="B217" s="4" t="s">
        <v>36</v>
      </c>
      <c r="C217" s="104" t="s">
        <v>635</v>
      </c>
      <c r="D217" s="2" t="s">
        <v>626</v>
      </c>
      <c r="E217" s="1" t="s">
        <v>5301</v>
      </c>
      <c r="F217" s="1">
        <v>254.22453</v>
      </c>
      <c r="G217" s="1">
        <v>9.684</v>
      </c>
      <c r="Y217" s="1" t="s">
        <v>39</v>
      </c>
      <c r="Z217" s="140" t="s">
        <v>5302</v>
      </c>
      <c r="AA217" s="140"/>
    </row>
    <row r="218" ht="15.75" customHeight="1">
      <c r="A218" s="1" t="s">
        <v>35</v>
      </c>
      <c r="B218" s="4" t="s">
        <v>36</v>
      </c>
      <c r="C218" s="104" t="s">
        <v>635</v>
      </c>
      <c r="D218" s="2" t="s">
        <v>626</v>
      </c>
      <c r="E218" s="1" t="s">
        <v>5303</v>
      </c>
      <c r="F218" s="1">
        <v>280.10581</v>
      </c>
      <c r="G218" s="1">
        <v>5.207</v>
      </c>
      <c r="Y218" s="1" t="s">
        <v>39</v>
      </c>
      <c r="Z218" s="140" t="s">
        <v>5304</v>
      </c>
      <c r="AA218" s="140"/>
    </row>
    <row r="219" ht="15.75" customHeight="1">
      <c r="A219" s="1" t="s">
        <v>35</v>
      </c>
      <c r="B219" s="4" t="s">
        <v>36</v>
      </c>
      <c r="C219" s="104" t="s">
        <v>635</v>
      </c>
      <c r="D219" s="2" t="s">
        <v>626</v>
      </c>
      <c r="E219" s="1" t="s">
        <v>5305</v>
      </c>
      <c r="F219" s="1">
        <v>132.0898</v>
      </c>
      <c r="G219" s="1">
        <v>1.278</v>
      </c>
      <c r="Y219" s="1" t="s">
        <v>39</v>
      </c>
      <c r="Z219" s="140" t="s">
        <v>5306</v>
      </c>
      <c r="AA219" s="140"/>
    </row>
    <row r="220" ht="15.75" customHeight="1">
      <c r="A220" s="1" t="s">
        <v>35</v>
      </c>
      <c r="B220" s="4" t="s">
        <v>36</v>
      </c>
      <c r="C220" s="104" t="s">
        <v>635</v>
      </c>
      <c r="D220" s="2" t="s">
        <v>626</v>
      </c>
      <c r="E220" s="1" t="s">
        <v>5307</v>
      </c>
      <c r="F220" s="1">
        <v>495.33272</v>
      </c>
      <c r="G220" s="1">
        <v>9.664</v>
      </c>
      <c r="Y220" s="1" t="s">
        <v>39</v>
      </c>
      <c r="Z220" s="140" t="s">
        <v>4986</v>
      </c>
      <c r="AA220" s="140"/>
    </row>
    <row r="221" ht="15.75" customHeight="1">
      <c r="A221" s="1" t="s">
        <v>35</v>
      </c>
      <c r="B221" s="4" t="s">
        <v>36</v>
      </c>
      <c r="C221" s="104" t="s">
        <v>635</v>
      </c>
      <c r="D221" s="2" t="s">
        <v>626</v>
      </c>
      <c r="E221" s="1" t="s">
        <v>5308</v>
      </c>
      <c r="F221" s="1">
        <v>182.05788</v>
      </c>
      <c r="G221" s="1">
        <v>5.184</v>
      </c>
      <c r="Y221" s="1" t="s">
        <v>39</v>
      </c>
      <c r="Z221" s="140" t="s">
        <v>5309</v>
      </c>
      <c r="AA221" s="140"/>
    </row>
    <row r="222" ht="15.75" customHeight="1">
      <c r="A222" s="1" t="s">
        <v>35</v>
      </c>
      <c r="B222" s="4" t="s">
        <v>36</v>
      </c>
      <c r="C222" s="104" t="s">
        <v>635</v>
      </c>
      <c r="D222" s="2" t="s">
        <v>626</v>
      </c>
      <c r="E222" s="1" t="s">
        <v>4373</v>
      </c>
      <c r="F222" s="1">
        <v>138.03164</v>
      </c>
      <c r="G222" s="1">
        <v>6.069</v>
      </c>
      <c r="Y222" s="1" t="s">
        <v>39</v>
      </c>
      <c r="Z222" s="140" t="s">
        <v>5017</v>
      </c>
      <c r="AA222" s="140"/>
    </row>
    <row r="223" ht="15.75" customHeight="1">
      <c r="A223" s="1" t="s">
        <v>35</v>
      </c>
      <c r="B223" s="4" t="s">
        <v>36</v>
      </c>
      <c r="C223" s="104" t="s">
        <v>635</v>
      </c>
      <c r="D223" s="2" t="s">
        <v>626</v>
      </c>
      <c r="E223" s="1" t="s">
        <v>5310</v>
      </c>
      <c r="F223" s="1">
        <v>302.22442</v>
      </c>
      <c r="G223" s="1">
        <v>9.749</v>
      </c>
      <c r="Y223" s="1" t="s">
        <v>39</v>
      </c>
      <c r="Z223" s="140" t="s">
        <v>5311</v>
      </c>
      <c r="AA223" s="140"/>
    </row>
    <row r="224" ht="15.75" customHeight="1">
      <c r="A224" s="1" t="s">
        <v>35</v>
      </c>
      <c r="B224" s="4" t="s">
        <v>36</v>
      </c>
      <c r="C224" s="104" t="s">
        <v>635</v>
      </c>
      <c r="D224" s="2" t="s">
        <v>626</v>
      </c>
      <c r="E224" s="1" t="s">
        <v>5312</v>
      </c>
      <c r="F224" s="1">
        <v>196.05958</v>
      </c>
      <c r="G224" s="1">
        <v>5.095</v>
      </c>
      <c r="Y224" s="1" t="s">
        <v>39</v>
      </c>
      <c r="Z224" s="140" t="s">
        <v>5313</v>
      </c>
      <c r="AA224" s="1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0">
        <v>2578.8567</v>
      </c>
      <c r="B1" s="200" t="s">
        <v>5314</v>
      </c>
      <c r="C1" s="200" t="s">
        <v>5315</v>
      </c>
      <c r="E1" s="200">
        <v>2.0</v>
      </c>
      <c r="F1" s="200">
        <v>10445.1691</v>
      </c>
      <c r="G1" s="200" t="s">
        <v>5314</v>
      </c>
      <c r="H1" s="200" t="s">
        <v>5315</v>
      </c>
    </row>
    <row r="2">
      <c r="A2" s="201">
        <v>15.0</v>
      </c>
      <c r="B2" s="201">
        <v>3755.2392</v>
      </c>
      <c r="C2" s="201" t="s">
        <v>5314</v>
      </c>
      <c r="D2" s="201" t="s">
        <v>5315</v>
      </c>
      <c r="E2" s="201">
        <v>15.0</v>
      </c>
      <c r="F2" s="201">
        <v>7585.7903</v>
      </c>
      <c r="G2" s="201" t="s">
        <v>5314</v>
      </c>
      <c r="H2" s="201" t="s">
        <v>5315</v>
      </c>
      <c r="I2" s="1" t="b">
        <f t="shared" ref="I2:I75" si="1">A2=E2</f>
        <v>1</v>
      </c>
    </row>
    <row r="3">
      <c r="A3" s="200">
        <v>19.0</v>
      </c>
      <c r="B3" s="200">
        <v>2278.0236</v>
      </c>
      <c r="C3" s="200" t="s">
        <v>5314</v>
      </c>
      <c r="D3" s="200" t="s">
        <v>5315</v>
      </c>
      <c r="E3" s="200">
        <v>19.0</v>
      </c>
      <c r="F3" s="200">
        <v>11715.8539</v>
      </c>
      <c r="G3" s="200" t="s">
        <v>5314</v>
      </c>
      <c r="H3" s="200" t="s">
        <v>5315</v>
      </c>
      <c r="I3" s="1" t="b">
        <f t="shared" si="1"/>
        <v>1</v>
      </c>
      <c r="L3" s="105">
        <v>2908.61</v>
      </c>
      <c r="M3" s="105"/>
      <c r="N3" s="105"/>
      <c r="O3" s="105">
        <v>3004.13</v>
      </c>
    </row>
    <row r="4">
      <c r="A4" s="201">
        <v>2.0</v>
      </c>
      <c r="B4" s="201">
        <v>2998.4553</v>
      </c>
      <c r="C4" s="201" t="s">
        <v>5314</v>
      </c>
      <c r="D4" s="201" t="s">
        <v>5315</v>
      </c>
      <c r="E4" s="201">
        <v>2.0</v>
      </c>
      <c r="F4" s="201">
        <v>11010.1264</v>
      </c>
      <c r="G4" s="201" t="s">
        <v>5314</v>
      </c>
      <c r="H4" s="201" t="s">
        <v>5315</v>
      </c>
      <c r="I4" s="1" t="b">
        <f t="shared" si="1"/>
        <v>1</v>
      </c>
      <c r="J4" s="202" t="s">
        <v>5316</v>
      </c>
      <c r="K4" s="203"/>
      <c r="L4" s="105">
        <v>20605.81</v>
      </c>
      <c r="M4" s="105"/>
      <c r="N4" s="105"/>
      <c r="O4" s="105">
        <v>21341.4</v>
      </c>
    </row>
    <row r="5">
      <c r="A5" s="200">
        <v>21.0</v>
      </c>
      <c r="B5" s="200">
        <v>3504.3485</v>
      </c>
      <c r="C5" s="200" t="s">
        <v>5314</v>
      </c>
      <c r="D5" s="200" t="s">
        <v>5315</v>
      </c>
      <c r="E5" s="200">
        <v>21.0</v>
      </c>
      <c r="F5" s="200">
        <v>5707.596</v>
      </c>
      <c r="G5" s="200" t="s">
        <v>5314</v>
      </c>
      <c r="H5" s="200" t="s">
        <v>5315</v>
      </c>
      <c r="I5" s="1" t="b">
        <f t="shared" si="1"/>
        <v>1</v>
      </c>
      <c r="J5" s="202" t="s">
        <v>5317</v>
      </c>
      <c r="K5" s="203"/>
      <c r="L5" s="105">
        <v>10052.66</v>
      </c>
      <c r="M5" s="105"/>
      <c r="N5" s="105"/>
      <c r="O5" s="105">
        <v>14258.98</v>
      </c>
    </row>
    <row r="6">
      <c r="A6" s="201">
        <v>23.0</v>
      </c>
      <c r="B6" s="201">
        <v>2666.6899</v>
      </c>
      <c r="C6" s="201" t="s">
        <v>5314</v>
      </c>
      <c r="D6" s="201" t="s">
        <v>5315</v>
      </c>
      <c r="E6" s="201">
        <v>23.0</v>
      </c>
      <c r="F6" s="201">
        <v>15017.3954</v>
      </c>
      <c r="G6" s="201" t="s">
        <v>5314</v>
      </c>
      <c r="H6" s="201" t="s">
        <v>5315</v>
      </c>
      <c r="I6" s="1" t="b">
        <f t="shared" si="1"/>
        <v>1</v>
      </c>
      <c r="J6" s="202" t="s">
        <v>5318</v>
      </c>
      <c r="K6" s="203"/>
      <c r="L6" s="105">
        <v>36532.13</v>
      </c>
      <c r="M6" s="105"/>
      <c r="N6" s="105"/>
      <c r="O6" s="105">
        <v>40680.01</v>
      </c>
    </row>
    <row r="7">
      <c r="A7" s="200">
        <v>25.0</v>
      </c>
      <c r="B7" s="200">
        <v>3358.686</v>
      </c>
      <c r="C7" s="200" t="s">
        <v>5314</v>
      </c>
      <c r="D7" s="200" t="s">
        <v>5315</v>
      </c>
      <c r="E7" s="200">
        <v>25.0</v>
      </c>
      <c r="F7" s="200">
        <v>10785.4974</v>
      </c>
      <c r="G7" s="200" t="s">
        <v>5314</v>
      </c>
      <c r="H7" s="200" t="s">
        <v>5315</v>
      </c>
      <c r="I7" s="1" t="b">
        <f t="shared" si="1"/>
        <v>1</v>
      </c>
      <c r="J7" s="202" t="s">
        <v>5319</v>
      </c>
      <c r="K7" s="203"/>
      <c r="L7" s="105">
        <v>8879.12</v>
      </c>
      <c r="M7" s="105"/>
      <c r="N7" s="105"/>
      <c r="O7" s="105">
        <v>9321.9</v>
      </c>
    </row>
    <row r="8">
      <c r="A8" s="201">
        <v>27.0</v>
      </c>
      <c r="B8" s="201">
        <v>3322.0541</v>
      </c>
      <c r="C8" s="201" t="s">
        <v>5314</v>
      </c>
      <c r="D8" s="201" t="s">
        <v>5315</v>
      </c>
      <c r="E8" s="201">
        <v>27.0</v>
      </c>
      <c r="F8" s="201">
        <v>6561.2374</v>
      </c>
      <c r="G8" s="201" t="s">
        <v>5314</v>
      </c>
      <c r="H8" s="201" t="s">
        <v>5315</v>
      </c>
      <c r="I8" s="1" t="b">
        <f t="shared" si="1"/>
        <v>1</v>
      </c>
      <c r="J8" s="202" t="s">
        <v>5320</v>
      </c>
      <c r="K8" s="203"/>
      <c r="L8" s="105">
        <v>13160.42</v>
      </c>
      <c r="M8" s="105"/>
      <c r="N8" s="105"/>
      <c r="O8" s="105">
        <v>27006.87</v>
      </c>
    </row>
    <row r="9">
      <c r="A9" s="200">
        <v>28.0</v>
      </c>
      <c r="B9" s="200">
        <v>3388.3844</v>
      </c>
      <c r="C9" s="200" t="s">
        <v>5314</v>
      </c>
      <c r="D9" s="200" t="s">
        <v>5315</v>
      </c>
      <c r="E9" s="200">
        <v>28.0</v>
      </c>
      <c r="F9" s="200">
        <v>5803.3293</v>
      </c>
      <c r="G9" s="200" t="s">
        <v>5314</v>
      </c>
      <c r="H9" s="200" t="s">
        <v>5315</v>
      </c>
      <c r="I9" s="1" t="b">
        <f t="shared" si="1"/>
        <v>1</v>
      </c>
      <c r="J9" s="202" t="s">
        <v>5321</v>
      </c>
      <c r="K9" s="203"/>
      <c r="L9" s="105">
        <v>10407.09</v>
      </c>
      <c r="M9" s="105"/>
      <c r="N9" s="105"/>
      <c r="O9" s="105">
        <v>10852.13</v>
      </c>
    </row>
    <row r="10">
      <c r="A10" s="201">
        <v>30.0</v>
      </c>
      <c r="B10" s="201">
        <v>1890.6318</v>
      </c>
      <c r="C10" s="201" t="s">
        <v>5314</v>
      </c>
      <c r="D10" s="201" t="s">
        <v>5315</v>
      </c>
      <c r="E10" s="201">
        <v>30.0</v>
      </c>
      <c r="F10" s="201">
        <v>14262.2941</v>
      </c>
      <c r="G10" s="201" t="s">
        <v>5314</v>
      </c>
      <c r="H10" s="201" t="s">
        <v>5315</v>
      </c>
      <c r="I10" s="1" t="b">
        <f t="shared" si="1"/>
        <v>1</v>
      </c>
      <c r="J10" s="202" t="s">
        <v>5322</v>
      </c>
      <c r="K10" s="203"/>
      <c r="L10" s="105">
        <v>4202.49</v>
      </c>
      <c r="M10" s="105"/>
      <c r="N10" s="105"/>
      <c r="O10" s="105">
        <v>3964.26</v>
      </c>
    </row>
    <row r="11">
      <c r="A11" s="200">
        <v>32.0</v>
      </c>
      <c r="B11" s="200">
        <v>2185.4338</v>
      </c>
      <c r="C11" s="200" t="s">
        <v>5314</v>
      </c>
      <c r="D11" s="200" t="s">
        <v>5315</v>
      </c>
      <c r="E11" s="200">
        <v>32.0</v>
      </c>
      <c r="F11" s="200">
        <v>11601.7847</v>
      </c>
      <c r="G11" s="200" t="s">
        <v>5314</v>
      </c>
      <c r="H11" s="200" t="s">
        <v>5315</v>
      </c>
      <c r="I11" s="1" t="b">
        <f t="shared" si="1"/>
        <v>1</v>
      </c>
      <c r="J11" s="202" t="s">
        <v>5323</v>
      </c>
      <c r="K11" s="203"/>
      <c r="L11" s="105">
        <v>10333.13</v>
      </c>
      <c r="M11" s="105"/>
      <c r="N11" s="105"/>
      <c r="O11" s="105">
        <v>10763.9</v>
      </c>
    </row>
    <row r="12">
      <c r="A12" s="201">
        <v>33.0</v>
      </c>
      <c r="B12" s="201">
        <v>3495.0582</v>
      </c>
      <c r="C12" s="201" t="s">
        <v>5314</v>
      </c>
      <c r="D12" s="201" t="s">
        <v>5315</v>
      </c>
      <c r="E12" s="201">
        <v>33.0</v>
      </c>
      <c r="F12" s="201">
        <v>22713.3295</v>
      </c>
      <c r="G12" s="201" t="s">
        <v>5314</v>
      </c>
      <c r="H12" s="201" t="s">
        <v>5315</v>
      </c>
      <c r="I12" s="1" t="b">
        <f t="shared" si="1"/>
        <v>1</v>
      </c>
      <c r="J12" s="202" t="s">
        <v>5324</v>
      </c>
      <c r="K12" s="203"/>
      <c r="L12" s="105">
        <v>236781.05</v>
      </c>
      <c r="M12" s="105"/>
      <c r="N12" s="105"/>
      <c r="O12" s="105">
        <v>224216.13</v>
      </c>
    </row>
    <row r="13">
      <c r="A13" s="200">
        <v>34.0</v>
      </c>
      <c r="B13" s="200">
        <v>2304.5246</v>
      </c>
      <c r="C13" s="200" t="s">
        <v>5314</v>
      </c>
      <c r="D13" s="200" t="s">
        <v>5315</v>
      </c>
      <c r="E13" s="200">
        <v>34.0</v>
      </c>
      <c r="F13" s="200">
        <v>22679.4156</v>
      </c>
      <c r="G13" s="200" t="s">
        <v>5314</v>
      </c>
      <c r="H13" s="200" t="s">
        <v>5315</v>
      </c>
      <c r="I13" s="1" t="b">
        <f t="shared" si="1"/>
        <v>1</v>
      </c>
      <c r="J13" s="202" t="s">
        <v>5325</v>
      </c>
      <c r="K13" s="203"/>
      <c r="L13" s="105">
        <v>17519.23</v>
      </c>
      <c r="M13" s="105"/>
      <c r="N13" s="105"/>
      <c r="O13" s="105">
        <v>18010.28</v>
      </c>
    </row>
    <row r="14">
      <c r="A14" s="201">
        <v>35.0</v>
      </c>
      <c r="B14" s="201">
        <v>3067.883</v>
      </c>
      <c r="C14" s="201" t="s">
        <v>5314</v>
      </c>
      <c r="D14" s="201" t="s">
        <v>5315</v>
      </c>
      <c r="E14" s="201">
        <v>35.0</v>
      </c>
      <c r="F14" s="201">
        <v>13650.7681</v>
      </c>
      <c r="G14" s="201" t="s">
        <v>5314</v>
      </c>
      <c r="H14" s="201" t="s">
        <v>5315</v>
      </c>
      <c r="I14" s="1" t="b">
        <f t="shared" si="1"/>
        <v>1</v>
      </c>
      <c r="J14" s="202" t="s">
        <v>5326</v>
      </c>
      <c r="K14" s="203"/>
      <c r="L14" s="105">
        <v>6585.3</v>
      </c>
      <c r="M14" s="105"/>
      <c r="N14" s="105"/>
      <c r="O14" s="105">
        <v>6843.98</v>
      </c>
    </row>
    <row r="15">
      <c r="A15" s="200">
        <v>36.0</v>
      </c>
      <c r="B15" s="200">
        <v>3362.6824</v>
      </c>
      <c r="C15" s="200" t="s">
        <v>5314</v>
      </c>
      <c r="D15" s="200" t="s">
        <v>5315</v>
      </c>
      <c r="E15" s="200">
        <v>36.0</v>
      </c>
      <c r="F15" s="200">
        <v>7185.88</v>
      </c>
      <c r="G15" s="200" t="s">
        <v>5314</v>
      </c>
      <c r="H15" s="200" t="s">
        <v>5315</v>
      </c>
      <c r="I15" s="1" t="b">
        <f t="shared" si="1"/>
        <v>1</v>
      </c>
      <c r="J15" s="202" t="s">
        <v>5327</v>
      </c>
      <c r="K15" s="203"/>
      <c r="L15" s="105">
        <v>1586.74</v>
      </c>
      <c r="M15" s="105"/>
      <c r="N15" s="105"/>
      <c r="O15" s="105">
        <v>1672.01</v>
      </c>
    </row>
    <row r="16">
      <c r="A16" s="201">
        <v>39.0</v>
      </c>
      <c r="B16" s="201">
        <v>3724.6746</v>
      </c>
      <c r="C16" s="201" t="s">
        <v>5314</v>
      </c>
      <c r="D16" s="201" t="s">
        <v>5315</v>
      </c>
      <c r="E16" s="201">
        <v>39.0</v>
      </c>
      <c r="F16" s="201">
        <v>19519.6139</v>
      </c>
      <c r="G16" s="201" t="s">
        <v>5314</v>
      </c>
      <c r="H16" s="201" t="s">
        <v>5315</v>
      </c>
      <c r="I16" s="1" t="b">
        <f t="shared" si="1"/>
        <v>1</v>
      </c>
      <c r="J16" s="202" t="s">
        <v>5328</v>
      </c>
      <c r="K16" s="203"/>
      <c r="L16" s="105">
        <v>21145.82</v>
      </c>
      <c r="M16" s="105"/>
      <c r="N16" s="105"/>
      <c r="O16" s="105">
        <v>21364.1</v>
      </c>
    </row>
    <row r="17">
      <c r="A17" s="200">
        <v>40.0</v>
      </c>
      <c r="B17" s="200">
        <v>3552.9281</v>
      </c>
      <c r="C17" s="200" t="s">
        <v>5314</v>
      </c>
      <c r="D17" s="200" t="s">
        <v>5315</v>
      </c>
      <c r="E17" s="200">
        <v>40.0</v>
      </c>
      <c r="F17" s="200">
        <v>24664.124</v>
      </c>
      <c r="G17" s="200" t="s">
        <v>5314</v>
      </c>
      <c r="H17" s="200" t="s">
        <v>5315</v>
      </c>
      <c r="I17" s="1" t="b">
        <f t="shared" si="1"/>
        <v>1</v>
      </c>
      <c r="J17" s="202" t="s">
        <v>5329</v>
      </c>
      <c r="K17" s="203"/>
      <c r="L17" s="105">
        <v>171484.56</v>
      </c>
      <c r="M17" s="105"/>
      <c r="N17" s="105"/>
      <c r="O17" s="105">
        <v>177577.68</v>
      </c>
    </row>
    <row r="18">
      <c r="A18" s="201">
        <v>43.0</v>
      </c>
      <c r="B18" s="201">
        <v>3444.6467</v>
      </c>
      <c r="C18" s="201" t="s">
        <v>5314</v>
      </c>
      <c r="D18" s="201" t="s">
        <v>5315</v>
      </c>
      <c r="E18" s="201">
        <v>43.0</v>
      </c>
      <c r="F18" s="201">
        <v>15564.5979</v>
      </c>
      <c r="G18" s="201" t="s">
        <v>5314</v>
      </c>
      <c r="H18" s="201" t="s">
        <v>5315</v>
      </c>
      <c r="I18" s="1" t="b">
        <f t="shared" si="1"/>
        <v>1</v>
      </c>
      <c r="J18" s="202" t="s">
        <v>5330</v>
      </c>
      <c r="K18" s="203"/>
      <c r="L18" s="105">
        <v>5898.55</v>
      </c>
      <c r="M18" s="105"/>
      <c r="N18" s="105"/>
      <c r="O18" s="105">
        <v>6037.13</v>
      </c>
    </row>
    <row r="19">
      <c r="A19" s="200">
        <v>44.0</v>
      </c>
      <c r="B19" s="200">
        <v>3013.7722</v>
      </c>
      <c r="C19" s="200" t="s">
        <v>5314</v>
      </c>
      <c r="D19" s="200" t="s">
        <v>5315</v>
      </c>
      <c r="E19" s="200">
        <v>44.0</v>
      </c>
      <c r="F19" s="200">
        <v>9396.1036</v>
      </c>
      <c r="G19" s="200" t="s">
        <v>5314</v>
      </c>
      <c r="H19" s="200" t="s">
        <v>5315</v>
      </c>
      <c r="I19" s="1" t="b">
        <f t="shared" si="1"/>
        <v>1</v>
      </c>
      <c r="J19" s="202" t="s">
        <v>5331</v>
      </c>
      <c r="K19" s="203"/>
      <c r="L19" s="105">
        <v>24487.28</v>
      </c>
      <c r="M19" s="105"/>
      <c r="N19" s="105"/>
      <c r="O19" s="105">
        <v>23208.57</v>
      </c>
    </row>
    <row r="20">
      <c r="A20" s="201">
        <v>46.0</v>
      </c>
      <c r="B20" s="201">
        <v>2735.4511</v>
      </c>
      <c r="C20" s="201" t="s">
        <v>5314</v>
      </c>
      <c r="D20" s="201" t="s">
        <v>5315</v>
      </c>
      <c r="E20" s="201">
        <v>46.0</v>
      </c>
      <c r="F20" s="201">
        <v>26434.5801</v>
      </c>
      <c r="G20" s="201" t="s">
        <v>5314</v>
      </c>
      <c r="H20" s="201" t="s">
        <v>5315</v>
      </c>
      <c r="I20" s="1" t="b">
        <f t="shared" si="1"/>
        <v>1</v>
      </c>
      <c r="J20" s="202" t="s">
        <v>5332</v>
      </c>
      <c r="K20" s="203"/>
      <c r="L20" s="105">
        <v>15940.35</v>
      </c>
      <c r="M20" s="105"/>
      <c r="N20" s="105"/>
      <c r="O20" s="105">
        <v>18120.18</v>
      </c>
    </row>
    <row r="21">
      <c r="A21" s="200">
        <v>47.0</v>
      </c>
      <c r="B21" s="200">
        <v>2543.613</v>
      </c>
      <c r="C21" s="200" t="s">
        <v>5314</v>
      </c>
      <c r="D21" s="200" t="s">
        <v>5315</v>
      </c>
      <c r="E21" s="200">
        <v>47.0</v>
      </c>
      <c r="F21" s="200">
        <v>29568.4465</v>
      </c>
      <c r="G21" s="200" t="s">
        <v>5314</v>
      </c>
      <c r="H21" s="200" t="s">
        <v>5315</v>
      </c>
      <c r="I21" s="1" t="b">
        <f t="shared" si="1"/>
        <v>1</v>
      </c>
      <c r="J21" s="202" t="s">
        <v>5333</v>
      </c>
      <c r="K21" s="203"/>
      <c r="L21" s="105">
        <v>51519.47</v>
      </c>
      <c r="M21" s="105"/>
      <c r="N21" s="105"/>
      <c r="O21" s="105">
        <v>55317.34</v>
      </c>
    </row>
    <row r="22">
      <c r="A22" s="201">
        <v>48.0</v>
      </c>
      <c r="B22" s="201">
        <v>3720.7373</v>
      </c>
      <c r="C22" s="201" t="s">
        <v>5314</v>
      </c>
      <c r="D22" s="201" t="s">
        <v>5315</v>
      </c>
      <c r="E22" s="201">
        <v>48.0</v>
      </c>
      <c r="F22" s="201">
        <v>21672.4291</v>
      </c>
      <c r="G22" s="201" t="s">
        <v>5314</v>
      </c>
      <c r="H22" s="201" t="s">
        <v>5315</v>
      </c>
      <c r="I22" s="1" t="b">
        <f t="shared" si="1"/>
        <v>1</v>
      </c>
      <c r="J22" s="202" t="s">
        <v>5334</v>
      </c>
      <c r="K22" s="203"/>
      <c r="L22" s="105">
        <v>21282.31</v>
      </c>
      <c r="M22" s="105"/>
      <c r="N22" s="105"/>
      <c r="O22" s="105">
        <v>22357.78</v>
      </c>
    </row>
    <row r="23">
      <c r="A23" s="200">
        <v>49.0</v>
      </c>
      <c r="B23" s="200">
        <v>2014.7593</v>
      </c>
      <c r="C23" s="200" t="s">
        <v>5314</v>
      </c>
      <c r="D23" s="200" t="s">
        <v>5315</v>
      </c>
      <c r="E23" s="200">
        <v>49.0</v>
      </c>
      <c r="F23" s="200">
        <v>20560.6168</v>
      </c>
      <c r="G23" s="200" t="s">
        <v>5314</v>
      </c>
      <c r="H23" s="200" t="s">
        <v>5315</v>
      </c>
      <c r="I23" s="1" t="b">
        <f t="shared" si="1"/>
        <v>1</v>
      </c>
      <c r="J23" s="202" t="s">
        <v>5335</v>
      </c>
      <c r="K23" s="203"/>
      <c r="L23" s="105">
        <v>108179.9</v>
      </c>
      <c r="M23" s="105"/>
      <c r="N23" s="105"/>
      <c r="O23" s="105">
        <v>118343.62</v>
      </c>
    </row>
    <row r="24">
      <c r="A24" s="201">
        <v>5.0</v>
      </c>
      <c r="B24" s="201">
        <v>3078.0861</v>
      </c>
      <c r="C24" s="201" t="s">
        <v>5314</v>
      </c>
      <c r="D24" s="201" t="s">
        <v>5315</v>
      </c>
      <c r="E24" s="201">
        <v>5.0</v>
      </c>
      <c r="F24" s="201">
        <v>7321.4524</v>
      </c>
      <c r="G24" s="201" t="s">
        <v>5314</v>
      </c>
      <c r="H24" s="201" t="s">
        <v>5315</v>
      </c>
      <c r="I24" s="1" t="b">
        <f t="shared" si="1"/>
        <v>1</v>
      </c>
      <c r="J24" s="202" t="s">
        <v>5336</v>
      </c>
      <c r="K24" s="203"/>
      <c r="L24" s="105">
        <v>58019.84</v>
      </c>
      <c r="M24" s="105"/>
      <c r="N24" s="105"/>
      <c r="O24" s="105">
        <v>63238.16</v>
      </c>
    </row>
    <row r="25">
      <c r="A25" s="200">
        <v>50.0</v>
      </c>
      <c r="B25" s="200">
        <v>2817.764</v>
      </c>
      <c r="C25" s="200" t="s">
        <v>5314</v>
      </c>
      <c r="D25" s="200" t="s">
        <v>5315</v>
      </c>
      <c r="E25" s="200">
        <v>50.0</v>
      </c>
      <c r="F25" s="200">
        <v>28060.1158</v>
      </c>
      <c r="G25" s="200" t="s">
        <v>5314</v>
      </c>
      <c r="H25" s="200" t="s">
        <v>5315</v>
      </c>
      <c r="I25" s="1" t="b">
        <f t="shared" si="1"/>
        <v>1</v>
      </c>
      <c r="J25" s="202" t="s">
        <v>5337</v>
      </c>
      <c r="K25" s="203"/>
      <c r="L25" s="105">
        <v>19687.82</v>
      </c>
      <c r="M25" s="105"/>
      <c r="N25" s="105"/>
      <c r="O25" s="105">
        <v>19552.47</v>
      </c>
    </row>
    <row r="26">
      <c r="A26" s="201">
        <v>53.0</v>
      </c>
      <c r="B26" s="201">
        <v>3124.1236</v>
      </c>
      <c r="C26" s="201" t="s">
        <v>5314</v>
      </c>
      <c r="D26" s="201" t="s">
        <v>5315</v>
      </c>
      <c r="E26" s="201">
        <v>53.0</v>
      </c>
      <c r="F26" s="201">
        <v>19745.346</v>
      </c>
      <c r="G26" s="201" t="s">
        <v>5314</v>
      </c>
      <c r="H26" s="201" t="s">
        <v>5315</v>
      </c>
      <c r="I26" s="1" t="b">
        <f t="shared" si="1"/>
        <v>1</v>
      </c>
      <c r="J26" s="202" t="s">
        <v>5338</v>
      </c>
      <c r="K26" s="203"/>
      <c r="L26" s="105">
        <v>4837.61</v>
      </c>
      <c r="M26" s="105"/>
      <c r="N26" s="105"/>
      <c r="O26" s="105">
        <v>5582.79</v>
      </c>
    </row>
    <row r="27">
      <c r="A27" s="200">
        <v>54.0</v>
      </c>
      <c r="B27" s="200">
        <v>2236.8529</v>
      </c>
      <c r="C27" s="200" t="s">
        <v>5314</v>
      </c>
      <c r="D27" s="200" t="s">
        <v>5315</v>
      </c>
      <c r="E27" s="200">
        <v>54.0</v>
      </c>
      <c r="F27" s="200">
        <v>29461.8628</v>
      </c>
      <c r="G27" s="200" t="s">
        <v>5314</v>
      </c>
      <c r="H27" s="200" t="s">
        <v>5315</v>
      </c>
      <c r="I27" s="1" t="b">
        <f t="shared" si="1"/>
        <v>1</v>
      </c>
      <c r="J27" s="202" t="s">
        <v>5339</v>
      </c>
      <c r="K27" s="203"/>
      <c r="L27" s="105">
        <v>33515.49</v>
      </c>
      <c r="M27" s="105"/>
      <c r="N27" s="105"/>
      <c r="O27" s="105">
        <v>33584.4</v>
      </c>
    </row>
    <row r="28">
      <c r="A28" s="201">
        <v>56.0</v>
      </c>
      <c r="B28" s="201">
        <v>2181.4847</v>
      </c>
      <c r="C28" s="201" t="s">
        <v>5314</v>
      </c>
      <c r="D28" s="201" t="s">
        <v>5315</v>
      </c>
      <c r="E28" s="201">
        <v>56.0</v>
      </c>
      <c r="F28" s="201">
        <v>82096.5978</v>
      </c>
      <c r="G28" s="201" t="s">
        <v>5314</v>
      </c>
      <c r="H28" s="201" t="s">
        <v>5315</v>
      </c>
      <c r="I28" s="1" t="b">
        <f t="shared" si="1"/>
        <v>1</v>
      </c>
      <c r="J28" s="202" t="s">
        <v>5340</v>
      </c>
      <c r="K28" s="203"/>
      <c r="L28" s="105">
        <v>10972.76</v>
      </c>
      <c r="M28" s="105"/>
      <c r="N28" s="105"/>
      <c r="O28" s="105">
        <v>10563.22</v>
      </c>
    </row>
    <row r="29">
      <c r="A29" s="200">
        <v>57.0</v>
      </c>
      <c r="B29" s="200">
        <v>2482.549</v>
      </c>
      <c r="C29" s="200" t="s">
        <v>5314</v>
      </c>
      <c r="D29" s="200" t="s">
        <v>5315</v>
      </c>
      <c r="E29" s="200">
        <v>57.0</v>
      </c>
      <c r="F29" s="200">
        <v>36430.7763</v>
      </c>
      <c r="G29" s="200" t="s">
        <v>5314</v>
      </c>
      <c r="H29" s="200" t="s">
        <v>5315</v>
      </c>
      <c r="I29" s="1" t="b">
        <f t="shared" si="1"/>
        <v>1</v>
      </c>
      <c r="J29" s="202" t="s">
        <v>5341</v>
      </c>
      <c r="K29" s="203"/>
      <c r="L29" s="105">
        <v>48891.94</v>
      </c>
      <c r="M29" s="105"/>
      <c r="N29" s="105"/>
      <c r="O29" s="105">
        <v>68921.2</v>
      </c>
    </row>
    <row r="30">
      <c r="A30" s="201">
        <v>60.0</v>
      </c>
      <c r="B30" s="201">
        <v>3529.1917</v>
      </c>
      <c r="C30" s="201" t="s">
        <v>5314</v>
      </c>
      <c r="D30" s="201" t="s">
        <v>5315</v>
      </c>
      <c r="E30" s="201">
        <v>60.0</v>
      </c>
      <c r="F30" s="201">
        <v>21294.2434</v>
      </c>
      <c r="G30" s="201" t="s">
        <v>5314</v>
      </c>
      <c r="H30" s="201" t="s">
        <v>5315</v>
      </c>
      <c r="I30" s="1" t="b">
        <f t="shared" si="1"/>
        <v>1</v>
      </c>
      <c r="J30" s="202" t="s">
        <v>5342</v>
      </c>
      <c r="K30" s="203"/>
      <c r="L30" s="105">
        <v>1972928.45</v>
      </c>
      <c r="M30" s="105"/>
      <c r="N30" s="105"/>
      <c r="O30" s="105">
        <v>1992846.33</v>
      </c>
    </row>
    <row r="31">
      <c r="A31" s="200">
        <v>62.0</v>
      </c>
      <c r="B31" s="200">
        <v>2176.6046</v>
      </c>
      <c r="C31" s="200" t="s">
        <v>5314</v>
      </c>
      <c r="D31" s="200" t="s">
        <v>5315</v>
      </c>
      <c r="E31" s="200">
        <v>62.0</v>
      </c>
      <c r="F31" s="200">
        <v>55015.4686</v>
      </c>
      <c r="G31" s="200" t="s">
        <v>5314</v>
      </c>
      <c r="H31" s="200" t="s">
        <v>5315</v>
      </c>
      <c r="I31" s="1" t="b">
        <f t="shared" si="1"/>
        <v>1</v>
      </c>
      <c r="J31" s="202" t="s">
        <v>5343</v>
      </c>
      <c r="K31" s="203"/>
      <c r="L31" s="105">
        <v>230087.9</v>
      </c>
      <c r="M31" s="105"/>
      <c r="N31" s="105"/>
      <c r="O31" s="105">
        <v>247702.77</v>
      </c>
    </row>
    <row r="32">
      <c r="A32" s="201">
        <v>64.0</v>
      </c>
      <c r="B32" s="201">
        <v>3302.3141</v>
      </c>
      <c r="C32" s="201" t="s">
        <v>5314</v>
      </c>
      <c r="D32" s="201" t="s">
        <v>5315</v>
      </c>
      <c r="E32" s="201">
        <v>64.0</v>
      </c>
      <c r="F32" s="201">
        <v>39272.3293</v>
      </c>
      <c r="G32" s="201" t="s">
        <v>5314</v>
      </c>
      <c r="H32" s="201" t="s">
        <v>5315</v>
      </c>
      <c r="I32" s="1" t="b">
        <f t="shared" si="1"/>
        <v>1</v>
      </c>
      <c r="J32" s="202" t="s">
        <v>5344</v>
      </c>
      <c r="K32" s="203"/>
      <c r="L32" s="105">
        <v>15536.61</v>
      </c>
      <c r="M32" s="105"/>
      <c r="N32" s="105"/>
      <c r="O32" s="105">
        <v>22050.35</v>
      </c>
    </row>
    <row r="33">
      <c r="A33" s="200">
        <v>65.0</v>
      </c>
      <c r="B33" s="200">
        <v>2194.3159</v>
      </c>
      <c r="C33" s="200" t="s">
        <v>5314</v>
      </c>
      <c r="D33" s="200" t="s">
        <v>5315</v>
      </c>
      <c r="E33" s="200">
        <v>65.0</v>
      </c>
      <c r="F33" s="200">
        <v>21539.4226</v>
      </c>
      <c r="G33" s="200" t="s">
        <v>5314</v>
      </c>
      <c r="H33" s="200" t="s">
        <v>5315</v>
      </c>
      <c r="I33" s="1" t="b">
        <f t="shared" si="1"/>
        <v>1</v>
      </c>
      <c r="J33" s="202" t="s">
        <v>5345</v>
      </c>
      <c r="K33" s="203"/>
      <c r="L33" s="105">
        <v>4066.48</v>
      </c>
      <c r="M33" s="105"/>
      <c r="N33" s="105"/>
      <c r="O33" s="105">
        <v>3601.6</v>
      </c>
    </row>
    <row r="34">
      <c r="A34" s="201">
        <v>70.0</v>
      </c>
      <c r="B34" s="201">
        <v>2954.0196</v>
      </c>
      <c r="C34" s="201" t="s">
        <v>5314</v>
      </c>
      <c r="D34" s="201" t="s">
        <v>5315</v>
      </c>
      <c r="E34" s="201">
        <v>70.0</v>
      </c>
      <c r="F34" s="201">
        <v>36620.0809</v>
      </c>
      <c r="G34" s="201" t="s">
        <v>5314</v>
      </c>
      <c r="H34" s="201" t="s">
        <v>5315</v>
      </c>
      <c r="I34" s="1" t="b">
        <f t="shared" si="1"/>
        <v>1</v>
      </c>
      <c r="J34" s="202" t="s">
        <v>5346</v>
      </c>
      <c r="K34" s="203"/>
      <c r="L34" s="105">
        <v>189946.0</v>
      </c>
      <c r="M34" s="105"/>
      <c r="N34" s="105"/>
      <c r="O34" s="105">
        <v>195352.64</v>
      </c>
    </row>
    <row r="35">
      <c r="A35" s="200">
        <v>71.0</v>
      </c>
      <c r="B35" s="200">
        <v>3799.5279</v>
      </c>
      <c r="C35" s="200" t="s">
        <v>5314</v>
      </c>
      <c r="D35" s="200" t="s">
        <v>5315</v>
      </c>
      <c r="E35" s="200">
        <v>71.0</v>
      </c>
      <c r="F35" s="200">
        <v>8983.406</v>
      </c>
      <c r="G35" s="200" t="s">
        <v>5314</v>
      </c>
      <c r="H35" s="200" t="s">
        <v>5315</v>
      </c>
      <c r="I35" s="1" t="b">
        <f t="shared" si="1"/>
        <v>1</v>
      </c>
      <c r="J35" s="202" t="s">
        <v>5347</v>
      </c>
      <c r="K35" s="203"/>
      <c r="L35" s="105">
        <v>632176.73</v>
      </c>
      <c r="M35" s="105"/>
      <c r="N35" s="105"/>
      <c r="O35" s="105">
        <v>645612.73</v>
      </c>
    </row>
    <row r="36">
      <c r="A36" s="201">
        <v>8.0</v>
      </c>
      <c r="B36" s="201">
        <v>1925.6502</v>
      </c>
      <c r="C36" s="201" t="s">
        <v>5314</v>
      </c>
      <c r="D36" s="201" t="s">
        <v>5315</v>
      </c>
      <c r="E36" s="201">
        <v>8.0</v>
      </c>
      <c r="F36" s="201">
        <v>11862.0908</v>
      </c>
      <c r="G36" s="201" t="s">
        <v>5314</v>
      </c>
      <c r="H36" s="201" t="s">
        <v>5315</v>
      </c>
      <c r="I36" s="1" t="b">
        <f t="shared" si="1"/>
        <v>1</v>
      </c>
      <c r="J36" s="202" t="s">
        <v>5348</v>
      </c>
      <c r="K36" s="203"/>
      <c r="L36" s="105">
        <v>7286.28</v>
      </c>
      <c r="M36" s="105"/>
      <c r="N36" s="105"/>
      <c r="O36" s="105">
        <v>7671.89</v>
      </c>
    </row>
    <row r="37">
      <c r="A37" s="200" t="s">
        <v>5349</v>
      </c>
      <c r="B37" s="200">
        <v>2512.261</v>
      </c>
      <c r="C37" s="200" t="s">
        <v>5350</v>
      </c>
      <c r="D37" s="200" t="s">
        <v>5315</v>
      </c>
      <c r="E37" s="200" t="s">
        <v>5349</v>
      </c>
      <c r="F37" s="200">
        <v>7277.6241</v>
      </c>
      <c r="G37" s="200" t="s">
        <v>5350</v>
      </c>
      <c r="H37" s="200" t="s">
        <v>5315</v>
      </c>
      <c r="I37" s="1" t="b">
        <f t="shared" si="1"/>
        <v>1</v>
      </c>
      <c r="J37" s="202" t="s">
        <v>5351</v>
      </c>
      <c r="K37" s="203"/>
      <c r="L37" s="105">
        <v>71384.85</v>
      </c>
      <c r="M37" s="105"/>
      <c r="N37" s="105"/>
      <c r="O37" s="105">
        <v>69963.16</v>
      </c>
    </row>
    <row r="38">
      <c r="A38" s="201" t="s">
        <v>5352</v>
      </c>
      <c r="B38" s="201">
        <v>2714.3942</v>
      </c>
      <c r="C38" s="201" t="s">
        <v>5350</v>
      </c>
      <c r="D38" s="201" t="s">
        <v>5315</v>
      </c>
      <c r="E38" s="201" t="s">
        <v>5352</v>
      </c>
      <c r="F38" s="201">
        <v>13618.2885</v>
      </c>
      <c r="G38" s="201" t="s">
        <v>5350</v>
      </c>
      <c r="H38" s="201" t="s">
        <v>5315</v>
      </c>
      <c r="I38" s="1" t="b">
        <f t="shared" si="1"/>
        <v>1</v>
      </c>
      <c r="J38" s="202" t="s">
        <v>5353</v>
      </c>
      <c r="K38" s="203"/>
      <c r="L38" s="105">
        <v>1.1338931E7</v>
      </c>
      <c r="M38" s="105"/>
      <c r="N38" s="105"/>
      <c r="O38" s="105">
        <v>1.168435349E7</v>
      </c>
    </row>
    <row r="39">
      <c r="A39" s="200" t="s">
        <v>5354</v>
      </c>
      <c r="B39" s="200">
        <v>1461.0714</v>
      </c>
      <c r="C39" s="200" t="s">
        <v>5350</v>
      </c>
      <c r="D39" s="200" t="s">
        <v>5315</v>
      </c>
      <c r="E39" s="200" t="s">
        <v>5354</v>
      </c>
      <c r="F39" s="200">
        <v>12088.024</v>
      </c>
      <c r="G39" s="200" t="s">
        <v>5350</v>
      </c>
      <c r="H39" s="200" t="s">
        <v>5315</v>
      </c>
      <c r="I39" s="1" t="b">
        <f t="shared" si="1"/>
        <v>1</v>
      </c>
      <c r="J39" s="202" t="s">
        <v>5355</v>
      </c>
      <c r="K39" s="203"/>
      <c r="L39" s="105">
        <v>14501.69</v>
      </c>
      <c r="M39" s="105"/>
      <c r="N39" s="105"/>
      <c r="O39" s="105">
        <v>15070.73</v>
      </c>
    </row>
    <row r="40">
      <c r="A40" s="201" t="s">
        <v>5356</v>
      </c>
      <c r="B40" s="201">
        <v>2568.023</v>
      </c>
      <c r="C40" s="201" t="s">
        <v>5350</v>
      </c>
      <c r="D40" s="201" t="s">
        <v>5315</v>
      </c>
      <c r="E40" s="201" t="s">
        <v>5356</v>
      </c>
      <c r="F40" s="201">
        <v>8231.3748</v>
      </c>
      <c r="G40" s="201" t="s">
        <v>5350</v>
      </c>
      <c r="H40" s="201" t="s">
        <v>5315</v>
      </c>
      <c r="I40" s="1" t="b">
        <f t="shared" si="1"/>
        <v>1</v>
      </c>
      <c r="J40" s="202" t="s">
        <v>5357</v>
      </c>
      <c r="K40" s="203"/>
      <c r="L40" s="105">
        <v>20985.71</v>
      </c>
      <c r="M40" s="105"/>
      <c r="N40" s="105"/>
      <c r="O40" s="105">
        <v>21511.71</v>
      </c>
    </row>
    <row r="41">
      <c r="A41" s="200" t="s">
        <v>5358</v>
      </c>
      <c r="B41" s="200">
        <v>2793.7565</v>
      </c>
      <c r="C41" s="200" t="s">
        <v>5350</v>
      </c>
      <c r="D41" s="200" t="s">
        <v>5315</v>
      </c>
      <c r="E41" s="200" t="s">
        <v>5358</v>
      </c>
      <c r="F41" s="200">
        <v>21642.7808</v>
      </c>
      <c r="G41" s="200" t="s">
        <v>5350</v>
      </c>
      <c r="H41" s="200" t="s">
        <v>5315</v>
      </c>
      <c r="I41" s="1" t="b">
        <f t="shared" si="1"/>
        <v>1</v>
      </c>
      <c r="J41" s="202" t="s">
        <v>5359</v>
      </c>
      <c r="K41" s="203"/>
      <c r="L41" s="105">
        <v>3474.31</v>
      </c>
      <c r="M41" s="105"/>
      <c r="N41" s="105"/>
      <c r="O41" s="105">
        <v>3485.82</v>
      </c>
    </row>
    <row r="42">
      <c r="A42" s="201" t="s">
        <v>5360</v>
      </c>
      <c r="B42" s="201">
        <v>4328.4822</v>
      </c>
      <c r="C42" s="201" t="s">
        <v>5350</v>
      </c>
      <c r="D42" s="201" t="s">
        <v>5315</v>
      </c>
      <c r="E42" s="201" t="s">
        <v>5360</v>
      </c>
      <c r="F42" s="201">
        <v>13130.1484</v>
      </c>
      <c r="G42" s="201" t="s">
        <v>5350</v>
      </c>
      <c r="H42" s="201" t="s">
        <v>5315</v>
      </c>
      <c r="I42" s="1" t="b">
        <f t="shared" si="1"/>
        <v>1</v>
      </c>
      <c r="J42" s="202" t="s">
        <v>5361</v>
      </c>
      <c r="K42" s="203"/>
      <c r="L42" s="105">
        <v>36959.46</v>
      </c>
      <c r="M42" s="105"/>
      <c r="N42" s="105"/>
      <c r="O42" s="105">
        <v>51988.74</v>
      </c>
    </row>
    <row r="43">
      <c r="A43" s="200" t="s">
        <v>5362</v>
      </c>
      <c r="B43" s="200">
        <v>3041.5235</v>
      </c>
      <c r="C43" s="200" t="s">
        <v>5350</v>
      </c>
      <c r="D43" s="200" t="s">
        <v>5315</v>
      </c>
      <c r="E43" s="200" t="s">
        <v>5362</v>
      </c>
      <c r="F43" s="200">
        <v>8786.0931</v>
      </c>
      <c r="G43" s="200" t="s">
        <v>5350</v>
      </c>
      <c r="H43" s="200" t="s">
        <v>5315</v>
      </c>
      <c r="I43" s="1" t="b">
        <f t="shared" si="1"/>
        <v>1</v>
      </c>
      <c r="J43" s="202" t="s">
        <v>5363</v>
      </c>
      <c r="K43" s="203"/>
      <c r="L43" s="105">
        <v>49579.71</v>
      </c>
      <c r="M43" s="105"/>
      <c r="N43" s="105"/>
      <c r="O43" s="105">
        <v>47153.5</v>
      </c>
    </row>
    <row r="44">
      <c r="A44" s="201" t="s">
        <v>5364</v>
      </c>
      <c r="B44" s="201">
        <v>2622.6544</v>
      </c>
      <c r="C44" s="201" t="s">
        <v>5350</v>
      </c>
      <c r="D44" s="201" t="s">
        <v>5315</v>
      </c>
      <c r="E44" s="201" t="s">
        <v>5364</v>
      </c>
      <c r="F44" s="201">
        <v>13918.798</v>
      </c>
      <c r="G44" s="201" t="s">
        <v>5350</v>
      </c>
      <c r="H44" s="201" t="s">
        <v>5315</v>
      </c>
      <c r="I44" s="1" t="b">
        <f t="shared" si="1"/>
        <v>1</v>
      </c>
      <c r="J44" s="202" t="s">
        <v>5365</v>
      </c>
      <c r="K44" s="203"/>
      <c r="L44" s="105">
        <v>57668.27</v>
      </c>
      <c r="M44" s="105"/>
      <c r="N44" s="105"/>
      <c r="O44" s="105">
        <v>72701.2</v>
      </c>
    </row>
    <row r="45">
      <c r="A45" s="200" t="s">
        <v>5366</v>
      </c>
      <c r="B45" s="200">
        <v>2893.7585</v>
      </c>
      <c r="C45" s="200" t="s">
        <v>5350</v>
      </c>
      <c r="D45" s="200" t="s">
        <v>5315</v>
      </c>
      <c r="E45" s="200" t="s">
        <v>5366</v>
      </c>
      <c r="F45" s="200">
        <v>9570.7759</v>
      </c>
      <c r="G45" s="200" t="s">
        <v>5350</v>
      </c>
      <c r="H45" s="200" t="s">
        <v>5315</v>
      </c>
      <c r="I45" s="1" t="b">
        <f t="shared" si="1"/>
        <v>1</v>
      </c>
      <c r="J45" s="202" t="s">
        <v>5367</v>
      </c>
      <c r="K45" s="203"/>
      <c r="L45" s="105">
        <v>2073.13</v>
      </c>
      <c r="M45" s="105"/>
      <c r="N45" s="105"/>
      <c r="O45" s="105">
        <v>3135.18</v>
      </c>
    </row>
    <row r="46">
      <c r="A46" s="201" t="s">
        <v>5368</v>
      </c>
      <c r="B46" s="201">
        <v>2758.4755</v>
      </c>
      <c r="C46" s="201" t="s">
        <v>5350</v>
      </c>
      <c r="D46" s="201" t="s">
        <v>5315</v>
      </c>
      <c r="E46" s="201" t="s">
        <v>5368</v>
      </c>
      <c r="F46" s="201">
        <v>11743.0733</v>
      </c>
      <c r="G46" s="201" t="s">
        <v>5350</v>
      </c>
      <c r="H46" s="201" t="s">
        <v>5315</v>
      </c>
      <c r="I46" s="1" t="b">
        <f t="shared" si="1"/>
        <v>1</v>
      </c>
      <c r="J46" s="202" t="s">
        <v>5369</v>
      </c>
      <c r="K46" s="203"/>
      <c r="L46" s="105">
        <v>5220.03</v>
      </c>
      <c r="M46" s="105"/>
      <c r="N46" s="105"/>
      <c r="O46" s="105">
        <v>4659.74</v>
      </c>
    </row>
    <row r="47">
      <c r="A47" s="200" t="s">
        <v>5370</v>
      </c>
      <c r="B47" s="200">
        <v>2672.3947</v>
      </c>
      <c r="C47" s="200" t="s">
        <v>5350</v>
      </c>
      <c r="D47" s="200" t="s">
        <v>5315</v>
      </c>
      <c r="E47" s="200" t="s">
        <v>5370</v>
      </c>
      <c r="F47" s="200">
        <v>17466.8848</v>
      </c>
      <c r="G47" s="200" t="s">
        <v>5350</v>
      </c>
      <c r="H47" s="200" t="s">
        <v>5315</v>
      </c>
      <c r="I47" s="1" t="b">
        <f t="shared" si="1"/>
        <v>1</v>
      </c>
      <c r="J47" s="202" t="s">
        <v>5371</v>
      </c>
      <c r="K47" s="203"/>
      <c r="L47" s="105">
        <v>16612.98</v>
      </c>
      <c r="M47" s="105"/>
      <c r="N47" s="105"/>
      <c r="O47" s="105">
        <v>16867.79</v>
      </c>
    </row>
    <row r="48">
      <c r="A48" s="201" t="s">
        <v>5372</v>
      </c>
      <c r="B48" s="201">
        <v>4575.0354</v>
      </c>
      <c r="C48" s="201" t="s">
        <v>5350</v>
      </c>
      <c r="D48" s="201" t="s">
        <v>5315</v>
      </c>
      <c r="E48" s="201" t="s">
        <v>5372</v>
      </c>
      <c r="F48" s="201">
        <v>17945.8415</v>
      </c>
      <c r="G48" s="201" t="s">
        <v>5350</v>
      </c>
      <c r="H48" s="201" t="s">
        <v>5315</v>
      </c>
      <c r="I48" s="1" t="b">
        <f t="shared" si="1"/>
        <v>1</v>
      </c>
      <c r="J48" s="202" t="s">
        <v>5373</v>
      </c>
      <c r="K48" s="203"/>
      <c r="L48" s="105">
        <v>511951.93</v>
      </c>
      <c r="M48" s="105"/>
      <c r="N48" s="105"/>
      <c r="O48" s="105">
        <v>557130.7</v>
      </c>
    </row>
    <row r="49">
      <c r="A49" s="200" t="s">
        <v>5374</v>
      </c>
      <c r="B49" s="200">
        <v>3433.2708</v>
      </c>
      <c r="C49" s="200" t="s">
        <v>5350</v>
      </c>
      <c r="D49" s="200" t="s">
        <v>5315</v>
      </c>
      <c r="E49" s="200" t="s">
        <v>5374</v>
      </c>
      <c r="F49" s="200">
        <v>7847.3249</v>
      </c>
      <c r="G49" s="200" t="s">
        <v>5350</v>
      </c>
      <c r="H49" s="200" t="s">
        <v>5315</v>
      </c>
      <c r="I49" s="1" t="b">
        <f t="shared" si="1"/>
        <v>1</v>
      </c>
      <c r="J49" s="202" t="s">
        <v>5375</v>
      </c>
      <c r="K49" s="203"/>
      <c r="L49" s="105">
        <v>195032.7</v>
      </c>
      <c r="M49" s="105"/>
      <c r="N49" s="105"/>
      <c r="O49" s="105">
        <v>201415.3</v>
      </c>
    </row>
    <row r="50">
      <c r="A50" s="201" t="s">
        <v>5376</v>
      </c>
      <c r="B50" s="201">
        <v>2697.4799</v>
      </c>
      <c r="C50" s="201" t="s">
        <v>5350</v>
      </c>
      <c r="D50" s="201" t="s">
        <v>5315</v>
      </c>
      <c r="E50" s="201" t="s">
        <v>5376</v>
      </c>
      <c r="F50" s="201">
        <v>13888.4303</v>
      </c>
      <c r="G50" s="201" t="s">
        <v>5350</v>
      </c>
      <c r="H50" s="201" t="s">
        <v>5315</v>
      </c>
      <c r="I50" s="1" t="b">
        <f t="shared" si="1"/>
        <v>1</v>
      </c>
      <c r="J50" s="202" t="s">
        <v>5377</v>
      </c>
      <c r="K50" s="203"/>
      <c r="L50" s="105">
        <v>49019.96</v>
      </c>
      <c r="M50" s="105"/>
      <c r="N50" s="105"/>
      <c r="O50" s="105">
        <v>50372.12</v>
      </c>
    </row>
    <row r="51">
      <c r="A51" s="200" t="s">
        <v>5378</v>
      </c>
      <c r="B51" s="200">
        <v>3395.2174</v>
      </c>
      <c r="C51" s="200" t="s">
        <v>5350</v>
      </c>
      <c r="D51" s="200" t="s">
        <v>5315</v>
      </c>
      <c r="E51" s="200" t="s">
        <v>5378</v>
      </c>
      <c r="F51" s="200">
        <v>12650.2856</v>
      </c>
      <c r="G51" s="200" t="s">
        <v>5350</v>
      </c>
      <c r="H51" s="200" t="s">
        <v>5315</v>
      </c>
      <c r="I51" s="1" t="b">
        <f t="shared" si="1"/>
        <v>1</v>
      </c>
      <c r="J51" s="202" t="s">
        <v>5379</v>
      </c>
      <c r="K51" s="203"/>
      <c r="L51" s="105">
        <v>37410.32</v>
      </c>
      <c r="M51" s="105"/>
      <c r="N51" s="105"/>
      <c r="O51" s="105">
        <v>38753.03</v>
      </c>
    </row>
    <row r="52">
      <c r="A52" s="201" t="s">
        <v>5380</v>
      </c>
      <c r="B52" s="201">
        <v>2891.6087</v>
      </c>
      <c r="C52" s="201" t="s">
        <v>5350</v>
      </c>
      <c r="D52" s="201" t="s">
        <v>5315</v>
      </c>
      <c r="E52" s="201" t="s">
        <v>5380</v>
      </c>
      <c r="F52" s="201">
        <v>23382.6211</v>
      </c>
      <c r="G52" s="201" t="s">
        <v>5350</v>
      </c>
      <c r="H52" s="201" t="s">
        <v>5315</v>
      </c>
      <c r="I52" s="1" t="b">
        <f t="shared" si="1"/>
        <v>1</v>
      </c>
      <c r="J52" s="202" t="s">
        <v>5381</v>
      </c>
      <c r="K52" s="203"/>
      <c r="L52" s="105">
        <v>26849.94</v>
      </c>
      <c r="M52" s="105"/>
      <c r="N52" s="105"/>
      <c r="O52" s="105">
        <v>32496.6</v>
      </c>
    </row>
    <row r="53">
      <c r="A53" s="200" t="s">
        <v>5382</v>
      </c>
      <c r="B53" s="200">
        <v>3395.0743</v>
      </c>
      <c r="C53" s="200" t="s">
        <v>5350</v>
      </c>
      <c r="D53" s="200" t="s">
        <v>5315</v>
      </c>
      <c r="E53" s="200" t="s">
        <v>5382</v>
      </c>
      <c r="F53" s="200">
        <v>38865.7439</v>
      </c>
      <c r="G53" s="200" t="s">
        <v>5350</v>
      </c>
      <c r="H53" s="200" t="s">
        <v>5315</v>
      </c>
      <c r="I53" s="1" t="b">
        <f t="shared" si="1"/>
        <v>1</v>
      </c>
      <c r="J53" s="202" t="s">
        <v>5383</v>
      </c>
      <c r="K53" s="203"/>
      <c r="L53" s="105">
        <v>1248.69</v>
      </c>
      <c r="M53" s="105"/>
      <c r="N53" s="105"/>
      <c r="O53" s="105">
        <v>1306.2</v>
      </c>
    </row>
    <row r="54">
      <c r="A54" s="201" t="s">
        <v>5384</v>
      </c>
      <c r="B54" s="201">
        <v>2952.6489</v>
      </c>
      <c r="C54" s="201" t="s">
        <v>5350</v>
      </c>
      <c r="D54" s="201" t="s">
        <v>5315</v>
      </c>
      <c r="E54" s="201" t="s">
        <v>5384</v>
      </c>
      <c r="F54" s="201">
        <v>28247.3381</v>
      </c>
      <c r="G54" s="201" t="s">
        <v>5350</v>
      </c>
      <c r="H54" s="201" t="s">
        <v>5315</v>
      </c>
      <c r="I54" s="1" t="b">
        <f t="shared" si="1"/>
        <v>1</v>
      </c>
      <c r="J54" s="202" t="s">
        <v>5385</v>
      </c>
      <c r="K54" s="203"/>
      <c r="L54" s="105">
        <v>3138.82</v>
      </c>
      <c r="M54" s="105"/>
      <c r="N54" s="105"/>
      <c r="O54" s="105">
        <v>3791.97</v>
      </c>
    </row>
    <row r="55">
      <c r="A55" s="200" t="s">
        <v>5386</v>
      </c>
      <c r="B55" s="200">
        <v>2879.596</v>
      </c>
      <c r="C55" s="200" t="s">
        <v>5350</v>
      </c>
      <c r="D55" s="200" t="s">
        <v>5315</v>
      </c>
      <c r="E55" s="200" t="s">
        <v>5386</v>
      </c>
      <c r="F55" s="200">
        <v>23440.5182</v>
      </c>
      <c r="G55" s="200" t="s">
        <v>5350</v>
      </c>
      <c r="H55" s="200" t="s">
        <v>5315</v>
      </c>
      <c r="I55" s="1" t="b">
        <f t="shared" si="1"/>
        <v>1</v>
      </c>
      <c r="J55" s="202" t="s">
        <v>5387</v>
      </c>
      <c r="K55" s="203"/>
      <c r="L55" s="105">
        <v>36619.28</v>
      </c>
      <c r="M55" s="105"/>
      <c r="N55" s="105"/>
      <c r="O55" s="105">
        <v>37964.43</v>
      </c>
    </row>
    <row r="56">
      <c r="A56" s="201" t="s">
        <v>5388</v>
      </c>
      <c r="B56" s="201">
        <v>1486.7288</v>
      </c>
      <c r="C56" s="201" t="s">
        <v>5350</v>
      </c>
      <c r="D56" s="201" t="s">
        <v>5315</v>
      </c>
      <c r="E56" s="201" t="s">
        <v>5388</v>
      </c>
      <c r="F56" s="201">
        <v>31822.4247</v>
      </c>
      <c r="G56" s="201" t="s">
        <v>5350</v>
      </c>
      <c r="H56" s="201" t="s">
        <v>5315</v>
      </c>
      <c r="I56" s="1" t="b">
        <f t="shared" si="1"/>
        <v>1</v>
      </c>
      <c r="J56" s="202" t="s">
        <v>5389</v>
      </c>
      <c r="K56" s="203"/>
      <c r="L56" s="105">
        <v>10141.19</v>
      </c>
      <c r="M56" s="105"/>
      <c r="N56" s="105"/>
      <c r="O56" s="105">
        <v>10755.88</v>
      </c>
    </row>
    <row r="57">
      <c r="A57" s="200" t="s">
        <v>5390</v>
      </c>
      <c r="B57" s="200">
        <v>2797.8125</v>
      </c>
      <c r="C57" s="200" t="s">
        <v>5350</v>
      </c>
      <c r="D57" s="200" t="s">
        <v>5315</v>
      </c>
      <c r="E57" s="200" t="s">
        <v>5390</v>
      </c>
      <c r="F57" s="200">
        <v>16263.2853</v>
      </c>
      <c r="G57" s="200" t="s">
        <v>5350</v>
      </c>
      <c r="H57" s="200" t="s">
        <v>5315</v>
      </c>
      <c r="I57" s="1" t="b">
        <f t="shared" si="1"/>
        <v>1</v>
      </c>
      <c r="J57" s="202" t="s">
        <v>5391</v>
      </c>
      <c r="K57" s="203"/>
      <c r="L57" s="105">
        <v>2677.66</v>
      </c>
      <c r="M57" s="105"/>
      <c r="N57" s="105"/>
      <c r="O57" s="105">
        <v>3479.85</v>
      </c>
    </row>
    <row r="58">
      <c r="A58" s="201" t="s">
        <v>5392</v>
      </c>
      <c r="B58" s="201">
        <v>4795.1554</v>
      </c>
      <c r="C58" s="201" t="s">
        <v>5350</v>
      </c>
      <c r="D58" s="201" t="s">
        <v>5315</v>
      </c>
      <c r="E58" s="201" t="s">
        <v>5392</v>
      </c>
      <c r="F58" s="201">
        <v>36310.4475</v>
      </c>
      <c r="G58" s="201" t="s">
        <v>5350</v>
      </c>
      <c r="H58" s="201" t="s">
        <v>5315</v>
      </c>
      <c r="I58" s="1" t="b">
        <f t="shared" si="1"/>
        <v>1</v>
      </c>
      <c r="J58" s="202" t="s">
        <v>5393</v>
      </c>
      <c r="K58" s="203"/>
      <c r="L58" s="105">
        <v>59975.98</v>
      </c>
      <c r="M58" s="105"/>
      <c r="N58" s="105"/>
      <c r="O58" s="105">
        <v>68842.1</v>
      </c>
    </row>
    <row r="59">
      <c r="A59" s="200" t="s">
        <v>5394</v>
      </c>
      <c r="B59" s="200">
        <v>3126.1579</v>
      </c>
      <c r="C59" s="200" t="s">
        <v>5350</v>
      </c>
      <c r="D59" s="200" t="s">
        <v>5315</v>
      </c>
      <c r="E59" s="200" t="s">
        <v>5394</v>
      </c>
      <c r="F59" s="200">
        <v>21514.8143</v>
      </c>
      <c r="G59" s="200" t="s">
        <v>5350</v>
      </c>
      <c r="H59" s="200" t="s">
        <v>5315</v>
      </c>
      <c r="I59" s="1" t="b">
        <f t="shared" si="1"/>
        <v>1</v>
      </c>
      <c r="J59" s="202" t="s">
        <v>5395</v>
      </c>
      <c r="K59" s="203"/>
      <c r="L59" s="105">
        <v>95804.88</v>
      </c>
      <c r="M59" s="105"/>
      <c r="N59" s="105"/>
      <c r="O59" s="105">
        <v>99615.93</v>
      </c>
    </row>
    <row r="60">
      <c r="A60" s="201" t="s">
        <v>5396</v>
      </c>
      <c r="B60" s="201">
        <v>2578.9188</v>
      </c>
      <c r="C60" s="201" t="s">
        <v>5350</v>
      </c>
      <c r="D60" s="201" t="s">
        <v>5315</v>
      </c>
      <c r="E60" s="201" t="s">
        <v>5396</v>
      </c>
      <c r="F60" s="201">
        <v>17927.4078</v>
      </c>
      <c r="G60" s="201" t="s">
        <v>5350</v>
      </c>
      <c r="H60" s="201" t="s">
        <v>5315</v>
      </c>
      <c r="I60" s="1" t="b">
        <f t="shared" si="1"/>
        <v>1</v>
      </c>
      <c r="J60" s="202" t="s">
        <v>5397</v>
      </c>
      <c r="K60" s="203"/>
      <c r="L60" s="105">
        <v>4250608.19</v>
      </c>
      <c r="M60" s="105"/>
      <c r="N60" s="105"/>
      <c r="O60" s="105">
        <v>4473589.09</v>
      </c>
    </row>
    <row r="61">
      <c r="A61" s="200" t="s">
        <v>5398</v>
      </c>
      <c r="B61" s="200">
        <v>2845.79</v>
      </c>
      <c r="C61" s="200" t="s">
        <v>5350</v>
      </c>
      <c r="D61" s="200" t="s">
        <v>5315</v>
      </c>
      <c r="E61" s="200" t="s">
        <v>5398</v>
      </c>
      <c r="F61" s="200">
        <v>18964.004</v>
      </c>
      <c r="G61" s="200" t="s">
        <v>5350</v>
      </c>
      <c r="H61" s="200" t="s">
        <v>5315</v>
      </c>
      <c r="I61" s="1" t="b">
        <f t="shared" si="1"/>
        <v>1</v>
      </c>
      <c r="J61" s="202" t="s">
        <v>5399</v>
      </c>
      <c r="K61" s="203"/>
      <c r="L61" s="105">
        <v>117992.25</v>
      </c>
      <c r="M61" s="105"/>
      <c r="N61" s="105"/>
      <c r="O61" s="105">
        <v>120232.51</v>
      </c>
    </row>
    <row r="62">
      <c r="A62" s="201" t="s">
        <v>5400</v>
      </c>
      <c r="B62" s="201">
        <v>3128.1957</v>
      </c>
      <c r="C62" s="201" t="s">
        <v>5350</v>
      </c>
      <c r="D62" s="201" t="s">
        <v>5315</v>
      </c>
      <c r="E62" s="201" t="s">
        <v>5400</v>
      </c>
      <c r="F62" s="201">
        <v>34107.7595</v>
      </c>
      <c r="G62" s="201" t="s">
        <v>5350</v>
      </c>
      <c r="H62" s="201" t="s">
        <v>5315</v>
      </c>
      <c r="I62" s="1" t="b">
        <f t="shared" si="1"/>
        <v>1</v>
      </c>
      <c r="J62" s="202" t="s">
        <v>5401</v>
      </c>
      <c r="K62" s="204"/>
      <c r="L62" s="105">
        <v>294710.6</v>
      </c>
      <c r="M62" s="105"/>
      <c r="N62" s="105"/>
      <c r="O62" s="105">
        <v>303120.58</v>
      </c>
    </row>
    <row r="63">
      <c r="A63" s="200" t="s">
        <v>5402</v>
      </c>
      <c r="B63" s="200">
        <v>3375.9721</v>
      </c>
      <c r="C63" s="200" t="s">
        <v>5350</v>
      </c>
      <c r="D63" s="200" t="s">
        <v>5315</v>
      </c>
      <c r="E63" s="200" t="s">
        <v>5402</v>
      </c>
      <c r="F63" s="200">
        <v>22869.7498</v>
      </c>
      <c r="G63" s="200" t="s">
        <v>5350</v>
      </c>
      <c r="H63" s="200" t="s">
        <v>5315</v>
      </c>
      <c r="I63" s="1" t="b">
        <f t="shared" si="1"/>
        <v>1</v>
      </c>
    </row>
    <row r="64">
      <c r="A64" s="201" t="s">
        <v>5403</v>
      </c>
      <c r="B64" s="201">
        <v>2122.671</v>
      </c>
      <c r="C64" s="201" t="s">
        <v>5350</v>
      </c>
      <c r="D64" s="201" t="s">
        <v>5315</v>
      </c>
      <c r="E64" s="201" t="s">
        <v>5403</v>
      </c>
      <c r="F64" s="201">
        <v>58464.199</v>
      </c>
      <c r="G64" s="201" t="s">
        <v>5350</v>
      </c>
      <c r="H64" s="201" t="s">
        <v>5315</v>
      </c>
      <c r="I64" s="1" t="b">
        <f t="shared" si="1"/>
        <v>1</v>
      </c>
    </row>
    <row r="65">
      <c r="A65" s="200" t="s">
        <v>5404</v>
      </c>
      <c r="B65" s="200">
        <v>4061.5188</v>
      </c>
      <c r="C65" s="200" t="s">
        <v>5350</v>
      </c>
      <c r="D65" s="200" t="s">
        <v>5315</v>
      </c>
      <c r="E65" s="200" t="s">
        <v>5404</v>
      </c>
      <c r="F65" s="200">
        <v>22891.7322</v>
      </c>
      <c r="G65" s="200" t="s">
        <v>5350</v>
      </c>
      <c r="H65" s="200" t="s">
        <v>5315</v>
      </c>
      <c r="I65" s="1" t="b">
        <f t="shared" si="1"/>
        <v>1</v>
      </c>
    </row>
    <row r="66">
      <c r="A66" s="201" t="s">
        <v>5405</v>
      </c>
      <c r="B66" s="201">
        <v>2010.6345</v>
      </c>
      <c r="C66" s="201" t="s">
        <v>5350</v>
      </c>
      <c r="D66" s="201" t="s">
        <v>5315</v>
      </c>
      <c r="E66" s="201" t="s">
        <v>5405</v>
      </c>
      <c r="F66" s="201">
        <v>22173.1451</v>
      </c>
      <c r="G66" s="201" t="s">
        <v>5350</v>
      </c>
      <c r="H66" s="201" t="s">
        <v>5315</v>
      </c>
      <c r="I66" s="1" t="b">
        <f t="shared" si="1"/>
        <v>1</v>
      </c>
    </row>
    <row r="67">
      <c r="A67" s="200" t="s">
        <v>5406</v>
      </c>
      <c r="B67" s="200">
        <v>2357.402</v>
      </c>
      <c r="C67" s="200" t="s">
        <v>5350</v>
      </c>
      <c r="D67" s="200" t="s">
        <v>5315</v>
      </c>
      <c r="E67" s="200" t="s">
        <v>5406</v>
      </c>
      <c r="F67" s="200">
        <v>31070.3819</v>
      </c>
      <c r="G67" s="200" t="s">
        <v>5350</v>
      </c>
      <c r="H67" s="200" t="s">
        <v>5315</v>
      </c>
      <c r="I67" s="1" t="b">
        <f t="shared" si="1"/>
        <v>1</v>
      </c>
    </row>
    <row r="68">
      <c r="A68" s="201" t="s">
        <v>5407</v>
      </c>
      <c r="B68" s="201">
        <v>4462.041</v>
      </c>
      <c r="C68" s="201" t="s">
        <v>5350</v>
      </c>
      <c r="D68" s="201" t="s">
        <v>5315</v>
      </c>
      <c r="E68" s="201" t="s">
        <v>5407</v>
      </c>
      <c r="F68" s="201">
        <v>30939.7688</v>
      </c>
      <c r="G68" s="201" t="s">
        <v>5350</v>
      </c>
      <c r="H68" s="201" t="s">
        <v>5315</v>
      </c>
      <c r="I68" s="1" t="b">
        <f t="shared" si="1"/>
        <v>1</v>
      </c>
    </row>
    <row r="69">
      <c r="A69" s="200" t="s">
        <v>5408</v>
      </c>
      <c r="B69" s="200">
        <v>4017.3924</v>
      </c>
      <c r="C69" s="200" t="s">
        <v>5350</v>
      </c>
      <c r="D69" s="200" t="s">
        <v>5315</v>
      </c>
      <c r="E69" s="200" t="s">
        <v>5408</v>
      </c>
      <c r="F69" s="200">
        <v>19821.1234</v>
      </c>
      <c r="G69" s="200" t="s">
        <v>5350</v>
      </c>
      <c r="H69" s="200" t="s">
        <v>5315</v>
      </c>
      <c r="I69" s="1" t="b">
        <f t="shared" si="1"/>
        <v>1</v>
      </c>
    </row>
    <row r="70">
      <c r="A70" s="201" t="s">
        <v>5409</v>
      </c>
      <c r="B70" s="201">
        <v>3121.9511</v>
      </c>
      <c r="C70" s="201" t="s">
        <v>5350</v>
      </c>
      <c r="D70" s="201" t="s">
        <v>5315</v>
      </c>
      <c r="E70" s="201" t="s">
        <v>5409</v>
      </c>
      <c r="F70" s="201">
        <v>46682.2382</v>
      </c>
      <c r="G70" s="201" t="s">
        <v>5350</v>
      </c>
      <c r="H70" s="201" t="s">
        <v>5315</v>
      </c>
      <c r="I70" s="1" t="b">
        <f t="shared" si="1"/>
        <v>1</v>
      </c>
    </row>
    <row r="71">
      <c r="A71" s="200" t="s">
        <v>5410</v>
      </c>
      <c r="B71" s="200">
        <v>2573.7777</v>
      </c>
      <c r="C71" s="200" t="s">
        <v>5350</v>
      </c>
      <c r="D71" s="200" t="s">
        <v>5315</v>
      </c>
      <c r="E71" s="200" t="s">
        <v>5410</v>
      </c>
      <c r="F71" s="200">
        <v>20738.5327</v>
      </c>
      <c r="G71" s="200" t="s">
        <v>5350</v>
      </c>
      <c r="H71" s="200" t="s">
        <v>5315</v>
      </c>
      <c r="I71" s="1" t="b">
        <f t="shared" si="1"/>
        <v>1</v>
      </c>
    </row>
    <row r="72">
      <c r="A72" s="201" t="s">
        <v>5411</v>
      </c>
      <c r="B72" s="201">
        <v>3319.6044</v>
      </c>
      <c r="C72" s="201" t="s">
        <v>5350</v>
      </c>
      <c r="D72" s="201" t="s">
        <v>5315</v>
      </c>
      <c r="E72" s="201" t="s">
        <v>5411</v>
      </c>
      <c r="F72" s="201">
        <v>19072.1963</v>
      </c>
      <c r="G72" s="201" t="s">
        <v>5350</v>
      </c>
      <c r="H72" s="201" t="s">
        <v>5315</v>
      </c>
      <c r="I72" s="1" t="b">
        <f t="shared" si="1"/>
        <v>1</v>
      </c>
    </row>
    <row r="73">
      <c r="A73" s="200" t="s">
        <v>5412</v>
      </c>
      <c r="B73" s="200">
        <v>2127.1812</v>
      </c>
      <c r="C73" s="200" t="s">
        <v>5350</v>
      </c>
      <c r="D73" s="200" t="s">
        <v>5315</v>
      </c>
      <c r="E73" s="200" t="s">
        <v>5412</v>
      </c>
      <c r="F73" s="200">
        <v>14190.9337</v>
      </c>
      <c r="G73" s="200" t="s">
        <v>5350</v>
      </c>
      <c r="H73" s="200" t="s">
        <v>5315</v>
      </c>
      <c r="I73" s="1" t="b">
        <f t="shared" si="1"/>
        <v>1</v>
      </c>
    </row>
    <row r="74">
      <c r="A74" s="201" t="s">
        <v>5413</v>
      </c>
      <c r="B74" s="201">
        <v>3632.9254</v>
      </c>
      <c r="C74" s="201" t="s">
        <v>5350</v>
      </c>
      <c r="D74" s="201" t="s">
        <v>5315</v>
      </c>
      <c r="E74" s="201" t="s">
        <v>5413</v>
      </c>
      <c r="F74" s="201">
        <v>27899.7725</v>
      </c>
      <c r="G74" s="201" t="s">
        <v>5350</v>
      </c>
      <c r="H74" s="201" t="s">
        <v>5315</v>
      </c>
      <c r="I74" s="1" t="b">
        <f t="shared" si="1"/>
        <v>1</v>
      </c>
    </row>
    <row r="75">
      <c r="A75" s="205" t="s">
        <v>5414</v>
      </c>
      <c r="B75" s="205">
        <v>2632.3587</v>
      </c>
      <c r="C75" s="205" t="s">
        <v>5350</v>
      </c>
      <c r="D75" s="205" t="s">
        <v>5315</v>
      </c>
      <c r="E75" s="200" t="s">
        <v>5414</v>
      </c>
      <c r="F75" s="200">
        <v>14848.7982</v>
      </c>
      <c r="G75" s="200" t="s">
        <v>5350</v>
      </c>
      <c r="H75" s="200" t="s">
        <v>5315</v>
      </c>
      <c r="I75" s="1" t="b">
        <f t="shared" si="1"/>
        <v>1</v>
      </c>
    </row>
    <row r="76">
      <c r="E76" s="206"/>
    </row>
    <row r="77">
      <c r="E77" s="207" t="s">
        <v>5415</v>
      </c>
    </row>
  </sheetData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  <hyperlink r:id="rId30" ref="J33"/>
    <hyperlink r:id="rId31" ref="J34"/>
    <hyperlink r:id="rId32" ref="J35"/>
    <hyperlink r:id="rId33" ref="J36"/>
    <hyperlink r:id="rId34" ref="J37"/>
    <hyperlink r:id="rId35" ref="J38"/>
    <hyperlink r:id="rId36" ref="J39"/>
    <hyperlink r:id="rId37" ref="J40"/>
    <hyperlink r:id="rId38" ref="J41"/>
    <hyperlink r:id="rId39" ref="J42"/>
    <hyperlink r:id="rId40" ref="J43"/>
    <hyperlink r:id="rId41" ref="J44"/>
    <hyperlink r:id="rId42" ref="J45"/>
    <hyperlink r:id="rId43" ref="J46"/>
    <hyperlink r:id="rId44" ref="J47"/>
    <hyperlink r:id="rId45" ref="J48"/>
    <hyperlink r:id="rId46" ref="J49"/>
    <hyperlink r:id="rId47" ref="J50"/>
    <hyperlink r:id="rId48" ref="J51"/>
    <hyperlink r:id="rId49" ref="J52"/>
    <hyperlink r:id="rId50" ref="J53"/>
    <hyperlink r:id="rId51" ref="J54"/>
    <hyperlink r:id="rId52" ref="J55"/>
    <hyperlink r:id="rId53" ref="J56"/>
    <hyperlink r:id="rId54" ref="J57"/>
    <hyperlink r:id="rId55" ref="J58"/>
    <hyperlink r:id="rId56" ref="J59"/>
    <hyperlink r:id="rId57" ref="J60"/>
    <hyperlink r:id="rId58" ref="J61"/>
    <hyperlink r:id="rId59" ref="J62"/>
    <hyperlink r:id="rId60" ref="E77"/>
  </hyperlinks>
  <drawing r:id="rId61"/>
</worksheet>
</file>